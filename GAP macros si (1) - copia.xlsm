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tables/table2.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tables/table3.xml" ContentType="application/vnd.openxmlformats-officedocument.spreadsheetml.table+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4.xml" ContentType="application/vnd.openxmlformats-officedocument.spreadsheetml.table+xml"/>
  <Override PartName="/xl/drawings/drawing17.xml" ContentType="application/vnd.openxmlformats-officedocument.drawing+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hidePivotFieldList="1"/>
  <mc:AlternateContent xmlns:mc="http://schemas.openxmlformats.org/markup-compatibility/2006">
    <mc:Choice Requires="x15">
      <x15ac:absPath xmlns:x15ac="http://schemas.microsoft.com/office/spreadsheetml/2010/11/ac" url="C:\Users\SUPERTINTAS\Desktop\PASANTIA\"/>
    </mc:Choice>
  </mc:AlternateContent>
  <xr:revisionPtr revIDLastSave="0" documentId="13_ncr:1_{26A9B9CF-E217-4791-B43B-3B694F9118B6}" xr6:coauthVersionLast="47" xr6:coauthVersionMax="47" xr10:uidLastSave="{00000000-0000-0000-0000-000000000000}"/>
  <bookViews>
    <workbookView showSheetTabs="0" xWindow="-120" yWindow="-120" windowWidth="20730" windowHeight="11040" tabRatio="814" activeTab="2" xr2:uid="{F990FEEF-1D2F-C549-88BE-C1A9FE29098E}"/>
  </bookViews>
  <sheets>
    <sheet name="Inicio" sheetId="31" r:id="rId1"/>
    <sheet name="Reporte" sheetId="20" r:id="rId2"/>
    <sheet name="Aleluya" sheetId="1" r:id="rId3"/>
    <sheet name="Confirmación datos" sheetId="4" r:id="rId4"/>
    <sheet name="Correctivos y discip" sheetId="21" r:id="rId5"/>
    <sheet name="Llamado de atención" sheetId="25" r:id="rId6"/>
    <sheet name="Recor. de funciones" sheetId="17" r:id="rId7"/>
    <sheet name="Cert. lab." sheetId="18" r:id="rId8"/>
    <sheet name="Cto. individual" sheetId="8" r:id="rId9"/>
    <sheet name="Cto. general" sheetId="16" r:id="rId10"/>
    <sheet name="Documentos de retiro" sheetId="11" r:id="rId11"/>
    <sheet name="Cto. Aprendiz" sheetId="27" r:id="rId12"/>
    <sheet name="Empleadores" sheetId="9" r:id="rId13"/>
    <sheet name="Otrosí pagos no salariales" sheetId="10" r:id="rId14"/>
    <sheet name="Otrosí. individual" sheetId="26" r:id="rId15"/>
    <sheet name="DATOSDENOMINA" sheetId="22" r:id="rId16"/>
    <sheet name="FECHASIMPORTANTES" sheetId="23" r:id="rId17"/>
    <sheet name="validador " sheetId="2" r:id="rId18"/>
  </sheets>
  <functionGroups builtInGroupCount="19"/>
  <externalReferences>
    <externalReference r:id="rId19"/>
    <externalReference r:id="rId20"/>
  </externalReferences>
  <definedNames>
    <definedName name="_xlnm._FilterDatabase" localSheetId="2" hidden="1">Aleluya!$A$1:$AE$1</definedName>
    <definedName name="_xlnm._FilterDatabase" localSheetId="1" hidden="1">Reporte!$F$71:$G$78</definedName>
    <definedName name="_Hlk51852459" localSheetId="9">'Cto. general'!$A$48</definedName>
    <definedName name="_xlchart.v1.0" hidden="1">Reporte!$F$72:$F$78</definedName>
    <definedName name="_xlchart.v1.1" hidden="1">Reporte!$G$71</definedName>
    <definedName name="_xlchart.v1.2" hidden="1">Reporte!$G$72:$G$78</definedName>
    <definedName name="_xlnm.Extract" localSheetId="1">Reporte!$K$79</definedName>
    <definedName name="_xlnm.Print_Area" localSheetId="2">Aleluya!$A$2:$I$36</definedName>
    <definedName name="_xlnm.Print_Area" localSheetId="7">'Cert. lab.'!$B$2:$D$22</definedName>
    <definedName name="_xlnm.Print_Area" localSheetId="11">'Cto. Aprendiz'!$E$2:$M$183</definedName>
    <definedName name="_xlnm.Print_Area" localSheetId="9">'Cto. general'!$A$1:$A$165</definedName>
    <definedName name="_xlnm.Print_Area" localSheetId="8">'Cto. individual'!$E$2:$M$100</definedName>
    <definedName name="_xlnm.Print_Area" localSheetId="10">'Documentos de retiro'!$B$71:$E$118</definedName>
    <definedName name="_xlnm.Print_Area" localSheetId="5">'Llamado de atención'!$E$3:$I$36</definedName>
    <definedName name="_xlnm.Print_Area" localSheetId="13">'Otrosí pagos no salariales'!$E$6:$J$45</definedName>
    <definedName name="_xlnm.Print_Area" localSheetId="14">'Otrosí. individual'!$E$2:$M$106</definedName>
    <definedName name="_xlnm.Print_Area" localSheetId="6">'Recor. de funciones'!$E$3:$I$36</definedName>
    <definedName name="_xlnm.Print_Area" localSheetId="1">Reporte!$B$4:$T$35</definedName>
    <definedName name="areas" localSheetId="5">OFFSET(#REF!,0,0,COUNTA(#REF!),1)</definedName>
    <definedName name="areas">OFFSET([1]Datos!$J$2,0,0,COUNTA([1]Datos!$J$2:$J$100),1)</definedName>
    <definedName name="arl" localSheetId="5">OFFSET(#REF!,0,0,COUNTA(#REF!),1)</definedName>
    <definedName name="arl">OFFSET([1]Datos!$E$2,0,0,COUNTA([1]Datos!$E$2:$E$100),1)</definedName>
    <definedName name="banco" localSheetId="5">OFFSET(#REF!,0,0,COUNTA(#REF!),1)</definedName>
    <definedName name="banco">OFFSET([1]Datos!$G$2,0,0,COUNTA([1]Datos!$G$2:$G$100),1)</definedName>
    <definedName name="cagos">OFFSET([2]Datos!$K$2,0,0,COUNTA([2]Datos!$K$2:$K$100),1)</definedName>
    <definedName name="cargos" localSheetId="5">OFFSET(#REF!,0,0,COUNTA(#REF!),1)</definedName>
    <definedName name="cargos">OFFSET([1]Datos!$K$2,0,0,COUNTA([1]Datos!$K$2:$K$100),1)</definedName>
    <definedName name="cesantias" localSheetId="5">OFFSET(#REF!,0,0,COUNTA(#REF!),1)</definedName>
    <definedName name="cesantias">OFFSET([1]Datos!$O$2,0,0,COUNTA([1]Datos!$O$2:$O$20),1)</definedName>
    <definedName name="cost_center" localSheetId="5">OFFSET(#REF!,0,0,COUNTA(#REF!)-1)</definedName>
    <definedName name="cost_center">OFFSET([1]Datos!$L$2,0,0,COUNTA([1]Datos!$L:$L)-1)</definedName>
    <definedName name="_xlnm.Criteria" localSheetId="1">Reporte!$C$5</definedName>
    <definedName name="eps" localSheetId="5">OFFSET(#REF!,0,0,COUNTA(#REF!),1)</definedName>
    <definedName name="eps">OFFSET([1]Datos!$M$2,0,0,COUNTA([1]Datos!$M$2:$M$100),1)</definedName>
    <definedName name="medio_pago" localSheetId="5">OFFSET(#REF!,0,0,COUNTA(#REF!),1)</definedName>
    <definedName name="medio_pago">OFFSET([1]Datos!$F$2,0,0,COUNTA([1]Datos!$F$2:$F$30),1)</definedName>
    <definedName name="pension" localSheetId="5">OFFSET(#REF!,0,0,COUNTA(#REF!),1)</definedName>
    <definedName name="pension">OFFSET([1]Datos!$N$2,0,0,COUNTA([1]Datos!$N$2:$N$100),1)</definedName>
    <definedName name="sedes" localSheetId="5">OFFSET(#REF!,0,0,COUNTA(#REF!),1)</definedName>
    <definedName name="sedes">OFFSET([1]Datos!$I$2,0,0,COUNTA([1]Datos!$I$2:$I$100),1)</definedName>
    <definedName name="tipo_contratos" localSheetId="5">OFFSET(#REF!,0,0,COUNTA(#REF!),1)</definedName>
    <definedName name="tipo_contratos">OFFSET([1]Datos!$C$2,0,0,COUNTA([1]Datos!$C$2:$C$31),1)</definedName>
    <definedName name="tipo_cuenta" localSheetId="5">OFFSET(#REF!,0,0,COUNTA(#REF!),1)</definedName>
    <definedName name="tipo_cuenta">OFFSET([1]Datos!$H$2,0,0,COUNTA([1]Datos!$H$2:$H$10),1)</definedName>
    <definedName name="tipo_salarios" localSheetId="5">OFFSET(#REF!,0,0,COUNTA(#REF!),1)</definedName>
    <definedName name="tipo_salarios">OFFSET([1]Datos!$D$2,0,0,COUNTA([1]Datos!$D$2:$D$30),1)</definedName>
  </definedNames>
  <calcPr calcId="191029"/>
  <pivotCaches>
    <pivotCache cacheId="0" r:id="rId2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46" i="1" l="1"/>
  <c r="H546" i="1"/>
  <c r="I546" i="1"/>
  <c r="J546" i="1"/>
  <c r="K546" i="1"/>
  <c r="L546" i="1"/>
  <c r="W546" i="1"/>
  <c r="Z546" i="1"/>
  <c r="AE546" i="1"/>
  <c r="AT546" i="1"/>
  <c r="AV546" i="1"/>
  <c r="G545" i="1"/>
  <c r="H545" i="1"/>
  <c r="I545" i="1"/>
  <c r="J545" i="1"/>
  <c r="K545" i="1"/>
  <c r="L545" i="1"/>
  <c r="W545" i="1"/>
  <c r="Z545" i="1"/>
  <c r="AE545" i="1"/>
  <c r="AT545" i="1"/>
  <c r="AU545" i="1" s="1" a="1"/>
  <c r="AU545" i="1" s="1"/>
  <c r="AV545" i="1"/>
  <c r="H32" i="10"/>
  <c r="H7" i="25"/>
  <c r="AU546" i="1" l="1" a="1"/>
  <c r="AU546" i="1" s="1"/>
  <c r="AV544" i="1"/>
  <c r="AT544" i="1"/>
  <c r="AU544" i="1" s="1" a="1"/>
  <c r="AU544" i="1" s="1"/>
  <c r="AE544" i="1"/>
  <c r="Z544" i="1"/>
  <c r="C27" i="4"/>
  <c r="A106" i="16"/>
  <c r="A153" i="16"/>
  <c r="C4" i="25" l="1"/>
  <c r="C12" i="25"/>
  <c r="F19" i="25" s="1"/>
  <c r="H31" i="26" l="1"/>
  <c r="J36" i="26"/>
  <c r="H36" i="26"/>
  <c r="L36" i="26"/>
  <c r="L59" i="26"/>
  <c r="L39" i="26" s="1"/>
  <c r="H33" i="26"/>
  <c r="H51" i="26"/>
  <c r="H45" i="26"/>
  <c r="H39" i="26" l="1"/>
  <c r="J39" i="26"/>
  <c r="F78" i="26"/>
  <c r="H43" i="26"/>
  <c r="C12" i="17"/>
  <c r="C4" i="17"/>
  <c r="D11" i="21"/>
  <c r="E11" i="21"/>
  <c r="F11" i="21"/>
  <c r="G11" i="21"/>
  <c r="H11" i="21"/>
  <c r="D12" i="21"/>
  <c r="E12" i="21"/>
  <c r="F12" i="21"/>
  <c r="G12" i="21"/>
  <c r="H12" i="21"/>
  <c r="D13" i="21"/>
  <c r="E13" i="21"/>
  <c r="F13" i="21"/>
  <c r="G13" i="21"/>
  <c r="H13" i="21"/>
  <c r="D14" i="21"/>
  <c r="E14" i="21"/>
  <c r="F14" i="21"/>
  <c r="G14" i="21"/>
  <c r="H14" i="21"/>
  <c r="D15" i="21"/>
  <c r="E15" i="21"/>
  <c r="F15" i="21"/>
  <c r="G15" i="21"/>
  <c r="H15" i="21"/>
  <c r="D16" i="21"/>
  <c r="E16" i="21"/>
  <c r="F16" i="21"/>
  <c r="G16" i="21"/>
  <c r="H16" i="21"/>
  <c r="D17" i="21"/>
  <c r="E17" i="21"/>
  <c r="F17" i="21"/>
  <c r="G17" i="21"/>
  <c r="H17" i="21"/>
  <c r="D18" i="21"/>
  <c r="E18" i="21"/>
  <c r="F18" i="21"/>
  <c r="G18" i="21"/>
  <c r="H18" i="21"/>
  <c r="D19" i="21"/>
  <c r="E19" i="21"/>
  <c r="F19" i="21"/>
  <c r="G19" i="21"/>
  <c r="H19" i="21"/>
  <c r="D20" i="21"/>
  <c r="E20" i="21"/>
  <c r="F20" i="21"/>
  <c r="G20" i="21"/>
  <c r="H20" i="21"/>
  <c r="D21" i="21"/>
  <c r="E21" i="21"/>
  <c r="F21" i="21"/>
  <c r="G21" i="21"/>
  <c r="H21" i="21"/>
  <c r="D22" i="21"/>
  <c r="E22" i="21"/>
  <c r="F22" i="21"/>
  <c r="G22" i="21"/>
  <c r="H22" i="21"/>
  <c r="D23" i="21"/>
  <c r="E23" i="21"/>
  <c r="F23" i="21"/>
  <c r="G23" i="21"/>
  <c r="H23" i="21"/>
  <c r="D24" i="21"/>
  <c r="E24" i="21"/>
  <c r="F24" i="21"/>
  <c r="G24" i="21"/>
  <c r="H24" i="21"/>
  <c r="D25" i="21"/>
  <c r="E25" i="21"/>
  <c r="F25" i="21"/>
  <c r="G25" i="21"/>
  <c r="H25" i="21"/>
  <c r="D26" i="21"/>
  <c r="E26" i="21"/>
  <c r="F26" i="21"/>
  <c r="G26" i="21"/>
  <c r="H26" i="21"/>
  <c r="D27" i="21"/>
  <c r="E27" i="21"/>
  <c r="F27" i="21"/>
  <c r="G27" i="21"/>
  <c r="H27" i="21"/>
  <c r="D28" i="21"/>
  <c r="E28" i="21"/>
  <c r="F28" i="21"/>
  <c r="G28" i="21"/>
  <c r="H28" i="21"/>
  <c r="D29" i="21"/>
  <c r="E29" i="21"/>
  <c r="F29" i="21"/>
  <c r="G29" i="21"/>
  <c r="H29" i="21"/>
  <c r="D30" i="21"/>
  <c r="E30" i="21"/>
  <c r="F30" i="21"/>
  <c r="G30" i="21"/>
  <c r="H30" i="21"/>
  <c r="D31" i="21"/>
  <c r="E31" i="21"/>
  <c r="F31" i="21"/>
  <c r="G31" i="21"/>
  <c r="H31" i="21"/>
  <c r="D32" i="21"/>
  <c r="E32" i="21"/>
  <c r="F32" i="21"/>
  <c r="G32" i="21"/>
  <c r="H32" i="21"/>
  <c r="D33" i="21"/>
  <c r="E33" i="21"/>
  <c r="F33" i="21"/>
  <c r="G33" i="21"/>
  <c r="H33" i="21"/>
  <c r="D34" i="21"/>
  <c r="E34" i="21"/>
  <c r="F34" i="21"/>
  <c r="G34" i="21"/>
  <c r="H34" i="21"/>
  <c r="D35" i="21"/>
  <c r="E35" i="21"/>
  <c r="F35" i="21"/>
  <c r="G35" i="21"/>
  <c r="H35" i="21"/>
  <c r="D36" i="21"/>
  <c r="E36" i="21"/>
  <c r="F36" i="21"/>
  <c r="G36" i="21"/>
  <c r="H36" i="21"/>
  <c r="D37" i="21"/>
  <c r="E37" i="21"/>
  <c r="F37" i="21"/>
  <c r="G37" i="21"/>
  <c r="H37" i="21"/>
  <c r="D38" i="21"/>
  <c r="E38" i="21"/>
  <c r="F38" i="21"/>
  <c r="G38" i="21"/>
  <c r="H38" i="21"/>
  <c r="D39" i="21"/>
  <c r="E39" i="21"/>
  <c r="F39" i="21"/>
  <c r="G39" i="21"/>
  <c r="H39" i="21"/>
  <c r="D40" i="21"/>
  <c r="E40" i="21"/>
  <c r="F40" i="21"/>
  <c r="G40" i="21"/>
  <c r="H40" i="21"/>
  <c r="D41" i="21"/>
  <c r="E41" i="21"/>
  <c r="F41" i="21"/>
  <c r="G41" i="21"/>
  <c r="H41" i="21"/>
  <c r="D42" i="21"/>
  <c r="E42" i="21"/>
  <c r="F42" i="21"/>
  <c r="G42" i="21"/>
  <c r="H42" i="21"/>
  <c r="D43" i="21"/>
  <c r="E43" i="21"/>
  <c r="F43" i="21"/>
  <c r="G43" i="21"/>
  <c r="H43" i="21"/>
  <c r="D44" i="21"/>
  <c r="E44" i="21"/>
  <c r="F44" i="21"/>
  <c r="G44" i="21"/>
  <c r="H44" i="21"/>
  <c r="D45" i="21"/>
  <c r="E45" i="21"/>
  <c r="F45" i="21"/>
  <c r="G45" i="21"/>
  <c r="H45" i="21"/>
  <c r="D46" i="21"/>
  <c r="E46" i="21"/>
  <c r="F46" i="21"/>
  <c r="G46" i="21"/>
  <c r="H46" i="21"/>
  <c r="D47" i="21"/>
  <c r="E47" i="21"/>
  <c r="F47" i="21"/>
  <c r="G47" i="21"/>
  <c r="H47" i="21"/>
  <c r="D48" i="21"/>
  <c r="E48" i="21"/>
  <c r="F48" i="21"/>
  <c r="G48" i="21"/>
  <c r="H48" i="21"/>
  <c r="D49" i="21"/>
  <c r="E49" i="21"/>
  <c r="F49" i="21"/>
  <c r="G49" i="21"/>
  <c r="H49" i="21"/>
  <c r="D50" i="21"/>
  <c r="E50" i="21"/>
  <c r="F50" i="21"/>
  <c r="G50" i="21"/>
  <c r="H50" i="21"/>
  <c r="D51" i="21"/>
  <c r="E51" i="21"/>
  <c r="F51" i="21"/>
  <c r="G51" i="21"/>
  <c r="H51" i="21"/>
  <c r="D52" i="21"/>
  <c r="E52" i="21"/>
  <c r="F52" i="21"/>
  <c r="G52" i="21"/>
  <c r="H52" i="21"/>
  <c r="D53" i="21"/>
  <c r="E53" i="21"/>
  <c r="F53" i="21"/>
  <c r="G53" i="21"/>
  <c r="H53" i="21"/>
  <c r="D54" i="21"/>
  <c r="E54" i="21"/>
  <c r="F54" i="21"/>
  <c r="G54" i="21"/>
  <c r="H54" i="21"/>
  <c r="D55" i="21"/>
  <c r="E55" i="21"/>
  <c r="F55" i="21"/>
  <c r="G55" i="21"/>
  <c r="H55" i="21"/>
  <c r="D56" i="21"/>
  <c r="E56" i="21"/>
  <c r="F56" i="21"/>
  <c r="G56" i="21"/>
  <c r="H56" i="21"/>
  <c r="D57" i="21"/>
  <c r="E57" i="21"/>
  <c r="F57" i="21"/>
  <c r="G57" i="21"/>
  <c r="H57" i="21"/>
  <c r="D58" i="21"/>
  <c r="E58" i="21"/>
  <c r="F58" i="21"/>
  <c r="G58" i="21"/>
  <c r="H58" i="21"/>
  <c r="D59" i="21"/>
  <c r="E59" i="21"/>
  <c r="F59" i="21"/>
  <c r="G59" i="21"/>
  <c r="H59" i="21"/>
  <c r="D60" i="21"/>
  <c r="E60" i="21"/>
  <c r="F60" i="21"/>
  <c r="G60" i="21"/>
  <c r="H60" i="21"/>
  <c r="D61" i="21"/>
  <c r="E61" i="21"/>
  <c r="F61" i="21"/>
  <c r="G61" i="21"/>
  <c r="H61" i="21"/>
  <c r="D62" i="21"/>
  <c r="E62" i="21"/>
  <c r="F62" i="21"/>
  <c r="G62" i="21"/>
  <c r="H62" i="21"/>
  <c r="D63" i="21"/>
  <c r="E63" i="21"/>
  <c r="F63" i="21"/>
  <c r="G63" i="21"/>
  <c r="H63" i="21"/>
  <c r="D64" i="21"/>
  <c r="E64" i="21"/>
  <c r="F64" i="21"/>
  <c r="G64" i="21"/>
  <c r="H64" i="21"/>
  <c r="D65" i="21"/>
  <c r="E65" i="21"/>
  <c r="F65" i="21"/>
  <c r="G65" i="21"/>
  <c r="H65" i="21"/>
  <c r="D66" i="21"/>
  <c r="E66" i="21"/>
  <c r="F66" i="21"/>
  <c r="G66" i="21"/>
  <c r="H66" i="21"/>
  <c r="D67" i="21"/>
  <c r="E67" i="21"/>
  <c r="F67" i="21"/>
  <c r="G67" i="21"/>
  <c r="H67" i="21"/>
  <c r="D68" i="21"/>
  <c r="E68" i="21"/>
  <c r="F68" i="21"/>
  <c r="G68" i="21"/>
  <c r="H68" i="21"/>
  <c r="D69" i="21"/>
  <c r="E69" i="21"/>
  <c r="F69" i="21"/>
  <c r="G69" i="21"/>
  <c r="H69" i="21"/>
  <c r="D70" i="21"/>
  <c r="E70" i="21"/>
  <c r="F70" i="21"/>
  <c r="G70" i="21"/>
  <c r="H70" i="21"/>
  <c r="D71" i="21"/>
  <c r="E71" i="21"/>
  <c r="F71" i="21"/>
  <c r="G71" i="21"/>
  <c r="H71" i="21"/>
  <c r="D72" i="21"/>
  <c r="E72" i="21"/>
  <c r="F72" i="21"/>
  <c r="G72" i="21"/>
  <c r="H72" i="21"/>
  <c r="D73" i="21"/>
  <c r="E73" i="21"/>
  <c r="F73" i="21"/>
  <c r="G73" i="21"/>
  <c r="H73" i="21"/>
  <c r="D74" i="21"/>
  <c r="E74" i="21"/>
  <c r="F74" i="21"/>
  <c r="G74" i="21"/>
  <c r="H74" i="21"/>
  <c r="D75" i="21"/>
  <c r="E75" i="21"/>
  <c r="F75" i="21"/>
  <c r="G75" i="21"/>
  <c r="H75" i="21"/>
  <c r="D76" i="21"/>
  <c r="E76" i="21"/>
  <c r="F76" i="21"/>
  <c r="G76" i="21"/>
  <c r="H76" i="21"/>
  <c r="D77" i="21"/>
  <c r="E77" i="21"/>
  <c r="F77" i="21"/>
  <c r="G77" i="21"/>
  <c r="H77" i="21"/>
  <c r="D78" i="21"/>
  <c r="E78" i="21"/>
  <c r="F78" i="21"/>
  <c r="G78" i="21"/>
  <c r="H78" i="21"/>
  <c r="D79" i="21"/>
  <c r="E79" i="21"/>
  <c r="F79" i="21"/>
  <c r="G79" i="21"/>
  <c r="H79" i="21"/>
  <c r="D80" i="21"/>
  <c r="E80" i="21"/>
  <c r="F80" i="21"/>
  <c r="G80" i="21"/>
  <c r="H80" i="21"/>
  <c r="D81" i="21"/>
  <c r="E81" i="21"/>
  <c r="F81" i="21"/>
  <c r="G81" i="21"/>
  <c r="H81" i="21"/>
  <c r="D82" i="21"/>
  <c r="E82" i="21"/>
  <c r="F82" i="21"/>
  <c r="G82" i="21"/>
  <c r="H82" i="21"/>
  <c r="D83" i="21"/>
  <c r="E83" i="21"/>
  <c r="F83" i="21"/>
  <c r="G83" i="21"/>
  <c r="H83" i="21"/>
  <c r="D84" i="21"/>
  <c r="E84" i="21"/>
  <c r="F84" i="21"/>
  <c r="G84" i="21"/>
  <c r="H84" i="21"/>
  <c r="D85" i="21"/>
  <c r="E85" i="21"/>
  <c r="F85" i="21"/>
  <c r="G85" i="21"/>
  <c r="H85" i="21"/>
  <c r="D86" i="21"/>
  <c r="E86" i="21"/>
  <c r="F86" i="21"/>
  <c r="G86" i="21"/>
  <c r="H86" i="21"/>
  <c r="D87" i="21"/>
  <c r="E87" i="21"/>
  <c r="F87" i="21"/>
  <c r="G87" i="21"/>
  <c r="H87" i="21"/>
  <c r="D88" i="21"/>
  <c r="E88" i="21"/>
  <c r="F88" i="21"/>
  <c r="G88" i="21"/>
  <c r="H88" i="21"/>
  <c r="D89" i="21"/>
  <c r="E89" i="21"/>
  <c r="F89" i="21"/>
  <c r="G89" i="21"/>
  <c r="H89" i="21"/>
  <c r="D90" i="21"/>
  <c r="E90" i="21"/>
  <c r="F90" i="21"/>
  <c r="G90" i="21"/>
  <c r="H90" i="21"/>
  <c r="D91" i="21"/>
  <c r="E91" i="21"/>
  <c r="F91" i="21"/>
  <c r="G91" i="21"/>
  <c r="H91" i="21"/>
  <c r="D92" i="21"/>
  <c r="E92" i="21"/>
  <c r="F92" i="21"/>
  <c r="G92" i="21"/>
  <c r="H92" i="21"/>
  <c r="D93" i="21"/>
  <c r="E93" i="21"/>
  <c r="F93" i="21"/>
  <c r="G93" i="21"/>
  <c r="H93" i="21"/>
  <c r="D94" i="21"/>
  <c r="E94" i="21"/>
  <c r="F94" i="21"/>
  <c r="G94" i="21"/>
  <c r="H94" i="21"/>
  <c r="D95" i="21"/>
  <c r="E95" i="21"/>
  <c r="F95" i="21"/>
  <c r="G95" i="21"/>
  <c r="H95" i="21"/>
  <c r="D96" i="21"/>
  <c r="E96" i="21"/>
  <c r="F96" i="21"/>
  <c r="G96" i="21"/>
  <c r="H96" i="21"/>
  <c r="D97" i="21"/>
  <c r="E97" i="21"/>
  <c r="F97" i="21"/>
  <c r="G97" i="21"/>
  <c r="H97" i="21"/>
  <c r="D98" i="21"/>
  <c r="E98" i="21"/>
  <c r="F98" i="21"/>
  <c r="G98" i="21"/>
  <c r="H98" i="21"/>
  <c r="D99" i="21"/>
  <c r="E99" i="21"/>
  <c r="F99" i="21"/>
  <c r="G99" i="21"/>
  <c r="H99" i="21"/>
  <c r="D100" i="21"/>
  <c r="E100" i="21"/>
  <c r="F100" i="21"/>
  <c r="G100" i="21"/>
  <c r="H100" i="21"/>
  <c r="D101" i="21"/>
  <c r="E101" i="21"/>
  <c r="F101" i="21"/>
  <c r="G101" i="21"/>
  <c r="H101" i="21"/>
  <c r="D102" i="21"/>
  <c r="E102" i="21"/>
  <c r="F102" i="21"/>
  <c r="G102" i="21"/>
  <c r="H102" i="21"/>
  <c r="D103" i="21"/>
  <c r="E103" i="21"/>
  <c r="F103" i="21"/>
  <c r="G103" i="21"/>
  <c r="H103" i="21"/>
  <c r="D104" i="21"/>
  <c r="E104" i="21"/>
  <c r="F104" i="21"/>
  <c r="G104" i="21"/>
  <c r="H104" i="21"/>
  <c r="D105" i="21"/>
  <c r="E105" i="21"/>
  <c r="F105" i="21"/>
  <c r="G105" i="21"/>
  <c r="H105" i="21"/>
  <c r="D106" i="21"/>
  <c r="E106" i="21"/>
  <c r="F106" i="21"/>
  <c r="G106" i="21"/>
  <c r="H106" i="21"/>
  <c r="D107" i="21"/>
  <c r="E107" i="21"/>
  <c r="F107" i="21"/>
  <c r="G107" i="21"/>
  <c r="H107" i="21"/>
  <c r="D108" i="21"/>
  <c r="E108" i="21"/>
  <c r="F108" i="21"/>
  <c r="G108" i="21"/>
  <c r="H108" i="21"/>
  <c r="D109" i="21"/>
  <c r="E109" i="21"/>
  <c r="F109" i="21"/>
  <c r="G109" i="21"/>
  <c r="H109" i="21"/>
  <c r="D110" i="21"/>
  <c r="E110" i="21"/>
  <c r="F110" i="21"/>
  <c r="G110" i="21"/>
  <c r="H110" i="21"/>
  <c r="D111" i="21"/>
  <c r="E111" i="21"/>
  <c r="F111" i="21"/>
  <c r="G111" i="21"/>
  <c r="H111" i="21"/>
  <c r="D112" i="21"/>
  <c r="E112" i="21"/>
  <c r="F112" i="21"/>
  <c r="G112" i="21"/>
  <c r="H112" i="21"/>
  <c r="D113" i="21"/>
  <c r="E113" i="21"/>
  <c r="F113" i="21"/>
  <c r="G113" i="21"/>
  <c r="H113" i="21"/>
  <c r="D114" i="21"/>
  <c r="E114" i="21"/>
  <c r="F114" i="21"/>
  <c r="G114" i="21"/>
  <c r="H114" i="21"/>
  <c r="D115" i="21"/>
  <c r="E115" i="21"/>
  <c r="F115" i="21"/>
  <c r="G115" i="21"/>
  <c r="H115" i="21"/>
  <c r="D116" i="21"/>
  <c r="E116" i="21"/>
  <c r="F116" i="21"/>
  <c r="G116" i="21"/>
  <c r="H116" i="21"/>
  <c r="D117" i="21"/>
  <c r="E117" i="21"/>
  <c r="F117" i="21"/>
  <c r="G117" i="21"/>
  <c r="H117" i="21"/>
  <c r="D118" i="21"/>
  <c r="E118" i="21"/>
  <c r="F118" i="21"/>
  <c r="G118" i="21"/>
  <c r="H118" i="21"/>
  <c r="D119" i="21"/>
  <c r="E119" i="21"/>
  <c r="F119" i="21"/>
  <c r="G119" i="21"/>
  <c r="H119" i="21"/>
  <c r="D120" i="21"/>
  <c r="E120" i="21"/>
  <c r="F120" i="21"/>
  <c r="G120" i="21"/>
  <c r="H120" i="21"/>
  <c r="D121" i="21"/>
  <c r="E121" i="21"/>
  <c r="F121" i="21"/>
  <c r="G121" i="21"/>
  <c r="H121" i="21"/>
  <c r="D122" i="21"/>
  <c r="E122" i="21"/>
  <c r="F122" i="21"/>
  <c r="G122" i="21"/>
  <c r="H122" i="21"/>
  <c r="D123" i="21"/>
  <c r="E123" i="21"/>
  <c r="F123" i="21"/>
  <c r="G123" i="21"/>
  <c r="H123" i="21"/>
  <c r="D124" i="21"/>
  <c r="E124" i="21"/>
  <c r="F124" i="21"/>
  <c r="G124" i="21"/>
  <c r="H124" i="21"/>
  <c r="D125" i="21"/>
  <c r="E125" i="21"/>
  <c r="F125" i="21"/>
  <c r="G125" i="21"/>
  <c r="H125" i="21"/>
  <c r="D126" i="21"/>
  <c r="E126" i="21"/>
  <c r="F126" i="21"/>
  <c r="G126" i="21"/>
  <c r="H126" i="21"/>
  <c r="D127" i="21"/>
  <c r="E127" i="21"/>
  <c r="F127" i="21"/>
  <c r="G127" i="21"/>
  <c r="H127" i="21"/>
  <c r="D128" i="21"/>
  <c r="E128" i="21"/>
  <c r="F128" i="21"/>
  <c r="G128" i="21"/>
  <c r="H128" i="21"/>
  <c r="D129" i="21"/>
  <c r="E129" i="21"/>
  <c r="F129" i="21"/>
  <c r="G129" i="21"/>
  <c r="H129" i="21"/>
  <c r="D130" i="21"/>
  <c r="E130" i="21"/>
  <c r="F130" i="21"/>
  <c r="G130" i="21"/>
  <c r="H130" i="21"/>
  <c r="D131" i="21"/>
  <c r="E131" i="21"/>
  <c r="F131" i="21"/>
  <c r="G131" i="21"/>
  <c r="H131" i="21"/>
  <c r="H47" i="26"/>
  <c r="H27" i="26"/>
  <c r="C5" i="20" l="1"/>
  <c r="L53" i="8"/>
  <c r="L45" i="8"/>
  <c r="H45" i="8"/>
  <c r="L66" i="27"/>
  <c r="H62" i="27"/>
  <c r="L56" i="27"/>
  <c r="H36" i="27"/>
  <c r="F181" i="27" s="1"/>
  <c r="H60" i="27"/>
  <c r="L68" i="27"/>
  <c r="H52" i="27" s="1"/>
  <c r="L58" i="27"/>
  <c r="H58" i="27"/>
  <c r="F155" i="27" s="1"/>
  <c r="H49" i="27"/>
  <c r="H46" i="27"/>
  <c r="H44" i="27"/>
  <c r="H42" i="27"/>
  <c r="H40" i="27"/>
  <c r="L38" i="27"/>
  <c r="H38" i="27"/>
  <c r="C3" i="27"/>
  <c r="F146" i="27" l="1"/>
  <c r="H25" i="27"/>
  <c r="K149" i="27"/>
  <c r="H19" i="27"/>
  <c r="F149" i="27" s="1"/>
  <c r="H9" i="27"/>
  <c r="L25" i="27"/>
  <c r="K150" i="27"/>
  <c r="F182" i="27" s="1"/>
  <c r="H27" i="27"/>
  <c r="J52" i="27"/>
  <c r="L52" i="27"/>
  <c r="H68" i="27"/>
  <c r="H31" i="27"/>
  <c r="H21" i="27"/>
  <c r="L21" i="27"/>
  <c r="H29" i="27"/>
  <c r="H23" i="27"/>
  <c r="F158" i="27"/>
  <c r="E37" i="20"/>
  <c r="F20" i="20" s="1"/>
  <c r="F150" i="27" l="1"/>
  <c r="L48" i="26"/>
  <c r="L57" i="26" l="1"/>
  <c r="L43" i="26"/>
  <c r="H57" i="26" a="1"/>
  <c r="H57" i="26" s="1"/>
  <c r="H55" i="26"/>
  <c r="H53" i="26"/>
  <c r="H29" i="26"/>
  <c r="L25" i="26"/>
  <c r="H25" i="26"/>
  <c r="H23" i="26"/>
  <c r="F104" i="26" s="1"/>
  <c r="C3" i="26"/>
  <c r="F67" i="26" l="1"/>
  <c r="K73" i="26"/>
  <c r="F105" i="26" s="1"/>
  <c r="H17" i="26"/>
  <c r="H7" i="26"/>
  <c r="F72" i="26" s="1"/>
  <c r="H19" i="26"/>
  <c r="K72" i="26"/>
  <c r="L13" i="26"/>
  <c r="L9" i="26"/>
  <c r="H11" i="26"/>
  <c r="H13" i="26"/>
  <c r="H15" i="26"/>
  <c r="H59" i="26"/>
  <c r="F81" i="26"/>
  <c r="H9" i="26"/>
  <c r="F72" i="8"/>
  <c r="F73" i="26" l="1"/>
  <c r="D35" i="11"/>
  <c r="H5" i="11"/>
  <c r="F19" i="17"/>
  <c r="H5" i="17"/>
  <c r="H5" i="25"/>
  <c r="H23" i="8" l="1"/>
  <c r="K66" i="8" s="1"/>
  <c r="C8" i="18"/>
  <c r="F21" i="25"/>
  <c r="C11" i="25"/>
  <c r="C7" i="17"/>
  <c r="C8" i="17" s="1"/>
  <c r="B10" i="11"/>
  <c r="B8" i="11"/>
  <c r="H5" i="21"/>
  <c r="H6" i="21"/>
  <c r="H7" i="21"/>
  <c r="H8" i="21"/>
  <c r="H9" i="21"/>
  <c r="H10" i="21"/>
  <c r="C6" i="25" s="1"/>
  <c r="F15" i="25" s="1"/>
  <c r="G5" i="21"/>
  <c r="G6" i="21"/>
  <c r="G7" i="21"/>
  <c r="G8" i="21"/>
  <c r="G9" i="21"/>
  <c r="G10" i="21"/>
  <c r="F5" i="21"/>
  <c r="F6" i="21"/>
  <c r="F7" i="21"/>
  <c r="F8" i="21"/>
  <c r="F9" i="21"/>
  <c r="F10" i="21"/>
  <c r="E5" i="21"/>
  <c r="E6" i="21"/>
  <c r="E7" i="21"/>
  <c r="E8" i="21"/>
  <c r="E9" i="21"/>
  <c r="E10" i="21"/>
  <c r="D5" i="21"/>
  <c r="D6" i="21"/>
  <c r="D7" i="21"/>
  <c r="D8" i="21"/>
  <c r="D9" i="21"/>
  <c r="D10" i="21"/>
  <c r="C8" i="25" l="1"/>
  <c r="C9" i="25"/>
  <c r="C10" i="25"/>
  <c r="F10" i="25" s="1"/>
  <c r="H34" i="25" s="1"/>
  <c r="C11" i="17"/>
  <c r="C9" i="17"/>
  <c r="F9" i="17" s="1"/>
  <c r="H33" i="17" s="1"/>
  <c r="C10" i="17"/>
  <c r="C6" i="17"/>
  <c r="F15" i="17" s="1"/>
  <c r="F33" i="17" l="1"/>
  <c r="F34" i="17"/>
  <c r="F10" i="17"/>
  <c r="H34" i="17" s="1"/>
  <c r="F9" i="25"/>
  <c r="H33" i="25" s="1"/>
  <c r="F33" i="25" l="1"/>
  <c r="F32" i="20" l="1"/>
  <c r="H51" i="8" a="1"/>
  <c r="H51" i="8" s="1"/>
  <c r="H43" i="8"/>
  <c r="B39" i="4"/>
  <c r="C13" i="18"/>
  <c r="AT425" i="1"/>
  <c r="AT163" i="1"/>
  <c r="AT107" i="1"/>
  <c r="AT106" i="1"/>
  <c r="F4" i="23"/>
  <c r="F5" i="23"/>
  <c r="F6" i="23"/>
  <c r="F7" i="23"/>
  <c r="F8" i="23"/>
  <c r="F9" i="23"/>
  <c r="F10" i="23"/>
  <c r="F11" i="23"/>
  <c r="F12" i="23"/>
  <c r="F13" i="23"/>
  <c r="F14" i="23"/>
  <c r="F3" i="23"/>
  <c r="F47" i="20"/>
  <c r="AT422" i="1"/>
  <c r="AT411" i="1"/>
  <c r="AT385" i="1"/>
  <c r="AT365" i="1"/>
  <c r="H25" i="8" l="1"/>
  <c r="AT386" i="1"/>
  <c r="AU386" i="1" s="1" a="1"/>
  <c r="AU386" i="1" s="1"/>
  <c r="AV411" i="1"/>
  <c r="AV3" i="1"/>
  <c r="AV4" i="1"/>
  <c r="AV5" i="1"/>
  <c r="AV6" i="1"/>
  <c r="AV7" i="1"/>
  <c r="AV8" i="1"/>
  <c r="AV9" i="1"/>
  <c r="AV10" i="1"/>
  <c r="AV11" i="1"/>
  <c r="AV12" i="1"/>
  <c r="AV13" i="1"/>
  <c r="AV14" i="1"/>
  <c r="AV15" i="1"/>
  <c r="AV16" i="1"/>
  <c r="AV17" i="1"/>
  <c r="AV18" i="1"/>
  <c r="AV19" i="1"/>
  <c r="AV20" i="1"/>
  <c r="AV21" i="1"/>
  <c r="AV22" i="1"/>
  <c r="AV23" i="1"/>
  <c r="AV24" i="1"/>
  <c r="AV25" i="1"/>
  <c r="AV26" i="1"/>
  <c r="AV27" i="1"/>
  <c r="AV28" i="1"/>
  <c r="AV29" i="1"/>
  <c r="AV30" i="1"/>
  <c r="AV31" i="1"/>
  <c r="AV32" i="1"/>
  <c r="AV33" i="1"/>
  <c r="AV34" i="1"/>
  <c r="AV35" i="1"/>
  <c r="AV36" i="1"/>
  <c r="AV37" i="1"/>
  <c r="AV38" i="1"/>
  <c r="AV39" i="1"/>
  <c r="AV40" i="1"/>
  <c r="AV41" i="1"/>
  <c r="AV42" i="1"/>
  <c r="AV43" i="1"/>
  <c r="AV44" i="1"/>
  <c r="AV45" i="1"/>
  <c r="AV46" i="1"/>
  <c r="AV47" i="1"/>
  <c r="AV48" i="1"/>
  <c r="AV49" i="1"/>
  <c r="AV50" i="1"/>
  <c r="AV51" i="1"/>
  <c r="AV52" i="1"/>
  <c r="AV53" i="1"/>
  <c r="AV54" i="1"/>
  <c r="AV55" i="1"/>
  <c r="AV56" i="1"/>
  <c r="AV57" i="1"/>
  <c r="AV58" i="1"/>
  <c r="AV59" i="1"/>
  <c r="AV60" i="1"/>
  <c r="AV61" i="1"/>
  <c r="AV62" i="1"/>
  <c r="AV63" i="1"/>
  <c r="AV64" i="1"/>
  <c r="AV65" i="1"/>
  <c r="AV66" i="1"/>
  <c r="AV67" i="1"/>
  <c r="AV68" i="1"/>
  <c r="AV69" i="1"/>
  <c r="AV70" i="1"/>
  <c r="AV71" i="1"/>
  <c r="AV72" i="1"/>
  <c r="AV73" i="1"/>
  <c r="AV74" i="1"/>
  <c r="AV75" i="1"/>
  <c r="AV76" i="1"/>
  <c r="AV77" i="1"/>
  <c r="AV78" i="1"/>
  <c r="AV79" i="1"/>
  <c r="AV80" i="1"/>
  <c r="AV81" i="1"/>
  <c r="AV82" i="1"/>
  <c r="AV83" i="1"/>
  <c r="AV84" i="1"/>
  <c r="AV85" i="1"/>
  <c r="AV86" i="1"/>
  <c r="AV87" i="1"/>
  <c r="AV88" i="1"/>
  <c r="AV89" i="1"/>
  <c r="AV90" i="1"/>
  <c r="AV91" i="1"/>
  <c r="AV92" i="1"/>
  <c r="AV93" i="1"/>
  <c r="AV94" i="1"/>
  <c r="AV95" i="1"/>
  <c r="AV96" i="1"/>
  <c r="AV97" i="1"/>
  <c r="AV98" i="1"/>
  <c r="AV99" i="1"/>
  <c r="AV100" i="1"/>
  <c r="AV101" i="1"/>
  <c r="AV102" i="1"/>
  <c r="AV103" i="1"/>
  <c r="AV104" i="1"/>
  <c r="AV105" i="1"/>
  <c r="AV106" i="1"/>
  <c r="AV107" i="1"/>
  <c r="AV108" i="1"/>
  <c r="AV109" i="1"/>
  <c r="AV110" i="1"/>
  <c r="AV111" i="1"/>
  <c r="AV112" i="1"/>
  <c r="AV113" i="1"/>
  <c r="AV114" i="1"/>
  <c r="AV115" i="1"/>
  <c r="AV116" i="1"/>
  <c r="AV117" i="1"/>
  <c r="AV118" i="1"/>
  <c r="AV119" i="1"/>
  <c r="AV120" i="1"/>
  <c r="AV121" i="1"/>
  <c r="AV122" i="1"/>
  <c r="AV123" i="1"/>
  <c r="AV124" i="1"/>
  <c r="AV125" i="1"/>
  <c r="AV126" i="1"/>
  <c r="AV127" i="1"/>
  <c r="AV128" i="1"/>
  <c r="AV129" i="1"/>
  <c r="AV130" i="1"/>
  <c r="AV131" i="1"/>
  <c r="AV132" i="1"/>
  <c r="AV133" i="1"/>
  <c r="AV134" i="1"/>
  <c r="AV135" i="1"/>
  <c r="AV136" i="1"/>
  <c r="AV137" i="1"/>
  <c r="AV138" i="1"/>
  <c r="AV139" i="1"/>
  <c r="AV140" i="1"/>
  <c r="AV141" i="1"/>
  <c r="AV142" i="1"/>
  <c r="AV143" i="1"/>
  <c r="AV144" i="1"/>
  <c r="AV145" i="1"/>
  <c r="AV146" i="1"/>
  <c r="AV147" i="1"/>
  <c r="AV148" i="1"/>
  <c r="AV149" i="1"/>
  <c r="AV150" i="1"/>
  <c r="AV151" i="1"/>
  <c r="AV152" i="1"/>
  <c r="AV153" i="1"/>
  <c r="AV154" i="1"/>
  <c r="AV155" i="1"/>
  <c r="AV156" i="1"/>
  <c r="AV157" i="1"/>
  <c r="AV158" i="1"/>
  <c r="AV159" i="1"/>
  <c r="AV160" i="1"/>
  <c r="AV161" i="1"/>
  <c r="AV162" i="1"/>
  <c r="AV163" i="1"/>
  <c r="AV164" i="1"/>
  <c r="AV165" i="1"/>
  <c r="AV166" i="1"/>
  <c r="AV167" i="1"/>
  <c r="AV168" i="1"/>
  <c r="AV169" i="1"/>
  <c r="AV170" i="1"/>
  <c r="AV171" i="1"/>
  <c r="AV172" i="1"/>
  <c r="AV173" i="1"/>
  <c r="AV174" i="1"/>
  <c r="AV175" i="1"/>
  <c r="AV176" i="1"/>
  <c r="AV177" i="1"/>
  <c r="AV178" i="1"/>
  <c r="AV179" i="1"/>
  <c r="AV180" i="1"/>
  <c r="AV181" i="1"/>
  <c r="AV182" i="1"/>
  <c r="AV183" i="1"/>
  <c r="AV184" i="1"/>
  <c r="AV185" i="1"/>
  <c r="AV186" i="1"/>
  <c r="AV187" i="1"/>
  <c r="AV188" i="1"/>
  <c r="AV189" i="1"/>
  <c r="AV190" i="1"/>
  <c r="AV191" i="1"/>
  <c r="AV192" i="1"/>
  <c r="AV193" i="1"/>
  <c r="AV194" i="1"/>
  <c r="AV195" i="1"/>
  <c r="AV196" i="1"/>
  <c r="AV197" i="1"/>
  <c r="AV198" i="1"/>
  <c r="AV199" i="1"/>
  <c r="AV200" i="1"/>
  <c r="AV201" i="1"/>
  <c r="AV202" i="1"/>
  <c r="AV203" i="1"/>
  <c r="AV204" i="1"/>
  <c r="AV205" i="1"/>
  <c r="AV206" i="1"/>
  <c r="AV207" i="1"/>
  <c r="AV208" i="1"/>
  <c r="AV209" i="1"/>
  <c r="AV210" i="1"/>
  <c r="AV211" i="1"/>
  <c r="AV212" i="1"/>
  <c r="AV213" i="1"/>
  <c r="AV214" i="1"/>
  <c r="AV215" i="1"/>
  <c r="AV216" i="1"/>
  <c r="AV217" i="1"/>
  <c r="AV218" i="1"/>
  <c r="AV219" i="1"/>
  <c r="AV220" i="1"/>
  <c r="AV221" i="1"/>
  <c r="AV222" i="1"/>
  <c r="AV223" i="1"/>
  <c r="AV224" i="1"/>
  <c r="AV225" i="1"/>
  <c r="AV226" i="1"/>
  <c r="AV227" i="1"/>
  <c r="AV228" i="1"/>
  <c r="AV229" i="1"/>
  <c r="AV230" i="1"/>
  <c r="AV231" i="1"/>
  <c r="AV232" i="1"/>
  <c r="AV233" i="1"/>
  <c r="AV234" i="1"/>
  <c r="AV235" i="1"/>
  <c r="AV236" i="1"/>
  <c r="AV237" i="1"/>
  <c r="AV238" i="1"/>
  <c r="AV239" i="1"/>
  <c r="AV240" i="1"/>
  <c r="AV241" i="1"/>
  <c r="AV242" i="1"/>
  <c r="AV243" i="1"/>
  <c r="AV244" i="1"/>
  <c r="AV245" i="1"/>
  <c r="AV246" i="1"/>
  <c r="AV247" i="1"/>
  <c r="AV248" i="1"/>
  <c r="AV249" i="1"/>
  <c r="AV250" i="1"/>
  <c r="AV251" i="1"/>
  <c r="AV252" i="1"/>
  <c r="AV253" i="1"/>
  <c r="AV254" i="1"/>
  <c r="AV255" i="1"/>
  <c r="AV256" i="1"/>
  <c r="AV257" i="1"/>
  <c r="AV258" i="1"/>
  <c r="AV259" i="1"/>
  <c r="AV260" i="1"/>
  <c r="AV261" i="1"/>
  <c r="AV262" i="1"/>
  <c r="AV263" i="1"/>
  <c r="AV264" i="1"/>
  <c r="AV265" i="1"/>
  <c r="AV266" i="1"/>
  <c r="AV267" i="1"/>
  <c r="AV268" i="1"/>
  <c r="AV269" i="1"/>
  <c r="AV270" i="1"/>
  <c r="AV271" i="1"/>
  <c r="AV272" i="1"/>
  <c r="AV273" i="1"/>
  <c r="AV274" i="1"/>
  <c r="AV275" i="1"/>
  <c r="AV276" i="1"/>
  <c r="AV277" i="1"/>
  <c r="AV278" i="1"/>
  <c r="AV279" i="1"/>
  <c r="AV280" i="1"/>
  <c r="AV281" i="1"/>
  <c r="AV282" i="1"/>
  <c r="AV283" i="1"/>
  <c r="AV284" i="1"/>
  <c r="AV285" i="1"/>
  <c r="AV286" i="1"/>
  <c r="AV287" i="1"/>
  <c r="AV288" i="1"/>
  <c r="AV289" i="1"/>
  <c r="AV290" i="1"/>
  <c r="AV291" i="1"/>
  <c r="AV292" i="1"/>
  <c r="AV293" i="1"/>
  <c r="AV294" i="1"/>
  <c r="AV295" i="1"/>
  <c r="AV296" i="1"/>
  <c r="AV297" i="1"/>
  <c r="AV298" i="1"/>
  <c r="AV299" i="1"/>
  <c r="AV300" i="1"/>
  <c r="AV301" i="1"/>
  <c r="AV302" i="1"/>
  <c r="AV303" i="1"/>
  <c r="AV304" i="1"/>
  <c r="AV305" i="1"/>
  <c r="AV306" i="1"/>
  <c r="AV307" i="1"/>
  <c r="AV308" i="1"/>
  <c r="AV309" i="1"/>
  <c r="AV310" i="1"/>
  <c r="AV311" i="1"/>
  <c r="AV312" i="1"/>
  <c r="AV313" i="1"/>
  <c r="AV314" i="1"/>
  <c r="AV315" i="1"/>
  <c r="AV316" i="1"/>
  <c r="AV317" i="1"/>
  <c r="AV318" i="1"/>
  <c r="AV319" i="1"/>
  <c r="AV320" i="1"/>
  <c r="AV321" i="1"/>
  <c r="AV322" i="1"/>
  <c r="AV323" i="1"/>
  <c r="AV324" i="1"/>
  <c r="AV325" i="1"/>
  <c r="AV326" i="1"/>
  <c r="AV327" i="1"/>
  <c r="AV328" i="1"/>
  <c r="AV329" i="1"/>
  <c r="AV330" i="1"/>
  <c r="AV331" i="1"/>
  <c r="AV332" i="1"/>
  <c r="AV333" i="1"/>
  <c r="AV334" i="1"/>
  <c r="AV335" i="1"/>
  <c r="AV336" i="1"/>
  <c r="AV337" i="1"/>
  <c r="AV338" i="1"/>
  <c r="AV339" i="1"/>
  <c r="AV340" i="1"/>
  <c r="AV341" i="1"/>
  <c r="AV342" i="1"/>
  <c r="AV343" i="1"/>
  <c r="AV344" i="1"/>
  <c r="AV345" i="1"/>
  <c r="AV346" i="1"/>
  <c r="AV347" i="1"/>
  <c r="AV348" i="1"/>
  <c r="AV349" i="1"/>
  <c r="AV350" i="1"/>
  <c r="AV351" i="1"/>
  <c r="AV352" i="1"/>
  <c r="AV353" i="1"/>
  <c r="AV354" i="1"/>
  <c r="AV355" i="1"/>
  <c r="AV356" i="1"/>
  <c r="AV357" i="1"/>
  <c r="AV358" i="1"/>
  <c r="AV359" i="1"/>
  <c r="AV360" i="1"/>
  <c r="AV361" i="1"/>
  <c r="AV362" i="1"/>
  <c r="AV363" i="1"/>
  <c r="AV364" i="1"/>
  <c r="AV365" i="1"/>
  <c r="AV366" i="1"/>
  <c r="AV367" i="1"/>
  <c r="AV368" i="1"/>
  <c r="AV369" i="1"/>
  <c r="AV370" i="1"/>
  <c r="AV371" i="1"/>
  <c r="AV372" i="1"/>
  <c r="AV373" i="1"/>
  <c r="AV374" i="1"/>
  <c r="AV375" i="1"/>
  <c r="AV376" i="1"/>
  <c r="AV377" i="1"/>
  <c r="AV378" i="1"/>
  <c r="AV379" i="1"/>
  <c r="AV380" i="1"/>
  <c r="AV381" i="1"/>
  <c r="AV382" i="1"/>
  <c r="AV383" i="1"/>
  <c r="AV384" i="1"/>
  <c r="AV385" i="1"/>
  <c r="AV386" i="1"/>
  <c r="AV387" i="1"/>
  <c r="AV388" i="1"/>
  <c r="AV389" i="1"/>
  <c r="AV390" i="1"/>
  <c r="AV391" i="1"/>
  <c r="AV392" i="1"/>
  <c r="AV393" i="1"/>
  <c r="AV394" i="1"/>
  <c r="AV395" i="1"/>
  <c r="AV396" i="1"/>
  <c r="AV397" i="1"/>
  <c r="AV398" i="1"/>
  <c r="AV399" i="1"/>
  <c r="AV400" i="1"/>
  <c r="AV401" i="1"/>
  <c r="AV402" i="1"/>
  <c r="AV403" i="1"/>
  <c r="AV404" i="1"/>
  <c r="AV405" i="1"/>
  <c r="AV406" i="1"/>
  <c r="AV407" i="1"/>
  <c r="AV408" i="1"/>
  <c r="AV409" i="1"/>
  <c r="AV410" i="1"/>
  <c r="AV412" i="1"/>
  <c r="AV413" i="1"/>
  <c r="AV414" i="1"/>
  <c r="AV415" i="1"/>
  <c r="AV416" i="1"/>
  <c r="AV417" i="1"/>
  <c r="AV418" i="1"/>
  <c r="AV419" i="1"/>
  <c r="AV420" i="1"/>
  <c r="AV421" i="1"/>
  <c r="AV422" i="1"/>
  <c r="AV423" i="1"/>
  <c r="AV424" i="1"/>
  <c r="AV425" i="1"/>
  <c r="AV426" i="1"/>
  <c r="AV427" i="1"/>
  <c r="AV428" i="1"/>
  <c r="AV429" i="1"/>
  <c r="AV430" i="1"/>
  <c r="AV431" i="1"/>
  <c r="AV432" i="1"/>
  <c r="AV433" i="1"/>
  <c r="AV434" i="1"/>
  <c r="AV436" i="1"/>
  <c r="AV437" i="1"/>
  <c r="AV438" i="1"/>
  <c r="AV439" i="1"/>
  <c r="AV440" i="1"/>
  <c r="AV441" i="1"/>
  <c r="AV442" i="1"/>
  <c r="AV443" i="1"/>
  <c r="AV444" i="1"/>
  <c r="AV445" i="1"/>
  <c r="AV446" i="1"/>
  <c r="AV541" i="1"/>
  <c r="AV447" i="1"/>
  <c r="AV448" i="1"/>
  <c r="AV449" i="1"/>
  <c r="AV450" i="1"/>
  <c r="AV451" i="1"/>
  <c r="AV452" i="1"/>
  <c r="AV453" i="1"/>
  <c r="AV454" i="1"/>
  <c r="AV455" i="1"/>
  <c r="AV456" i="1"/>
  <c r="AV457" i="1"/>
  <c r="AV458" i="1"/>
  <c r="AV459" i="1"/>
  <c r="AV460" i="1"/>
  <c r="AV461" i="1"/>
  <c r="AV462" i="1"/>
  <c r="AV463" i="1"/>
  <c r="AV464" i="1"/>
  <c r="AV465" i="1"/>
  <c r="AV466" i="1"/>
  <c r="AV467" i="1"/>
  <c r="AV468" i="1"/>
  <c r="AV469" i="1"/>
  <c r="AV470" i="1"/>
  <c r="AV471" i="1"/>
  <c r="AV472" i="1"/>
  <c r="AV473" i="1"/>
  <c r="AV474" i="1"/>
  <c r="AV475" i="1"/>
  <c r="AV476" i="1"/>
  <c r="AV477" i="1"/>
  <c r="AV478" i="1"/>
  <c r="AV479" i="1"/>
  <c r="AV480" i="1"/>
  <c r="AV481" i="1"/>
  <c r="AV482" i="1"/>
  <c r="AV483" i="1"/>
  <c r="AV484" i="1"/>
  <c r="AV485" i="1"/>
  <c r="AV486" i="1"/>
  <c r="AV487" i="1"/>
  <c r="AV488" i="1"/>
  <c r="AV489" i="1"/>
  <c r="AV490" i="1"/>
  <c r="AV491" i="1"/>
  <c r="AV492" i="1"/>
  <c r="AV493" i="1"/>
  <c r="AV494" i="1"/>
  <c r="AV495" i="1"/>
  <c r="AV496" i="1"/>
  <c r="AV497" i="1"/>
  <c r="AV498" i="1"/>
  <c r="AV499" i="1"/>
  <c r="AV500" i="1"/>
  <c r="AV501" i="1"/>
  <c r="AV502" i="1"/>
  <c r="AV503" i="1"/>
  <c r="AV504" i="1"/>
  <c r="AV505" i="1"/>
  <c r="AV506" i="1"/>
  <c r="AV507" i="1"/>
  <c r="AV508" i="1"/>
  <c r="AV509" i="1"/>
  <c r="AV510" i="1"/>
  <c r="AV511" i="1"/>
  <c r="AV512" i="1"/>
  <c r="AV513" i="1"/>
  <c r="AV514" i="1"/>
  <c r="AV515" i="1"/>
  <c r="AV516" i="1"/>
  <c r="AV517" i="1"/>
  <c r="AV518" i="1"/>
  <c r="AV519" i="1"/>
  <c r="AV520" i="1"/>
  <c r="AV521" i="1"/>
  <c r="AV522" i="1"/>
  <c r="AV523" i="1"/>
  <c r="AV524" i="1"/>
  <c r="AV525" i="1"/>
  <c r="AV526" i="1"/>
  <c r="AV527" i="1"/>
  <c r="AV528" i="1"/>
  <c r="AV529" i="1"/>
  <c r="AV530" i="1"/>
  <c r="AV531" i="1"/>
  <c r="AV532" i="1"/>
  <c r="AV533" i="1"/>
  <c r="AV534" i="1"/>
  <c r="AV535" i="1"/>
  <c r="AV536" i="1"/>
  <c r="AV537" i="1"/>
  <c r="AV538" i="1"/>
  <c r="AV539" i="1"/>
  <c r="AV540" i="1"/>
  <c r="AV542" i="1"/>
  <c r="AV543" i="1"/>
  <c r="L36" i="8"/>
  <c r="L25" i="8"/>
  <c r="L43" i="8"/>
  <c r="H30" i="10"/>
  <c r="C19" i="4"/>
  <c r="C18" i="4"/>
  <c r="G41" i="20"/>
  <c r="R26" i="20" s="1"/>
  <c r="C4" i="4"/>
  <c r="K20" i="20"/>
  <c r="D47" i="20"/>
  <c r="F72" i="20"/>
  <c r="F77" i="20"/>
  <c r="F78" i="20"/>
  <c r="F74" i="20"/>
  <c r="F73" i="20"/>
  <c r="F76" i="20"/>
  <c r="F75" i="20"/>
  <c r="E110" i="11"/>
  <c r="H4" i="11"/>
  <c r="C10" i="18"/>
  <c r="C36" i="4"/>
  <c r="C38" i="4" s="1"/>
  <c r="C33" i="4"/>
  <c r="C34" i="4" s="1"/>
  <c r="F33" i="20"/>
  <c r="AA4" i="20"/>
  <c r="R11" i="20" s="1"/>
  <c r="AX3" i="1"/>
  <c r="AT244" i="1"/>
  <c r="AU244" i="1" s="1" a="1"/>
  <c r="AU244" i="1" s="1"/>
  <c r="AT262" i="1"/>
  <c r="AU262" i="1" s="1" a="1"/>
  <c r="AU262" i="1" s="1"/>
  <c r="AT86" i="1"/>
  <c r="AU86" i="1" s="1" a="1"/>
  <c r="AU86" i="1" s="1"/>
  <c r="AT232" i="1"/>
  <c r="AU232" i="1" s="1" a="1"/>
  <c r="AU232" i="1" s="1"/>
  <c r="AT237" i="1"/>
  <c r="AU237" i="1" s="1" a="1"/>
  <c r="AU237" i="1" s="1"/>
  <c r="AT41" i="1"/>
  <c r="AU41" i="1" s="1" a="1"/>
  <c r="AU41" i="1" s="1"/>
  <c r="AT45" i="1"/>
  <c r="AU45" i="1" s="1" a="1"/>
  <c r="AU45" i="1" s="1"/>
  <c r="AT99" i="1"/>
  <c r="AU99" i="1" s="1" a="1"/>
  <c r="AU99" i="1" s="1"/>
  <c r="AT259" i="1"/>
  <c r="AU259" i="1" s="1" a="1"/>
  <c r="AU259" i="1" s="1"/>
  <c r="AT51" i="1"/>
  <c r="AU51" i="1" s="1" a="1"/>
  <c r="AU51" i="1" s="1"/>
  <c r="AT70" i="1"/>
  <c r="AU70" i="1" s="1" a="1"/>
  <c r="AU70" i="1" s="1"/>
  <c r="AT79" i="1"/>
  <c r="AU79" i="1" s="1" a="1"/>
  <c r="AU79" i="1" s="1"/>
  <c r="AT83" i="1"/>
  <c r="AU83" i="1" s="1" a="1"/>
  <c r="AU83" i="1" s="1"/>
  <c r="AT543" i="1"/>
  <c r="AU543" i="1" s="1" a="1"/>
  <c r="AU543" i="1" s="1"/>
  <c r="AT144" i="1"/>
  <c r="AU144" i="1" s="1" a="1"/>
  <c r="AU144" i="1" s="1"/>
  <c r="AT146" i="1"/>
  <c r="AU146" i="1" s="1" a="1"/>
  <c r="AU146" i="1" s="1"/>
  <c r="AT158" i="1"/>
  <c r="AU158" i="1" s="1" a="1"/>
  <c r="AU158" i="1" s="1"/>
  <c r="AT272" i="1"/>
  <c r="AU272" i="1" s="1" a="1"/>
  <c r="AU272" i="1" s="1"/>
  <c r="AT275" i="1"/>
  <c r="AU275" i="1" s="1" a="1"/>
  <c r="AU275" i="1" s="1"/>
  <c r="AT152" i="1"/>
  <c r="AU152" i="1" s="1" a="1"/>
  <c r="AU152" i="1" s="1"/>
  <c r="AT149" i="1"/>
  <c r="AU149" i="1" s="1" a="1"/>
  <c r="AU149" i="1" s="1"/>
  <c r="AT148" i="1"/>
  <c r="AU106" i="1" a="1"/>
  <c r="AU106" i="1" s="1"/>
  <c r="AT153" i="1"/>
  <c r="AU153" i="1" s="1" a="1"/>
  <c r="AU153" i="1" s="1"/>
  <c r="AT161" i="1"/>
  <c r="AU161" i="1" s="1" a="1"/>
  <c r="AU161" i="1" s="1"/>
  <c r="AT258" i="1"/>
  <c r="AU258" i="1" s="1" a="1"/>
  <c r="AU258" i="1" s="1"/>
  <c r="AT239" i="1"/>
  <c r="AU239" i="1" s="1" a="1"/>
  <c r="AU239" i="1" s="1"/>
  <c r="AT271" i="1"/>
  <c r="AU271" i="1" s="1" a="1"/>
  <c r="AU271" i="1" s="1"/>
  <c r="AT76" i="1"/>
  <c r="AU76" i="1" s="1" a="1"/>
  <c r="AU76" i="1" s="1"/>
  <c r="AT81" i="1"/>
  <c r="AU81" i="1" s="1" a="1"/>
  <c r="AU81" i="1" s="1"/>
  <c r="AT88" i="1"/>
  <c r="AU88" i="1" s="1" a="1"/>
  <c r="AU88" i="1" s="1"/>
  <c r="AT91" i="1"/>
  <c r="AU91" i="1" s="1" a="1"/>
  <c r="AU91" i="1" s="1"/>
  <c r="AT54" i="1"/>
  <c r="AU54" i="1" s="1" a="1"/>
  <c r="AU54" i="1" s="1"/>
  <c r="AT93" i="1"/>
  <c r="AU93" i="1" s="1" a="1"/>
  <c r="AU93" i="1" s="1"/>
  <c r="AT296" i="1"/>
  <c r="AU296" i="1" s="1" a="1"/>
  <c r="AU296" i="1" s="1"/>
  <c r="AT60" i="1"/>
  <c r="AU60" i="1" s="1" a="1"/>
  <c r="AU60" i="1" s="1"/>
  <c r="AT63" i="1"/>
  <c r="AU63" i="1" s="1" a="1"/>
  <c r="AU63" i="1" s="1"/>
  <c r="AT64" i="1"/>
  <c r="AU64" i="1" s="1" a="1"/>
  <c r="AU64" i="1" s="1"/>
  <c r="AT97" i="1"/>
  <c r="AU97" i="1" s="1" a="1"/>
  <c r="AU97" i="1" s="1"/>
  <c r="AT125" i="1"/>
  <c r="AU125" i="1" s="1" a="1"/>
  <c r="AU125" i="1" s="1"/>
  <c r="AT137" i="1"/>
  <c r="AU137" i="1" s="1" a="1"/>
  <c r="AU137" i="1" s="1"/>
  <c r="AT150" i="1"/>
  <c r="AU150" i="1" s="1" a="1"/>
  <c r="AU150" i="1" s="1"/>
  <c r="AT151" i="1"/>
  <c r="AU151" i="1" s="1" a="1"/>
  <c r="AU151" i="1" s="1"/>
  <c r="AT169" i="1"/>
  <c r="AU169" i="1" s="1" a="1"/>
  <c r="AU169" i="1" s="1"/>
  <c r="AT195" i="1"/>
  <c r="AU195" i="1" s="1" a="1"/>
  <c r="AU195" i="1" s="1"/>
  <c r="AT119" i="1"/>
  <c r="AU119" i="1" s="1" a="1"/>
  <c r="AU119" i="1" s="1"/>
  <c r="AT29" i="1"/>
  <c r="AU29" i="1" s="1" a="1"/>
  <c r="AU29" i="1" s="1"/>
  <c r="AT31" i="1"/>
  <c r="AU31" i="1" s="1" a="1"/>
  <c r="AU31" i="1" s="1"/>
  <c r="AT32" i="1"/>
  <c r="AU32" i="1" s="1" a="1"/>
  <c r="AU32" i="1" s="1"/>
  <c r="AT33" i="1"/>
  <c r="AU33" i="1" s="1" a="1"/>
  <c r="AU33" i="1" s="1"/>
  <c r="AT46" i="1"/>
  <c r="AU46" i="1" s="1" a="1"/>
  <c r="AU46" i="1" s="1"/>
  <c r="AT87" i="1"/>
  <c r="AU87" i="1" s="1" a="1"/>
  <c r="AU87" i="1" s="1"/>
  <c r="AT98" i="1"/>
  <c r="AU98" i="1" s="1" a="1"/>
  <c r="AU98" i="1" s="1"/>
  <c r="AT122" i="1"/>
  <c r="AU122" i="1" s="1" a="1"/>
  <c r="AU122" i="1" s="1"/>
  <c r="AT165" i="1"/>
  <c r="AU165" i="1" s="1" a="1"/>
  <c r="AU165" i="1" s="1"/>
  <c r="AT240" i="1"/>
  <c r="AU240" i="1" s="1" a="1"/>
  <c r="AU240" i="1" s="1"/>
  <c r="AT269" i="1"/>
  <c r="AU269" i="1" s="1" a="1"/>
  <c r="AU269" i="1" s="1"/>
  <c r="AT30" i="1"/>
  <c r="AU30" i="1" s="1" a="1"/>
  <c r="AU30" i="1" s="1"/>
  <c r="AT35" i="1"/>
  <c r="AU35" i="1" s="1" a="1"/>
  <c r="AU35" i="1" s="1"/>
  <c r="AT110" i="1"/>
  <c r="AU110" i="1" s="1" a="1"/>
  <c r="AU110" i="1" s="1"/>
  <c r="AT124" i="1"/>
  <c r="AU124" i="1" s="1" a="1"/>
  <c r="AU124" i="1" s="1"/>
  <c r="AT130" i="1"/>
  <c r="AU130" i="1" s="1" a="1"/>
  <c r="AU130" i="1" s="1"/>
  <c r="AT142" i="1"/>
  <c r="AU142" i="1" s="1" a="1"/>
  <c r="AU142" i="1" s="1"/>
  <c r="AT157" i="1"/>
  <c r="AU157" i="1" s="1" a="1"/>
  <c r="AU157" i="1" s="1"/>
  <c r="AT198" i="1"/>
  <c r="AU198" i="1" s="1" a="1"/>
  <c r="AU198" i="1" s="1"/>
  <c r="AT208" i="1"/>
  <c r="AU208" i="1" s="1" a="1"/>
  <c r="AU208" i="1" s="1"/>
  <c r="AT247" i="1"/>
  <c r="AU247" i="1" s="1" a="1"/>
  <c r="AU247" i="1" s="1"/>
  <c r="AT249" i="1"/>
  <c r="AU249" i="1" s="1" a="1"/>
  <c r="AU249" i="1" s="1"/>
  <c r="AT250" i="1"/>
  <c r="AU250" i="1" s="1" a="1"/>
  <c r="AU250" i="1" s="1"/>
  <c r="AT251" i="1"/>
  <c r="AU251" i="1" s="1" a="1"/>
  <c r="AU251" i="1" s="1"/>
  <c r="AT257" i="1"/>
  <c r="AU257" i="1" s="1" a="1"/>
  <c r="AU257" i="1" s="1"/>
  <c r="AT37" i="1"/>
  <c r="AU37" i="1" s="1" a="1"/>
  <c r="AU37" i="1" s="1"/>
  <c r="AT43" i="1"/>
  <c r="AU43" i="1" s="1" a="1"/>
  <c r="AU43" i="1" s="1"/>
  <c r="AT44" i="1"/>
  <c r="AU44" i="1" s="1" a="1"/>
  <c r="AU44" i="1" s="1"/>
  <c r="AT234" i="1"/>
  <c r="AU234" i="1" s="1" a="1"/>
  <c r="AU234" i="1" s="1"/>
  <c r="AT141" i="1"/>
  <c r="AU141" i="1" s="1" a="1"/>
  <c r="AU141" i="1" s="1"/>
  <c r="AT191" i="1"/>
  <c r="AU191" i="1" s="1" a="1"/>
  <c r="AU191" i="1" s="1"/>
  <c r="AT245" i="1"/>
  <c r="AU245" i="1" s="1" a="1"/>
  <c r="AU245" i="1" s="1"/>
  <c r="AT65" i="1"/>
  <c r="AU65" i="1" s="1" a="1"/>
  <c r="AU65" i="1" s="1"/>
  <c r="AT59" i="1"/>
  <c r="AU59" i="1" s="1" a="1"/>
  <c r="AU59" i="1" s="1"/>
  <c r="AT199" i="1"/>
  <c r="AU199" i="1" s="1" a="1"/>
  <c r="AU199" i="1" s="1"/>
  <c r="AT105" i="1"/>
  <c r="AU105" i="1" s="1" a="1"/>
  <c r="AU105" i="1" s="1"/>
  <c r="AT222" i="1"/>
  <c r="AU222" i="1" s="1" a="1"/>
  <c r="AU222" i="1" s="1"/>
  <c r="AT113" i="1"/>
  <c r="AU113" i="1" s="1" a="1"/>
  <c r="AU113" i="1" s="1"/>
  <c r="AT255" i="1"/>
  <c r="AU255" i="1" s="1" a="1"/>
  <c r="AU255" i="1" s="1"/>
  <c r="AT263" i="1"/>
  <c r="AU263" i="1" s="1" a="1"/>
  <c r="AU263" i="1" s="1"/>
  <c r="AT246" i="1"/>
  <c r="AU246" i="1" s="1" a="1"/>
  <c r="AU246" i="1" s="1"/>
  <c r="AT267" i="1"/>
  <c r="AU267" i="1" s="1" a="1"/>
  <c r="AU267" i="1" s="1"/>
  <c r="AT6" i="1"/>
  <c r="AU6" i="1" s="1" a="1"/>
  <c r="AU6" i="1" s="1"/>
  <c r="AT135" i="1"/>
  <c r="AU135" i="1" s="1" a="1"/>
  <c r="AU135" i="1" s="1"/>
  <c r="AT139" i="1"/>
  <c r="AU139" i="1" s="1" a="1"/>
  <c r="AU139" i="1" s="1"/>
  <c r="AT238" i="1"/>
  <c r="AU238" i="1" s="1" a="1"/>
  <c r="AU238" i="1" s="1"/>
  <c r="AT243" i="1"/>
  <c r="AU243" i="1" s="1" a="1"/>
  <c r="AU243" i="1" s="1"/>
  <c r="AT62" i="1"/>
  <c r="AU62" i="1" s="1" a="1"/>
  <c r="AU62" i="1" s="1"/>
  <c r="AT66" i="1"/>
  <c r="AU66" i="1" s="1" a="1"/>
  <c r="AU66" i="1" s="1"/>
  <c r="AT126" i="1"/>
  <c r="AU126" i="1" s="1" a="1"/>
  <c r="AU126" i="1" s="1"/>
  <c r="AT160" i="1"/>
  <c r="AU160" i="1" s="1" a="1"/>
  <c r="AU160" i="1" s="1"/>
  <c r="AT305" i="1"/>
  <c r="AU305" i="1" s="1" a="1"/>
  <c r="AU305" i="1" s="1"/>
  <c r="AT7" i="1"/>
  <c r="AU7" i="1" s="1" a="1"/>
  <c r="AU7" i="1" s="1"/>
  <c r="AT36" i="1"/>
  <c r="AU36" i="1" s="1" a="1"/>
  <c r="AU36" i="1" s="1"/>
  <c r="AT215" i="1"/>
  <c r="AU215" i="1" s="1" a="1"/>
  <c r="AU215" i="1" s="1"/>
  <c r="AT23" i="1"/>
  <c r="AU23" i="1" s="1" a="1"/>
  <c r="AU23" i="1" s="1"/>
  <c r="AT18" i="1"/>
  <c r="AU18" i="1" s="1" a="1"/>
  <c r="AU18" i="1" s="1"/>
  <c r="AT159" i="1"/>
  <c r="AU159" i="1" s="1" a="1"/>
  <c r="AU159" i="1" s="1"/>
  <c r="AT85" i="1"/>
  <c r="AU85" i="1" s="1" a="1"/>
  <c r="AU85" i="1" s="1"/>
  <c r="AU107" i="1" a="1"/>
  <c r="AU107" i="1" s="1"/>
  <c r="AT178" i="1"/>
  <c r="AU178" i="1" s="1" a="1"/>
  <c r="AU178" i="1" s="1"/>
  <c r="AT182" i="1"/>
  <c r="AU182" i="1" s="1" a="1"/>
  <c r="AU182" i="1" s="1"/>
  <c r="AT186" i="1"/>
  <c r="AU186" i="1" s="1" a="1"/>
  <c r="AU186" i="1" s="1"/>
  <c r="AT187" i="1"/>
  <c r="AU187" i="1" s="1" a="1"/>
  <c r="AU187" i="1" s="1"/>
  <c r="AT75" i="1"/>
  <c r="AU75" i="1" s="1" a="1"/>
  <c r="AU75" i="1" s="1"/>
  <c r="AT34" i="1"/>
  <c r="AU34" i="1" s="1" a="1"/>
  <c r="AU34" i="1" s="1"/>
  <c r="AT109" i="1"/>
  <c r="AU109" i="1" s="1" a="1"/>
  <c r="AU109" i="1" s="1"/>
  <c r="AT40" i="1"/>
  <c r="AU40" i="1" s="1" a="1"/>
  <c r="AU40" i="1" s="1"/>
  <c r="AT68" i="1"/>
  <c r="AU68" i="1" s="1" a="1"/>
  <c r="AU68" i="1" s="1"/>
  <c r="AT140" i="1"/>
  <c r="AU140" i="1" s="1" a="1"/>
  <c r="AU140" i="1" s="1"/>
  <c r="AT223" i="1"/>
  <c r="AU223" i="1" s="1" a="1"/>
  <c r="AU223" i="1" s="1"/>
  <c r="AT227" i="1"/>
  <c r="AU227" i="1" s="1" a="1"/>
  <c r="AU227" i="1" s="1"/>
  <c r="AT306" i="1"/>
  <c r="AU306" i="1" s="1" a="1"/>
  <c r="AU306" i="1" s="1"/>
  <c r="AT307" i="1"/>
  <c r="AU307" i="1" s="1" a="1"/>
  <c r="AU307" i="1" s="1"/>
  <c r="AT225" i="1"/>
  <c r="AU225" i="1" s="1" a="1"/>
  <c r="AU225" i="1" s="1"/>
  <c r="AT25" i="1"/>
  <c r="AU25" i="1" s="1" a="1"/>
  <c r="AU25" i="1" s="1"/>
  <c r="AT273" i="1"/>
  <c r="AU273" i="1" s="1" a="1"/>
  <c r="AU273" i="1" s="1"/>
  <c r="AT49" i="1"/>
  <c r="AU49" i="1" s="1" a="1"/>
  <c r="AU49" i="1" s="1"/>
  <c r="AT26" i="1"/>
  <c r="AU26" i="1" s="1" a="1"/>
  <c r="AU26" i="1" s="1"/>
  <c r="AT274" i="1"/>
  <c r="AU274" i="1" s="1" a="1"/>
  <c r="AU274" i="1" s="1"/>
  <c r="AT92" i="1"/>
  <c r="AU92" i="1" s="1" a="1"/>
  <c r="AU92" i="1" s="1"/>
  <c r="AT69" i="1"/>
  <c r="AU69" i="1" s="1" a="1"/>
  <c r="AU69" i="1" s="1"/>
  <c r="AT173" i="1"/>
  <c r="AU173" i="1" s="1" a="1"/>
  <c r="AU173" i="1" s="1"/>
  <c r="AT16" i="1"/>
  <c r="AU16" i="1" s="1" a="1"/>
  <c r="AU16" i="1" s="1"/>
  <c r="AT22" i="1"/>
  <c r="AU22" i="1" s="1" a="1"/>
  <c r="AU22" i="1" s="1"/>
  <c r="AT24" i="1"/>
  <c r="AU24" i="1" s="1" a="1"/>
  <c r="AU24" i="1" s="1"/>
  <c r="AT19" i="1"/>
  <c r="AU19" i="1" s="1" a="1"/>
  <c r="AU19" i="1" s="1"/>
  <c r="AT3" i="1"/>
  <c r="AU3" i="1" s="1" a="1"/>
  <c r="AU3" i="1" s="1"/>
  <c r="AT50" i="1"/>
  <c r="AU50" i="1" s="1" a="1"/>
  <c r="AU50" i="1" s="1"/>
  <c r="AT77" i="1"/>
  <c r="AU77" i="1" s="1" a="1"/>
  <c r="AU77" i="1" s="1"/>
  <c r="AT55" i="1"/>
  <c r="AU55" i="1" s="1" a="1"/>
  <c r="AU55" i="1" s="1"/>
  <c r="AT61" i="1"/>
  <c r="AU61" i="1" s="1" a="1"/>
  <c r="AU61" i="1" s="1"/>
  <c r="AT67" i="1"/>
  <c r="AU67" i="1" s="1" a="1"/>
  <c r="AU67" i="1" s="1"/>
  <c r="AT78" i="1"/>
  <c r="AU78" i="1" s="1" a="1"/>
  <c r="AU78" i="1" s="1"/>
  <c r="AT80" i="1"/>
  <c r="AU80" i="1" s="1" a="1"/>
  <c r="AU80" i="1" s="1"/>
  <c r="AT104" i="1"/>
  <c r="AU104" i="1" s="1" a="1"/>
  <c r="AU104" i="1" s="1"/>
  <c r="AT131" i="1"/>
  <c r="AU131" i="1" s="1" a="1"/>
  <c r="AU131" i="1" s="1"/>
  <c r="AT132" i="1"/>
  <c r="AU132" i="1" s="1" a="1"/>
  <c r="AU132" i="1" s="1"/>
  <c r="AT133" i="1"/>
  <c r="AU133" i="1" s="1" a="1"/>
  <c r="AU133" i="1" s="1"/>
  <c r="AT134" i="1"/>
  <c r="AU134" i="1" s="1" a="1"/>
  <c r="AU134" i="1" s="1"/>
  <c r="AT136" i="1"/>
  <c r="AU136" i="1" s="1" a="1"/>
  <c r="AU136" i="1" s="1"/>
  <c r="AT170" i="1"/>
  <c r="AU170" i="1" s="1" a="1"/>
  <c r="AU170" i="1" s="1"/>
  <c r="AT171" i="1"/>
  <c r="AU171" i="1" s="1" a="1"/>
  <c r="AU171" i="1" s="1"/>
  <c r="AT192" i="1"/>
  <c r="AU192" i="1" s="1" a="1"/>
  <c r="AU192" i="1" s="1"/>
  <c r="AT197" i="1"/>
  <c r="AU197" i="1" s="1" a="1"/>
  <c r="AU197" i="1" s="1"/>
  <c r="AT217" i="1"/>
  <c r="AU217" i="1" s="1" a="1"/>
  <c r="AU217" i="1" s="1"/>
  <c r="AT219" i="1"/>
  <c r="AU219" i="1" s="1" a="1"/>
  <c r="AU219" i="1" s="1"/>
  <c r="AT220" i="1"/>
  <c r="AU220" i="1" s="1" a="1"/>
  <c r="AU220" i="1" s="1"/>
  <c r="AT221" i="1"/>
  <c r="AU221" i="1" s="1" a="1"/>
  <c r="AU221" i="1" s="1"/>
  <c r="AT224" i="1"/>
  <c r="AU224" i="1" s="1" a="1"/>
  <c r="AU224" i="1" s="1"/>
  <c r="AT226" i="1"/>
  <c r="AU226" i="1" s="1" a="1"/>
  <c r="AU226" i="1" s="1"/>
  <c r="AT228" i="1"/>
  <c r="AU228" i="1" s="1" a="1"/>
  <c r="AU228" i="1" s="1"/>
  <c r="AT229" i="1"/>
  <c r="AU229" i="1" s="1" a="1"/>
  <c r="AU229" i="1" s="1"/>
  <c r="AT264" i="1"/>
  <c r="AU264" i="1" s="1" a="1"/>
  <c r="AU264" i="1" s="1"/>
  <c r="AT193" i="1"/>
  <c r="AU193" i="1" s="1" a="1"/>
  <c r="AU193" i="1" s="1"/>
  <c r="AT214" i="1"/>
  <c r="AU214" i="1" s="1" a="1"/>
  <c r="AU214" i="1" s="1"/>
  <c r="AT230" i="1"/>
  <c r="AU230" i="1" s="1" a="1"/>
  <c r="AU230" i="1" s="1"/>
  <c r="AT252" i="1"/>
  <c r="AU252" i="1" s="1" a="1"/>
  <c r="AU252" i="1" s="1"/>
  <c r="AT253" i="1"/>
  <c r="AU253" i="1" s="1" a="1"/>
  <c r="AU253" i="1" s="1"/>
  <c r="AT20" i="1"/>
  <c r="AU20" i="1" s="1" a="1"/>
  <c r="AU20" i="1" s="1"/>
  <c r="AT15" i="1"/>
  <c r="AU15" i="1" s="1" a="1"/>
  <c r="AU15" i="1" s="1"/>
  <c r="AT115" i="1"/>
  <c r="AU115" i="1" s="1" a="1"/>
  <c r="AU115" i="1" s="1"/>
  <c r="AT116" i="1"/>
  <c r="AU116" i="1" s="1" a="1"/>
  <c r="AU116" i="1" s="1"/>
  <c r="AT283" i="1"/>
  <c r="AU283" i="1" s="1" a="1"/>
  <c r="AU283" i="1" s="1"/>
  <c r="AT293" i="1"/>
  <c r="AU293" i="1" s="1" a="1"/>
  <c r="AU293" i="1" s="1"/>
  <c r="AT127" i="1"/>
  <c r="AU127" i="1" s="1" a="1"/>
  <c r="AU127" i="1" s="1"/>
  <c r="AT48" i="1"/>
  <c r="AT4" i="1"/>
  <c r="AU4" i="1" s="1" a="1"/>
  <c r="AU4" i="1" s="1"/>
  <c r="AT53" i="1"/>
  <c r="AU53" i="1" s="1" a="1"/>
  <c r="AU53" i="1" s="1"/>
  <c r="AT270" i="1"/>
  <c r="AU270" i="1" s="1" a="1"/>
  <c r="AU270" i="1" s="1"/>
  <c r="AT111" i="1"/>
  <c r="AU111" i="1" s="1" a="1"/>
  <c r="AU111" i="1" s="1"/>
  <c r="AT52" i="1"/>
  <c r="AU52" i="1" s="1" a="1"/>
  <c r="AU52" i="1" s="1"/>
  <c r="AT89" i="1"/>
  <c r="AU89" i="1" s="1" a="1"/>
  <c r="AU89" i="1" s="1"/>
  <c r="AT200" i="1"/>
  <c r="AU200" i="1" s="1" a="1"/>
  <c r="AU200" i="1" s="1"/>
  <c r="AT256" i="1"/>
  <c r="AU256" i="1" s="1" a="1"/>
  <c r="AU256" i="1" s="1"/>
  <c r="AT164" i="1"/>
  <c r="AU164" i="1" s="1" a="1"/>
  <c r="AU164" i="1" s="1"/>
  <c r="AT28" i="1"/>
  <c r="AU28" i="1" s="1" a="1"/>
  <c r="AU28" i="1" s="1"/>
  <c r="AT84" i="1"/>
  <c r="AU84" i="1" s="1" a="1"/>
  <c r="AU84" i="1" s="1"/>
  <c r="AT145" i="1"/>
  <c r="AU145" i="1" s="1" a="1"/>
  <c r="AU145" i="1" s="1"/>
  <c r="AT5" i="1"/>
  <c r="AU5" i="1" s="1" a="1"/>
  <c r="AU5" i="1" s="1"/>
  <c r="AT207" i="1"/>
  <c r="AU207" i="1" s="1" a="1"/>
  <c r="AU207" i="1" s="1"/>
  <c r="AT209" i="1"/>
  <c r="AU209" i="1" s="1" a="1"/>
  <c r="AU209" i="1" s="1"/>
  <c r="AT210" i="1"/>
  <c r="AU210" i="1" s="1" a="1"/>
  <c r="AU210" i="1" s="1"/>
  <c r="AT211" i="1"/>
  <c r="AU211" i="1" s="1" a="1"/>
  <c r="AU211" i="1" s="1"/>
  <c r="AT212" i="1"/>
  <c r="AU212" i="1" s="1" a="1"/>
  <c r="AU212" i="1" s="1"/>
  <c r="AT260" i="1"/>
  <c r="AU260" i="1" s="1" a="1"/>
  <c r="AU260" i="1" s="1"/>
  <c r="AT128" i="1"/>
  <c r="AU128" i="1" s="1" a="1"/>
  <c r="AU128" i="1" s="1"/>
  <c r="AT129" i="1"/>
  <c r="AU129" i="1" s="1" a="1"/>
  <c r="AU129" i="1" s="1"/>
  <c r="AT266" i="1"/>
  <c r="AU266" i="1" s="1" a="1"/>
  <c r="AU266" i="1" s="1"/>
  <c r="AT9" i="1"/>
  <c r="AU9" i="1" s="1" a="1"/>
  <c r="AU9" i="1" s="1"/>
  <c r="AT11" i="1"/>
  <c r="AU11" i="1" s="1" a="1"/>
  <c r="AU11" i="1" s="1"/>
  <c r="AT12" i="1"/>
  <c r="AU12" i="1" s="1" a="1"/>
  <c r="AU12" i="1" s="1"/>
  <c r="AT13" i="1"/>
  <c r="AU13" i="1" s="1" a="1"/>
  <c r="AU13" i="1" s="1"/>
  <c r="AT14" i="1"/>
  <c r="AU14" i="1" s="1" a="1"/>
  <c r="AU14" i="1" s="1"/>
  <c r="AT17" i="1"/>
  <c r="AU17" i="1" s="1" a="1"/>
  <c r="AU17" i="1" s="1"/>
  <c r="AT27" i="1"/>
  <c r="AU27" i="1" s="1" a="1"/>
  <c r="AU27" i="1" s="1"/>
  <c r="AT38" i="1"/>
  <c r="AU38" i="1" s="1" a="1"/>
  <c r="AU38" i="1" s="1"/>
  <c r="AT39" i="1"/>
  <c r="AU39" i="1" s="1" a="1"/>
  <c r="AU39" i="1" s="1"/>
  <c r="AT42" i="1"/>
  <c r="AU42" i="1" s="1" a="1"/>
  <c r="AU42" i="1" s="1"/>
  <c r="AT71" i="1"/>
  <c r="AU71" i="1" s="1" a="1"/>
  <c r="AU71" i="1" s="1"/>
  <c r="AT72" i="1"/>
  <c r="AU72" i="1" s="1" a="1"/>
  <c r="AU72" i="1" s="1"/>
  <c r="AT73" i="1"/>
  <c r="AU73" i="1" s="1" a="1"/>
  <c r="AU73" i="1" s="1"/>
  <c r="AT82" i="1"/>
  <c r="AU82" i="1" s="1" a="1"/>
  <c r="AU82" i="1" s="1"/>
  <c r="AT95" i="1"/>
  <c r="AU95" i="1" s="1" a="1"/>
  <c r="AU95" i="1" s="1"/>
  <c r="AT96" i="1"/>
  <c r="AU96" i="1" s="1" a="1"/>
  <c r="AU96" i="1" s="1"/>
  <c r="AT100" i="1"/>
  <c r="AU100" i="1" s="1" a="1"/>
  <c r="AU100" i="1" s="1"/>
  <c r="AT101" i="1"/>
  <c r="AU101" i="1" s="1" a="1"/>
  <c r="AU101" i="1" s="1"/>
  <c r="AT102" i="1"/>
  <c r="AU102" i="1" s="1" a="1"/>
  <c r="AU102" i="1" s="1"/>
  <c r="AT103" i="1"/>
  <c r="AU103" i="1" s="1" a="1"/>
  <c r="AU103" i="1" s="1"/>
  <c r="AT108" i="1"/>
  <c r="AU108" i="1" s="1" a="1"/>
  <c r="AU108" i="1" s="1"/>
  <c r="AT114" i="1"/>
  <c r="AU114" i="1" s="1" a="1"/>
  <c r="AU114" i="1" s="1"/>
  <c r="AT117" i="1"/>
  <c r="AU117" i="1" s="1" a="1"/>
  <c r="AU117" i="1" s="1"/>
  <c r="AT120" i="1"/>
  <c r="AU120" i="1" s="1" a="1"/>
  <c r="AU120" i="1" s="1"/>
  <c r="AT121" i="1"/>
  <c r="AU121" i="1" s="1" a="1"/>
  <c r="AU121" i="1" s="1"/>
  <c r="AT189" i="1"/>
  <c r="AU189" i="1" s="1" a="1"/>
  <c r="AU189" i="1" s="1"/>
  <c r="AT202" i="1"/>
  <c r="AU202" i="1" s="1" a="1"/>
  <c r="AU202" i="1" s="1"/>
  <c r="AT213" i="1"/>
  <c r="AU213" i="1" s="1" a="1"/>
  <c r="AU213" i="1" s="1"/>
  <c r="AT235" i="1"/>
  <c r="AU235" i="1" s="1" a="1"/>
  <c r="AU235" i="1" s="1"/>
  <c r="AT276" i="1"/>
  <c r="AU276" i="1" s="1" a="1"/>
  <c r="AU276" i="1" s="1"/>
  <c r="AT277" i="1"/>
  <c r="AU277" i="1" s="1" a="1"/>
  <c r="AU277" i="1" s="1"/>
  <c r="AT278" i="1"/>
  <c r="AU278" i="1" s="1" a="1"/>
  <c r="AU278" i="1" s="1"/>
  <c r="AT279" i="1"/>
  <c r="AU279" i="1" s="1" a="1"/>
  <c r="AU279" i="1" s="1"/>
  <c r="AT280" i="1"/>
  <c r="AU280" i="1" s="1" a="1"/>
  <c r="AU280" i="1" s="1"/>
  <c r="AT281" i="1"/>
  <c r="AU281" i="1" s="1" a="1"/>
  <c r="AU281" i="1" s="1"/>
  <c r="AT285" i="1"/>
  <c r="AU285" i="1" s="1" a="1"/>
  <c r="AU285" i="1" s="1"/>
  <c r="AT287" i="1"/>
  <c r="AU287" i="1" s="1" a="1"/>
  <c r="AU287" i="1" s="1"/>
  <c r="AT288" i="1"/>
  <c r="AU288" i="1" s="1" a="1"/>
  <c r="AU288" i="1" s="1"/>
  <c r="AT289" i="1"/>
  <c r="AU289" i="1" s="1" a="1"/>
  <c r="AU289" i="1" s="1"/>
  <c r="AT290" i="1"/>
  <c r="AU290" i="1" s="1" a="1"/>
  <c r="AU290" i="1" s="1"/>
  <c r="AT291" i="1"/>
  <c r="AU291" i="1" s="1" a="1"/>
  <c r="AU291" i="1" s="1"/>
  <c r="AT294" i="1"/>
  <c r="AU294" i="1" s="1" a="1"/>
  <c r="AU294" i="1" s="1"/>
  <c r="AT295" i="1"/>
  <c r="AU295" i="1" s="1" a="1"/>
  <c r="AU295" i="1" s="1"/>
  <c r="AT297" i="1"/>
  <c r="AU297" i="1" s="1" a="1"/>
  <c r="AU297" i="1" s="1"/>
  <c r="AT298" i="1"/>
  <c r="AU298" i="1" s="1" a="1"/>
  <c r="AU298" i="1" s="1"/>
  <c r="AT299" i="1"/>
  <c r="AU299" i="1" s="1" a="1"/>
  <c r="AU299" i="1" s="1"/>
  <c r="AT300" i="1"/>
  <c r="AU300" i="1" s="1" a="1"/>
  <c r="AU300" i="1" s="1"/>
  <c r="AT301" i="1"/>
  <c r="AU301" i="1" s="1" a="1"/>
  <c r="AU301" i="1" s="1"/>
  <c r="AT303" i="1"/>
  <c r="AU303" i="1" s="1" a="1"/>
  <c r="AU303" i="1" s="1"/>
  <c r="AT304" i="1"/>
  <c r="AU304" i="1" s="1" a="1"/>
  <c r="AU304" i="1" s="1"/>
  <c r="AT231" i="1"/>
  <c r="AU231" i="1" s="1" a="1"/>
  <c r="AU231" i="1" s="1"/>
  <c r="AT112" i="1"/>
  <c r="AU112" i="1" s="1" a="1"/>
  <c r="AU112" i="1" s="1"/>
  <c r="AT118" i="1"/>
  <c r="AU118" i="1" s="1" a="1"/>
  <c r="AU118" i="1" s="1"/>
  <c r="AT156" i="1"/>
  <c r="AU156" i="1" s="1" a="1"/>
  <c r="AU156" i="1" s="1"/>
  <c r="AT162" i="1"/>
  <c r="AU162" i="1" s="1" a="1"/>
  <c r="AU162" i="1" s="1"/>
  <c r="AU163" i="1" a="1"/>
  <c r="AU163" i="1" s="1"/>
  <c r="AT218" i="1"/>
  <c r="AU218" i="1" s="1" a="1"/>
  <c r="AU218" i="1" s="1"/>
  <c r="AT233" i="1"/>
  <c r="AU233" i="1" s="1" a="1"/>
  <c r="AU233" i="1" s="1"/>
  <c r="AT74" i="1"/>
  <c r="AU74" i="1" s="1" a="1"/>
  <c r="AU74" i="1" s="1"/>
  <c r="AT203" i="1"/>
  <c r="AU203" i="1" s="1" a="1"/>
  <c r="AU203" i="1" s="1"/>
  <c r="AT204" i="1"/>
  <c r="AU204" i="1" s="1" a="1"/>
  <c r="AU204" i="1" s="1"/>
  <c r="AT205" i="1"/>
  <c r="AU205" i="1" s="1" a="1"/>
  <c r="AU205" i="1" s="1"/>
  <c r="AT282" i="1"/>
  <c r="AU282" i="1" s="1" a="1"/>
  <c r="AU282" i="1" s="1"/>
  <c r="AT284" i="1"/>
  <c r="AU284" i="1" s="1" a="1"/>
  <c r="AU284" i="1" s="1"/>
  <c r="AT292" i="1"/>
  <c r="AU292" i="1" s="1" a="1"/>
  <c r="AU292" i="1" s="1"/>
  <c r="AT302" i="1"/>
  <c r="AU302" i="1" s="1" a="1"/>
  <c r="AU302" i="1" s="1"/>
  <c r="AT58" i="1"/>
  <c r="AU58" i="1" s="1" a="1"/>
  <c r="AU58" i="1" s="1"/>
  <c r="AT57" i="1"/>
  <c r="AU57" i="1" s="1" a="1"/>
  <c r="AU57" i="1" s="1"/>
  <c r="AT172" i="1"/>
  <c r="AU172" i="1" s="1" a="1"/>
  <c r="AU172" i="1" s="1"/>
  <c r="AT176" i="1"/>
  <c r="AU176" i="1" s="1" a="1"/>
  <c r="AU176" i="1" s="1"/>
  <c r="AT179" i="1"/>
  <c r="AU179" i="1" s="1" a="1"/>
  <c r="AU179" i="1" s="1"/>
  <c r="AT180" i="1"/>
  <c r="AU180" i="1" s="1" a="1"/>
  <c r="AU180" i="1" s="1"/>
  <c r="AT181" i="1"/>
  <c r="AU181" i="1" s="1" a="1"/>
  <c r="AU181" i="1" s="1"/>
  <c r="AT183" i="1"/>
  <c r="AU183" i="1" s="1" a="1"/>
  <c r="AU183" i="1" s="1"/>
  <c r="AT185" i="1"/>
  <c r="AU185" i="1" s="1" a="1"/>
  <c r="AU185" i="1" s="1"/>
  <c r="AT188" i="1"/>
  <c r="AU188" i="1" s="1" a="1"/>
  <c r="AU188" i="1" s="1"/>
  <c r="AT190" i="1"/>
  <c r="AU190" i="1" s="1" a="1"/>
  <c r="AU190" i="1" s="1"/>
  <c r="AT194" i="1"/>
  <c r="AU194" i="1" s="1" a="1"/>
  <c r="AU194" i="1" s="1"/>
  <c r="AT123" i="1"/>
  <c r="AU123" i="1" s="1" a="1"/>
  <c r="AU123" i="1" s="1"/>
  <c r="AT265" i="1"/>
  <c r="AU265" i="1" s="1" a="1"/>
  <c r="AU265" i="1" s="1"/>
  <c r="AT254" i="1"/>
  <c r="AU254" i="1" s="1" a="1"/>
  <c r="AU254" i="1" s="1"/>
  <c r="AT90" i="1"/>
  <c r="AU90" i="1" s="1" a="1"/>
  <c r="AU90" i="1" s="1"/>
  <c r="AT8" i="1"/>
  <c r="AU8" i="1" s="1" a="1"/>
  <c r="AU8" i="1" s="1"/>
  <c r="AT147" i="1"/>
  <c r="AU147" i="1" s="1" a="1"/>
  <c r="AU147" i="1" s="1"/>
  <c r="AT94" i="1"/>
  <c r="AU94" i="1" s="1" a="1"/>
  <c r="AU94" i="1" s="1"/>
  <c r="AT155" i="1"/>
  <c r="AU155" i="1" s="1" a="1"/>
  <c r="AU155" i="1" s="1"/>
  <c r="AT216" i="1"/>
  <c r="AU216" i="1" s="1" a="1"/>
  <c r="AU216" i="1" s="1"/>
  <c r="AT138" i="1"/>
  <c r="AU138" i="1" s="1" a="1"/>
  <c r="AU138" i="1" s="1"/>
  <c r="AT196" i="1"/>
  <c r="AU196" i="1" s="1" a="1"/>
  <c r="AU196" i="1" s="1"/>
  <c r="AT268" i="1"/>
  <c r="AU268" i="1" s="1" a="1"/>
  <c r="AU268" i="1" s="1"/>
  <c r="AT56" i="1"/>
  <c r="AU56" i="1" s="1" a="1"/>
  <c r="AU56" i="1" s="1"/>
  <c r="AT143" i="1"/>
  <c r="AU143" i="1" s="1" a="1"/>
  <c r="AU143" i="1" s="1"/>
  <c r="AT21" i="1"/>
  <c r="AU21" i="1" s="1" a="1"/>
  <c r="AU21" i="1" s="1"/>
  <c r="AT201" i="1"/>
  <c r="AU201" i="1" s="1" a="1"/>
  <c r="AU201" i="1" s="1"/>
  <c r="AT236" i="1"/>
  <c r="AU236" i="1" s="1" a="1"/>
  <c r="AU236" i="1" s="1"/>
  <c r="AT261" i="1"/>
  <c r="AU261" i="1" s="1" a="1"/>
  <c r="AU261" i="1" s="1"/>
  <c r="AT10" i="1"/>
  <c r="AU10" i="1" s="1" a="1"/>
  <c r="AU10" i="1" s="1"/>
  <c r="AT166" i="1"/>
  <c r="AU166" i="1" s="1" a="1"/>
  <c r="AU166" i="1" s="1"/>
  <c r="AT286" i="1"/>
  <c r="AU286" i="1" s="1" a="1"/>
  <c r="AU286" i="1" s="1"/>
  <c r="AT47" i="1"/>
  <c r="AU47" i="1" s="1" a="1"/>
  <c r="AU47" i="1" s="1"/>
  <c r="AT248" i="1"/>
  <c r="AU248" i="1" s="1" a="1"/>
  <c r="AU248" i="1" s="1"/>
  <c r="AT167" i="1"/>
  <c r="AU167" i="1" s="1" a="1"/>
  <c r="AU167" i="1" s="1"/>
  <c r="AT168" i="1"/>
  <c r="AU168" i="1" s="1" a="1"/>
  <c r="AU168" i="1" s="1"/>
  <c r="AT241" i="1"/>
  <c r="AU241" i="1" s="1" a="1"/>
  <c r="AU241" i="1" s="1"/>
  <c r="AT242" i="1"/>
  <c r="AU242" i="1" s="1" a="1"/>
  <c r="AU242" i="1" s="1"/>
  <c r="AT154" i="1"/>
  <c r="AU154" i="1" s="1" a="1"/>
  <c r="AU154" i="1" s="1"/>
  <c r="AT174" i="1"/>
  <c r="AU174" i="1" s="1" a="1"/>
  <c r="AU174" i="1" s="1"/>
  <c r="AT175" i="1"/>
  <c r="AU175" i="1" s="1" a="1"/>
  <c r="AU175" i="1" s="1"/>
  <c r="AT177" i="1"/>
  <c r="AU177" i="1" s="1" a="1"/>
  <c r="AU177" i="1" s="1"/>
  <c r="AT184" i="1"/>
  <c r="AU184" i="1" s="1" a="1"/>
  <c r="AU184" i="1" s="1"/>
  <c r="AT206" i="1"/>
  <c r="AU206" i="1" s="1" a="1"/>
  <c r="AU206" i="1" s="1"/>
  <c r="AT308" i="1"/>
  <c r="AU308" i="1" s="1" a="1"/>
  <c r="AU308" i="1" s="1"/>
  <c r="AT309" i="1"/>
  <c r="AU309" i="1" s="1" a="1"/>
  <c r="AU309" i="1" s="1"/>
  <c r="AT310" i="1"/>
  <c r="AU310" i="1" s="1" a="1"/>
  <c r="AU310" i="1" s="1"/>
  <c r="AT311" i="1"/>
  <c r="AU311" i="1" s="1" a="1"/>
  <c r="AU311" i="1" s="1"/>
  <c r="AT312" i="1"/>
  <c r="AU312" i="1" s="1" a="1"/>
  <c r="AU312" i="1" s="1"/>
  <c r="AT313" i="1"/>
  <c r="AU313" i="1" s="1" a="1"/>
  <c r="AU313" i="1" s="1"/>
  <c r="AT314" i="1"/>
  <c r="AU314" i="1" s="1" a="1"/>
  <c r="AU314" i="1" s="1"/>
  <c r="AT315" i="1"/>
  <c r="AU315" i="1" s="1" a="1"/>
  <c r="AU315" i="1" s="1"/>
  <c r="AT316" i="1"/>
  <c r="AU316" i="1" s="1" a="1"/>
  <c r="AU316" i="1" s="1"/>
  <c r="AT317" i="1"/>
  <c r="AU317" i="1" s="1" a="1"/>
  <c r="AU317" i="1" s="1"/>
  <c r="AT318" i="1"/>
  <c r="AU318" i="1" s="1" a="1"/>
  <c r="AU318" i="1" s="1"/>
  <c r="AT319" i="1"/>
  <c r="AU319" i="1" s="1" a="1"/>
  <c r="AU319" i="1" s="1"/>
  <c r="AT320" i="1"/>
  <c r="AU320" i="1" s="1" a="1"/>
  <c r="AU320" i="1" s="1"/>
  <c r="AT321" i="1"/>
  <c r="AU321" i="1" s="1" a="1"/>
  <c r="AU321" i="1" s="1"/>
  <c r="AT322" i="1"/>
  <c r="AU322" i="1" s="1" a="1"/>
  <c r="AU322" i="1" s="1"/>
  <c r="AT323" i="1"/>
  <c r="AU323" i="1" s="1" a="1"/>
  <c r="AU323" i="1" s="1"/>
  <c r="AT324" i="1"/>
  <c r="AU324" i="1" s="1" a="1"/>
  <c r="AU324" i="1" s="1"/>
  <c r="AT325" i="1"/>
  <c r="AU325" i="1" s="1" a="1"/>
  <c r="AU325" i="1" s="1"/>
  <c r="AT326" i="1"/>
  <c r="AU326" i="1" s="1" a="1"/>
  <c r="AU326" i="1" s="1"/>
  <c r="AT327" i="1"/>
  <c r="AU327" i="1" s="1" a="1"/>
  <c r="AU327" i="1" s="1"/>
  <c r="AT328" i="1"/>
  <c r="AU328" i="1" s="1" a="1"/>
  <c r="AU328" i="1" s="1"/>
  <c r="AT329" i="1"/>
  <c r="AU329" i="1" s="1" a="1"/>
  <c r="AU329" i="1" s="1"/>
  <c r="AT330" i="1"/>
  <c r="AU330" i="1" s="1" a="1"/>
  <c r="AU330" i="1" s="1"/>
  <c r="AT331" i="1"/>
  <c r="AU331" i="1" s="1" a="1"/>
  <c r="AU331" i="1" s="1"/>
  <c r="AT332" i="1"/>
  <c r="AU332" i="1" s="1" a="1"/>
  <c r="AU332" i="1" s="1"/>
  <c r="AT333" i="1"/>
  <c r="AU333" i="1" s="1" a="1"/>
  <c r="AU333" i="1" s="1"/>
  <c r="AT334" i="1"/>
  <c r="AU334" i="1" s="1" a="1"/>
  <c r="AU334" i="1" s="1"/>
  <c r="AT335" i="1"/>
  <c r="AU335" i="1" s="1" a="1"/>
  <c r="AU335" i="1" s="1"/>
  <c r="AT336" i="1"/>
  <c r="AU336" i="1" s="1" a="1"/>
  <c r="AU336" i="1" s="1"/>
  <c r="AT337" i="1"/>
  <c r="AU337" i="1" s="1" a="1"/>
  <c r="AU337" i="1" s="1"/>
  <c r="AT338" i="1"/>
  <c r="AU338" i="1" s="1" a="1"/>
  <c r="AU338" i="1" s="1"/>
  <c r="AT339" i="1"/>
  <c r="AU339" i="1" s="1" a="1"/>
  <c r="AU339" i="1" s="1"/>
  <c r="AT340" i="1"/>
  <c r="AU340" i="1" s="1" a="1"/>
  <c r="AU340" i="1" s="1"/>
  <c r="AT341" i="1"/>
  <c r="AU341" i="1" s="1" a="1"/>
  <c r="AU341" i="1" s="1"/>
  <c r="AT342" i="1"/>
  <c r="AU342" i="1" s="1" a="1"/>
  <c r="AU342" i="1" s="1"/>
  <c r="AT343" i="1"/>
  <c r="AU343" i="1" s="1" a="1"/>
  <c r="AU343" i="1" s="1"/>
  <c r="AT344" i="1"/>
  <c r="AU344" i="1" s="1" a="1"/>
  <c r="AU344" i="1" s="1"/>
  <c r="AT345" i="1"/>
  <c r="AU345" i="1" s="1" a="1"/>
  <c r="AU345" i="1" s="1"/>
  <c r="AT346" i="1"/>
  <c r="AU346" i="1" s="1" a="1"/>
  <c r="AU346" i="1" s="1"/>
  <c r="AT347" i="1"/>
  <c r="AU347" i="1" s="1" a="1"/>
  <c r="AU347" i="1" s="1"/>
  <c r="AT348" i="1"/>
  <c r="AU348" i="1" s="1" a="1"/>
  <c r="AU348" i="1" s="1"/>
  <c r="AT349" i="1"/>
  <c r="AU349" i="1" s="1" a="1"/>
  <c r="AU349" i="1" s="1"/>
  <c r="AT350" i="1"/>
  <c r="AU350" i="1" s="1" a="1"/>
  <c r="AU350" i="1" s="1"/>
  <c r="AT351" i="1"/>
  <c r="AU351" i="1" s="1" a="1"/>
  <c r="AU351" i="1" s="1"/>
  <c r="AT352" i="1"/>
  <c r="AU352" i="1" s="1" a="1"/>
  <c r="AU352" i="1" s="1"/>
  <c r="AT353" i="1"/>
  <c r="AU353" i="1" s="1" a="1"/>
  <c r="AU353" i="1" s="1"/>
  <c r="AT354" i="1"/>
  <c r="AU354" i="1" s="1" a="1"/>
  <c r="AU354" i="1" s="1"/>
  <c r="AT355" i="1"/>
  <c r="AU355" i="1" s="1" a="1"/>
  <c r="AU355" i="1" s="1"/>
  <c r="AT356" i="1"/>
  <c r="AU356" i="1" s="1" a="1"/>
  <c r="AU356" i="1" s="1"/>
  <c r="AT357" i="1"/>
  <c r="AU357" i="1" s="1" a="1"/>
  <c r="AU357" i="1" s="1"/>
  <c r="AT358" i="1"/>
  <c r="AU358" i="1" s="1" a="1"/>
  <c r="AU358" i="1" s="1"/>
  <c r="AT359" i="1"/>
  <c r="AU359" i="1" s="1" a="1"/>
  <c r="AU359" i="1" s="1"/>
  <c r="AT360" i="1"/>
  <c r="AU360" i="1" s="1" a="1"/>
  <c r="AU360" i="1" s="1"/>
  <c r="AT361" i="1"/>
  <c r="AU361" i="1" s="1" a="1"/>
  <c r="AU361" i="1" s="1"/>
  <c r="AT362" i="1"/>
  <c r="AU362" i="1" s="1" a="1"/>
  <c r="AU362" i="1" s="1"/>
  <c r="AT363" i="1"/>
  <c r="AU363" i="1" s="1" a="1"/>
  <c r="AU363" i="1" s="1"/>
  <c r="AT364" i="1"/>
  <c r="AU364" i="1" s="1" a="1"/>
  <c r="AU364" i="1" s="1"/>
  <c r="AU365" i="1" a="1"/>
  <c r="AU365" i="1" s="1"/>
  <c r="AT366" i="1"/>
  <c r="AU366" i="1" s="1" a="1"/>
  <c r="AU366" i="1" s="1"/>
  <c r="AT367" i="1"/>
  <c r="AU367" i="1" s="1" a="1"/>
  <c r="AU367" i="1" s="1"/>
  <c r="AT368" i="1"/>
  <c r="AU368" i="1" s="1" a="1"/>
  <c r="AU368" i="1" s="1"/>
  <c r="AT369" i="1"/>
  <c r="AU369" i="1" s="1" a="1"/>
  <c r="AU369" i="1" s="1"/>
  <c r="AT370" i="1"/>
  <c r="AU370" i="1" s="1" a="1"/>
  <c r="AU370" i="1" s="1"/>
  <c r="AT371" i="1"/>
  <c r="AU371" i="1" s="1" a="1"/>
  <c r="AU371" i="1" s="1"/>
  <c r="AT372" i="1"/>
  <c r="AU372" i="1" s="1" a="1"/>
  <c r="AU372" i="1" s="1"/>
  <c r="AT373" i="1"/>
  <c r="AU373" i="1" s="1" a="1"/>
  <c r="AU373" i="1" s="1"/>
  <c r="AT374" i="1"/>
  <c r="AU374" i="1" s="1" a="1"/>
  <c r="AU374" i="1" s="1"/>
  <c r="AT375" i="1"/>
  <c r="AU375" i="1" s="1" a="1"/>
  <c r="AU375" i="1" s="1"/>
  <c r="AT542" i="1"/>
  <c r="AU542" i="1" s="1" a="1"/>
  <c r="AU542" i="1" s="1"/>
  <c r="AT376" i="1"/>
  <c r="AU376" i="1" s="1" a="1"/>
  <c r="AU376" i="1" s="1"/>
  <c r="AT377" i="1"/>
  <c r="AU377" i="1" s="1" a="1"/>
  <c r="AU377" i="1" s="1"/>
  <c r="AT378" i="1"/>
  <c r="AU378" i="1" s="1" a="1"/>
  <c r="AU378" i="1" s="1"/>
  <c r="AT379" i="1"/>
  <c r="AU379" i="1" s="1" a="1"/>
  <c r="AU379" i="1" s="1"/>
  <c r="AT380" i="1"/>
  <c r="AU380" i="1" s="1" a="1"/>
  <c r="AU380" i="1" s="1"/>
  <c r="AT381" i="1"/>
  <c r="AU381" i="1" s="1" a="1"/>
  <c r="AU381" i="1" s="1"/>
  <c r="AT382" i="1"/>
  <c r="AU382" i="1" s="1" a="1"/>
  <c r="AU382" i="1" s="1"/>
  <c r="AT383" i="1"/>
  <c r="AU383" i="1" s="1" a="1"/>
  <c r="AU383" i="1" s="1"/>
  <c r="AT384" i="1"/>
  <c r="AU384" i="1" s="1" a="1"/>
  <c r="AU384" i="1" s="1"/>
  <c r="AU385" i="1" a="1"/>
  <c r="AU385" i="1" s="1"/>
  <c r="AT387" i="1"/>
  <c r="AU387" i="1" s="1" a="1"/>
  <c r="AU387" i="1" s="1"/>
  <c r="AT388" i="1"/>
  <c r="AU388" i="1" s="1" a="1"/>
  <c r="AU388" i="1" s="1"/>
  <c r="AT389" i="1"/>
  <c r="AU389" i="1" s="1" a="1"/>
  <c r="AU389" i="1" s="1"/>
  <c r="AT390" i="1"/>
  <c r="AU390" i="1" s="1" a="1"/>
  <c r="AU390" i="1" s="1"/>
  <c r="AT391" i="1"/>
  <c r="AU391" i="1" s="1" a="1"/>
  <c r="AU391" i="1" s="1"/>
  <c r="AT392" i="1"/>
  <c r="AU392" i="1" s="1" a="1"/>
  <c r="AU392" i="1" s="1"/>
  <c r="AT393" i="1"/>
  <c r="AU393" i="1" s="1" a="1"/>
  <c r="AU393" i="1" s="1"/>
  <c r="AT394" i="1"/>
  <c r="AU394" i="1" s="1" a="1"/>
  <c r="AU394" i="1" s="1"/>
  <c r="AT395" i="1"/>
  <c r="AU395" i="1" s="1" a="1"/>
  <c r="AU395" i="1" s="1"/>
  <c r="AT396" i="1"/>
  <c r="AU396" i="1" s="1" a="1"/>
  <c r="AU396" i="1" s="1"/>
  <c r="AT397" i="1"/>
  <c r="AU397" i="1" s="1" a="1"/>
  <c r="AU397" i="1" s="1"/>
  <c r="AT398" i="1"/>
  <c r="AU398" i="1" s="1" a="1"/>
  <c r="AU398" i="1" s="1"/>
  <c r="AT399" i="1"/>
  <c r="AU399" i="1" s="1" a="1"/>
  <c r="AU399" i="1" s="1"/>
  <c r="AT400" i="1"/>
  <c r="AU400" i="1" s="1" a="1"/>
  <c r="AU400" i="1" s="1"/>
  <c r="AT401" i="1"/>
  <c r="AU401" i="1" s="1" a="1"/>
  <c r="AU401" i="1" s="1"/>
  <c r="AT402" i="1"/>
  <c r="AU402" i="1" s="1" a="1"/>
  <c r="AU402" i="1" s="1"/>
  <c r="AT403" i="1"/>
  <c r="AU403" i="1" s="1" a="1"/>
  <c r="AU403" i="1" s="1"/>
  <c r="AT404" i="1"/>
  <c r="AU404" i="1" s="1" a="1"/>
  <c r="AU404" i="1" s="1"/>
  <c r="AT405" i="1"/>
  <c r="AU405" i="1" s="1" a="1"/>
  <c r="AU405" i="1" s="1"/>
  <c r="AT406" i="1"/>
  <c r="AU406" i="1" s="1" a="1"/>
  <c r="AU406" i="1" s="1"/>
  <c r="AT407" i="1"/>
  <c r="AU407" i="1" s="1" a="1"/>
  <c r="AU407" i="1" s="1"/>
  <c r="AT408" i="1"/>
  <c r="AU408" i="1" s="1" a="1"/>
  <c r="AU408" i="1" s="1"/>
  <c r="AT409" i="1"/>
  <c r="AU409" i="1" s="1" a="1"/>
  <c r="AU409" i="1" s="1"/>
  <c r="AT410" i="1"/>
  <c r="AU410" i="1" s="1" a="1"/>
  <c r="AU410" i="1" s="1"/>
  <c r="AU411" i="1" a="1"/>
  <c r="AU411" i="1" s="1"/>
  <c r="AT412" i="1"/>
  <c r="AU412" i="1" s="1" a="1"/>
  <c r="AU412" i="1" s="1"/>
  <c r="AT413" i="1"/>
  <c r="AU413" i="1" s="1" a="1"/>
  <c r="AU413" i="1" s="1"/>
  <c r="AT414" i="1"/>
  <c r="AU414" i="1" s="1" a="1"/>
  <c r="AU414" i="1" s="1"/>
  <c r="AT415" i="1"/>
  <c r="AU415" i="1" s="1" a="1"/>
  <c r="AU415" i="1" s="1"/>
  <c r="AT416" i="1"/>
  <c r="AU416" i="1" s="1" a="1"/>
  <c r="AU416" i="1" s="1"/>
  <c r="AT417" i="1"/>
  <c r="AU417" i="1" s="1" a="1"/>
  <c r="AU417" i="1" s="1"/>
  <c r="AT418" i="1"/>
  <c r="AU418" i="1" s="1" a="1"/>
  <c r="AU418" i="1" s="1"/>
  <c r="AT419" i="1"/>
  <c r="AU419" i="1" s="1" a="1"/>
  <c r="AU419" i="1" s="1"/>
  <c r="AT420" i="1"/>
  <c r="AU420" i="1" s="1" a="1"/>
  <c r="AU420" i="1" s="1"/>
  <c r="AT421" i="1"/>
  <c r="AU421" i="1" s="1" a="1"/>
  <c r="AU421" i="1" s="1"/>
  <c r="AU422" i="1" a="1"/>
  <c r="AU422" i="1" s="1"/>
  <c r="AT423" i="1"/>
  <c r="AU423" i="1" s="1" a="1"/>
  <c r="AU423" i="1" s="1"/>
  <c r="AT424" i="1"/>
  <c r="AU424" i="1" s="1" a="1"/>
  <c r="AU424" i="1" s="1"/>
  <c r="AU425" i="1" a="1"/>
  <c r="AU425" i="1" s="1"/>
  <c r="AT426" i="1"/>
  <c r="AU426" i="1" s="1" a="1"/>
  <c r="AU426" i="1" s="1"/>
  <c r="AT427" i="1"/>
  <c r="AU427" i="1" s="1" a="1"/>
  <c r="AU427" i="1" s="1"/>
  <c r="AT428" i="1"/>
  <c r="AU428" i="1" s="1" a="1"/>
  <c r="AU428" i="1" s="1"/>
  <c r="AT429" i="1"/>
  <c r="AU429" i="1" s="1" a="1"/>
  <c r="AU429" i="1" s="1"/>
  <c r="AT430" i="1"/>
  <c r="AU430" i="1" s="1" a="1"/>
  <c r="AU430" i="1" s="1"/>
  <c r="AT431" i="1"/>
  <c r="AU431" i="1" s="1" a="1"/>
  <c r="AU431" i="1" s="1"/>
  <c r="AT432" i="1"/>
  <c r="AU432" i="1" s="1" a="1"/>
  <c r="AU432" i="1" s="1"/>
  <c r="AT433" i="1"/>
  <c r="AU433" i="1" s="1" a="1"/>
  <c r="AU433" i="1" s="1"/>
  <c r="AT434" i="1"/>
  <c r="AU434" i="1" s="1" a="1"/>
  <c r="AU434" i="1" s="1"/>
  <c r="AT436" i="1"/>
  <c r="AU436" i="1" s="1" a="1"/>
  <c r="AU436" i="1" s="1"/>
  <c r="AT437" i="1"/>
  <c r="AU437" i="1" s="1" a="1"/>
  <c r="AU437" i="1" s="1"/>
  <c r="AT438" i="1"/>
  <c r="AU438" i="1" s="1" a="1"/>
  <c r="AU438" i="1" s="1"/>
  <c r="AT439" i="1"/>
  <c r="AU439" i="1" s="1" a="1"/>
  <c r="AU439" i="1" s="1"/>
  <c r="AT440" i="1"/>
  <c r="AU440" i="1" s="1" a="1"/>
  <c r="AU440" i="1" s="1"/>
  <c r="AT441" i="1"/>
  <c r="AU441" i="1" s="1" a="1"/>
  <c r="AU441" i="1" s="1"/>
  <c r="AT442" i="1"/>
  <c r="AU442" i="1" s="1" a="1"/>
  <c r="AU442" i="1" s="1"/>
  <c r="AT443" i="1"/>
  <c r="AU443" i="1" s="1" a="1"/>
  <c r="AU443" i="1" s="1"/>
  <c r="AT444" i="1"/>
  <c r="AU444" i="1" s="1" a="1"/>
  <c r="AU444" i="1" s="1"/>
  <c r="AT445" i="1"/>
  <c r="AU445" i="1" s="1" a="1"/>
  <c r="AU445" i="1" s="1"/>
  <c r="AT446" i="1"/>
  <c r="AU446" i="1" s="1" a="1"/>
  <c r="AU446" i="1" s="1"/>
  <c r="AT541" i="1"/>
  <c r="AU541" i="1" s="1" a="1"/>
  <c r="AU541" i="1" s="1"/>
  <c r="AT447" i="1"/>
  <c r="AU447" i="1" s="1" a="1"/>
  <c r="AU447" i="1" s="1"/>
  <c r="AT448" i="1"/>
  <c r="AU448" i="1" s="1" a="1"/>
  <c r="AU448" i="1" s="1"/>
  <c r="AT449" i="1"/>
  <c r="AU449" i="1" s="1" a="1"/>
  <c r="AU449" i="1" s="1"/>
  <c r="AT450" i="1"/>
  <c r="AU450" i="1" s="1" a="1"/>
  <c r="AU450" i="1" s="1"/>
  <c r="AT451" i="1"/>
  <c r="AU451" i="1" s="1" a="1"/>
  <c r="AU451" i="1" s="1"/>
  <c r="AT452" i="1"/>
  <c r="AU452" i="1" s="1" a="1"/>
  <c r="AU452" i="1" s="1"/>
  <c r="AT453" i="1"/>
  <c r="AU453" i="1" s="1" a="1"/>
  <c r="AU453" i="1" s="1"/>
  <c r="AT454" i="1"/>
  <c r="AU454" i="1" s="1" a="1"/>
  <c r="AU454" i="1" s="1"/>
  <c r="AT455" i="1"/>
  <c r="AU455" i="1" s="1" a="1"/>
  <c r="AU455" i="1" s="1"/>
  <c r="AT456" i="1"/>
  <c r="AU456" i="1" s="1" a="1"/>
  <c r="AU456" i="1" s="1"/>
  <c r="AT457" i="1"/>
  <c r="AU457" i="1" s="1" a="1"/>
  <c r="AU457" i="1" s="1"/>
  <c r="AT458" i="1"/>
  <c r="AU458" i="1" s="1" a="1"/>
  <c r="AU458" i="1" s="1"/>
  <c r="AT459" i="1"/>
  <c r="AU459" i="1" s="1" a="1"/>
  <c r="AU459" i="1" s="1"/>
  <c r="AT460" i="1"/>
  <c r="AU460" i="1" s="1" a="1"/>
  <c r="AU460" i="1" s="1"/>
  <c r="AT461" i="1"/>
  <c r="AU461" i="1" s="1" a="1"/>
  <c r="AU461" i="1" s="1"/>
  <c r="AT462" i="1"/>
  <c r="AU462" i="1" s="1" a="1"/>
  <c r="AU462" i="1" s="1"/>
  <c r="AT463" i="1"/>
  <c r="AU463" i="1" s="1" a="1"/>
  <c r="AU463" i="1" s="1"/>
  <c r="AT464" i="1"/>
  <c r="AU464" i="1" s="1" a="1"/>
  <c r="AU464" i="1" s="1"/>
  <c r="AT465" i="1"/>
  <c r="AU465" i="1" s="1" a="1"/>
  <c r="AU465" i="1" s="1"/>
  <c r="AT466" i="1"/>
  <c r="AU466" i="1" s="1" a="1"/>
  <c r="AU466" i="1" s="1"/>
  <c r="AT467" i="1"/>
  <c r="AU467" i="1" s="1" a="1"/>
  <c r="AU467" i="1" s="1"/>
  <c r="AT468" i="1"/>
  <c r="AU468" i="1" s="1" a="1"/>
  <c r="AU468" i="1" s="1"/>
  <c r="AT469" i="1"/>
  <c r="AU469" i="1" s="1" a="1"/>
  <c r="AU469" i="1" s="1"/>
  <c r="AT470" i="1"/>
  <c r="AU470" i="1" s="1" a="1"/>
  <c r="AU470" i="1" s="1"/>
  <c r="AT471" i="1"/>
  <c r="AU471" i="1" s="1" a="1"/>
  <c r="AU471" i="1" s="1"/>
  <c r="AT472" i="1"/>
  <c r="AU472" i="1" s="1" a="1"/>
  <c r="AU472" i="1" s="1"/>
  <c r="AT473" i="1"/>
  <c r="AU473" i="1" s="1" a="1"/>
  <c r="AU473" i="1" s="1"/>
  <c r="AT474" i="1"/>
  <c r="AU474" i="1" s="1" a="1"/>
  <c r="AU474" i="1" s="1"/>
  <c r="AT475" i="1"/>
  <c r="AU475" i="1" s="1" a="1"/>
  <c r="AU475" i="1" s="1"/>
  <c r="AT476" i="1"/>
  <c r="AU476" i="1" s="1" a="1"/>
  <c r="AU476" i="1" s="1"/>
  <c r="AT477" i="1"/>
  <c r="AU477" i="1" s="1" a="1"/>
  <c r="AU477" i="1" s="1"/>
  <c r="AT478" i="1"/>
  <c r="AU478" i="1" s="1" a="1"/>
  <c r="AU478" i="1" s="1"/>
  <c r="AT479" i="1"/>
  <c r="AU479" i="1" s="1" a="1"/>
  <c r="AU479" i="1" s="1"/>
  <c r="AT480" i="1"/>
  <c r="AU480" i="1" s="1" a="1"/>
  <c r="AU480" i="1" s="1"/>
  <c r="AT481" i="1"/>
  <c r="AU481" i="1" s="1" a="1"/>
  <c r="AU481" i="1" s="1"/>
  <c r="AT482" i="1"/>
  <c r="AU482" i="1" s="1" a="1"/>
  <c r="AU482" i="1" s="1"/>
  <c r="AT483" i="1"/>
  <c r="AU483" i="1" s="1" a="1"/>
  <c r="AU483" i="1" s="1"/>
  <c r="AT484" i="1"/>
  <c r="AU484" i="1" s="1" a="1"/>
  <c r="AU484" i="1" s="1"/>
  <c r="AT485" i="1"/>
  <c r="AU485" i="1" s="1" a="1"/>
  <c r="AU485" i="1" s="1"/>
  <c r="AT486" i="1"/>
  <c r="AU486" i="1" s="1" a="1"/>
  <c r="AU486" i="1" s="1"/>
  <c r="AT487" i="1"/>
  <c r="AU487" i="1" s="1" a="1"/>
  <c r="AU487" i="1" s="1"/>
  <c r="AT488" i="1"/>
  <c r="AU488" i="1" s="1" a="1"/>
  <c r="AU488" i="1" s="1"/>
  <c r="AT489" i="1"/>
  <c r="AU489" i="1" s="1" a="1"/>
  <c r="AU489" i="1" s="1"/>
  <c r="AT490" i="1"/>
  <c r="AU490" i="1" s="1" a="1"/>
  <c r="AU490" i="1" s="1"/>
  <c r="AT491" i="1"/>
  <c r="AU491" i="1" s="1" a="1"/>
  <c r="AU491" i="1" s="1"/>
  <c r="AT492" i="1"/>
  <c r="AU492" i="1" s="1" a="1"/>
  <c r="AU492" i="1" s="1"/>
  <c r="AT493" i="1"/>
  <c r="AU493" i="1" s="1" a="1"/>
  <c r="AU493" i="1" s="1"/>
  <c r="AT494" i="1"/>
  <c r="AU494" i="1" s="1" a="1"/>
  <c r="AU494" i="1" s="1"/>
  <c r="AT495" i="1"/>
  <c r="AU495" i="1" s="1" a="1"/>
  <c r="AU495" i="1" s="1"/>
  <c r="AT496" i="1"/>
  <c r="AU496" i="1" s="1" a="1"/>
  <c r="AU496" i="1" s="1"/>
  <c r="AT497" i="1"/>
  <c r="AU497" i="1" s="1" a="1"/>
  <c r="AU497" i="1" s="1"/>
  <c r="AT498" i="1"/>
  <c r="AU498" i="1" s="1" a="1"/>
  <c r="AU498" i="1" s="1"/>
  <c r="AT499" i="1"/>
  <c r="AU499" i="1" s="1" a="1"/>
  <c r="AU499" i="1" s="1"/>
  <c r="AT500" i="1"/>
  <c r="AU500" i="1" s="1" a="1"/>
  <c r="AU500" i="1" s="1"/>
  <c r="AT501" i="1"/>
  <c r="AU501" i="1" s="1" a="1"/>
  <c r="AU501" i="1" s="1"/>
  <c r="AT502" i="1"/>
  <c r="AU502" i="1" s="1" a="1"/>
  <c r="AU502" i="1" s="1"/>
  <c r="AT503" i="1"/>
  <c r="AU503" i="1" s="1" a="1"/>
  <c r="AU503" i="1" s="1"/>
  <c r="AT504" i="1"/>
  <c r="AU504" i="1" s="1" a="1"/>
  <c r="AU504" i="1" s="1"/>
  <c r="AT505" i="1"/>
  <c r="AU505" i="1" s="1" a="1"/>
  <c r="AU505" i="1" s="1"/>
  <c r="AT506" i="1"/>
  <c r="AU506" i="1" s="1" a="1"/>
  <c r="AU506" i="1" s="1"/>
  <c r="AT507" i="1"/>
  <c r="AU507" i="1" s="1" a="1"/>
  <c r="AU507" i="1" s="1"/>
  <c r="AT508" i="1"/>
  <c r="AU508" i="1" s="1" a="1"/>
  <c r="AU508" i="1" s="1"/>
  <c r="AT509" i="1"/>
  <c r="AU509" i="1" s="1" a="1"/>
  <c r="AU509" i="1" s="1"/>
  <c r="AT510" i="1"/>
  <c r="AU510" i="1" s="1" a="1"/>
  <c r="AU510" i="1" s="1"/>
  <c r="AT511" i="1"/>
  <c r="AU511" i="1" s="1" a="1"/>
  <c r="AU511" i="1" s="1"/>
  <c r="AT512" i="1"/>
  <c r="AU512" i="1" s="1" a="1"/>
  <c r="AU512" i="1" s="1"/>
  <c r="AT513" i="1"/>
  <c r="AU513" i="1" s="1" a="1"/>
  <c r="AU513" i="1" s="1"/>
  <c r="AT514" i="1"/>
  <c r="AU514" i="1" s="1" a="1"/>
  <c r="AU514" i="1" s="1"/>
  <c r="AT515" i="1"/>
  <c r="AU515" i="1" s="1" a="1"/>
  <c r="AU515" i="1" s="1"/>
  <c r="AT516" i="1"/>
  <c r="AU516" i="1" s="1" a="1"/>
  <c r="AU516" i="1" s="1"/>
  <c r="AT517" i="1"/>
  <c r="AU517" i="1" s="1" a="1"/>
  <c r="AU517" i="1" s="1"/>
  <c r="AT518" i="1"/>
  <c r="AU518" i="1" s="1" a="1"/>
  <c r="AU518" i="1" s="1"/>
  <c r="AT519" i="1"/>
  <c r="AU519" i="1" s="1" a="1"/>
  <c r="AU519" i="1" s="1"/>
  <c r="AT520" i="1"/>
  <c r="AU520" i="1" s="1" a="1"/>
  <c r="AU520" i="1" s="1"/>
  <c r="AT521" i="1"/>
  <c r="AU521" i="1" s="1" a="1"/>
  <c r="AU521" i="1" s="1"/>
  <c r="AT522" i="1"/>
  <c r="AU522" i="1" s="1" a="1"/>
  <c r="AU522" i="1" s="1"/>
  <c r="AT523" i="1"/>
  <c r="AU523" i="1" s="1" a="1"/>
  <c r="AU523" i="1" s="1"/>
  <c r="AT524" i="1"/>
  <c r="AU524" i="1" s="1" a="1"/>
  <c r="AU524" i="1" s="1"/>
  <c r="AT525" i="1"/>
  <c r="AU525" i="1" s="1" a="1"/>
  <c r="AU525" i="1" s="1"/>
  <c r="AT526" i="1"/>
  <c r="AU526" i="1" s="1" a="1"/>
  <c r="AU526" i="1" s="1"/>
  <c r="AT527" i="1"/>
  <c r="AU527" i="1" s="1" a="1"/>
  <c r="AU527" i="1" s="1"/>
  <c r="AT528" i="1"/>
  <c r="AU528" i="1" s="1" a="1"/>
  <c r="AU528" i="1" s="1"/>
  <c r="AT529" i="1"/>
  <c r="AU529" i="1" s="1" a="1"/>
  <c r="AU529" i="1" s="1"/>
  <c r="AT530" i="1"/>
  <c r="AU530" i="1" s="1" a="1"/>
  <c r="AU530" i="1" s="1"/>
  <c r="AT531" i="1"/>
  <c r="AU531" i="1" s="1" a="1"/>
  <c r="AU531" i="1" s="1"/>
  <c r="AT532" i="1"/>
  <c r="AU532" i="1" s="1" a="1"/>
  <c r="AU532" i="1" s="1"/>
  <c r="AT533" i="1"/>
  <c r="AU533" i="1" s="1" a="1"/>
  <c r="AU533" i="1" s="1"/>
  <c r="AT534" i="1"/>
  <c r="AU534" i="1" s="1" a="1"/>
  <c r="AU534" i="1" s="1"/>
  <c r="AT535" i="1"/>
  <c r="AU535" i="1" s="1" a="1"/>
  <c r="AU535" i="1" s="1"/>
  <c r="AT536" i="1"/>
  <c r="AU536" i="1" s="1" a="1"/>
  <c r="AU536" i="1" s="1"/>
  <c r="AT537" i="1"/>
  <c r="AU537" i="1" s="1" a="1"/>
  <c r="AU537" i="1" s="1"/>
  <c r="AT538" i="1"/>
  <c r="AU538" i="1" s="1" a="1"/>
  <c r="AU538" i="1" s="1"/>
  <c r="AT539" i="1"/>
  <c r="AU539" i="1" s="1" a="1"/>
  <c r="AU539" i="1" s="1"/>
  <c r="AT540" i="1"/>
  <c r="AU540" i="1" s="1" a="1"/>
  <c r="AU540" i="1" s="1"/>
  <c r="AX303" i="1"/>
  <c r="AX283" i="1"/>
  <c r="AX218" i="1"/>
  <c r="AX79" i="1"/>
  <c r="AX46" i="1"/>
  <c r="AX45" i="1"/>
  <c r="AX22" i="1"/>
  <c r="AX4" i="1"/>
  <c r="AX5" i="1"/>
  <c r="AX6" i="1"/>
  <c r="AX7" i="1"/>
  <c r="AX8" i="1"/>
  <c r="AX9" i="1"/>
  <c r="AX10" i="1"/>
  <c r="AX11" i="1"/>
  <c r="AX12" i="1"/>
  <c r="AX13" i="1"/>
  <c r="AX14" i="1"/>
  <c r="AX15" i="1"/>
  <c r="AX16" i="1"/>
  <c r="AX17" i="1"/>
  <c r="AX18" i="1"/>
  <c r="AX19" i="1"/>
  <c r="AX20" i="1"/>
  <c r="AX21" i="1"/>
  <c r="AX23" i="1"/>
  <c r="AX24" i="1"/>
  <c r="AX25" i="1"/>
  <c r="AX26" i="1"/>
  <c r="AX27" i="1"/>
  <c r="AX28" i="1"/>
  <c r="AX29" i="1"/>
  <c r="AX30" i="1"/>
  <c r="AX31" i="1"/>
  <c r="AX32" i="1"/>
  <c r="AX33" i="1"/>
  <c r="AX34" i="1"/>
  <c r="AX35" i="1"/>
  <c r="AX36" i="1"/>
  <c r="AX37" i="1"/>
  <c r="AX38" i="1"/>
  <c r="AX39" i="1"/>
  <c r="AX40" i="1"/>
  <c r="AX41" i="1"/>
  <c r="AX42" i="1"/>
  <c r="AX43" i="1"/>
  <c r="AX44" i="1"/>
  <c r="AX47" i="1"/>
  <c r="AX48" i="1"/>
  <c r="AX49" i="1"/>
  <c r="AX50" i="1"/>
  <c r="AX51" i="1"/>
  <c r="AX52" i="1"/>
  <c r="AX53" i="1"/>
  <c r="AX54" i="1"/>
  <c r="AX55" i="1"/>
  <c r="AX56" i="1"/>
  <c r="AX57" i="1"/>
  <c r="AX58" i="1"/>
  <c r="AX59" i="1"/>
  <c r="AX60" i="1"/>
  <c r="AX61" i="1"/>
  <c r="AX62" i="1"/>
  <c r="AX63" i="1"/>
  <c r="AX64" i="1"/>
  <c r="AX65" i="1"/>
  <c r="AX66" i="1"/>
  <c r="AX67" i="1"/>
  <c r="AX68" i="1"/>
  <c r="AX69" i="1"/>
  <c r="AX70" i="1"/>
  <c r="AX71" i="1"/>
  <c r="AX72" i="1"/>
  <c r="AX73" i="1"/>
  <c r="AX74" i="1"/>
  <c r="AX75" i="1"/>
  <c r="AX76" i="1"/>
  <c r="AX77" i="1"/>
  <c r="AX78" i="1"/>
  <c r="AX80" i="1"/>
  <c r="AX81" i="1"/>
  <c r="AX82" i="1"/>
  <c r="AX83" i="1"/>
  <c r="AX84" i="1"/>
  <c r="AX85" i="1"/>
  <c r="AX86" i="1"/>
  <c r="AX87" i="1"/>
  <c r="AX88" i="1"/>
  <c r="AX89" i="1"/>
  <c r="AX90" i="1"/>
  <c r="AX91" i="1"/>
  <c r="AX92" i="1"/>
  <c r="AX93" i="1"/>
  <c r="AX94" i="1"/>
  <c r="AX95" i="1"/>
  <c r="AX96" i="1"/>
  <c r="AX97" i="1"/>
  <c r="AX98" i="1"/>
  <c r="AX99" i="1"/>
  <c r="AX100" i="1"/>
  <c r="AX101" i="1"/>
  <c r="AX102" i="1"/>
  <c r="AX103" i="1"/>
  <c r="AX104" i="1"/>
  <c r="AX105" i="1"/>
  <c r="AX106" i="1"/>
  <c r="AX107" i="1"/>
  <c r="AX108" i="1"/>
  <c r="AX109" i="1"/>
  <c r="AX110" i="1"/>
  <c r="AX111" i="1"/>
  <c r="AX112" i="1"/>
  <c r="AX113" i="1"/>
  <c r="AX114" i="1"/>
  <c r="AX115" i="1"/>
  <c r="AX116" i="1"/>
  <c r="AX117" i="1"/>
  <c r="AX118" i="1"/>
  <c r="AX119" i="1"/>
  <c r="AX120" i="1"/>
  <c r="AX121" i="1"/>
  <c r="AX122" i="1"/>
  <c r="AX123" i="1"/>
  <c r="AX124" i="1"/>
  <c r="AX125" i="1"/>
  <c r="AX126" i="1"/>
  <c r="AX127" i="1"/>
  <c r="AX128" i="1"/>
  <c r="AX129" i="1"/>
  <c r="AX130" i="1"/>
  <c r="AX131" i="1"/>
  <c r="AX132" i="1"/>
  <c r="AX133" i="1"/>
  <c r="AX134" i="1"/>
  <c r="AX135" i="1"/>
  <c r="AX136" i="1"/>
  <c r="AX137" i="1"/>
  <c r="AX138" i="1"/>
  <c r="AX139" i="1"/>
  <c r="AX140" i="1"/>
  <c r="AX141" i="1"/>
  <c r="AX142" i="1"/>
  <c r="AX143" i="1"/>
  <c r="AX144" i="1"/>
  <c r="AX145" i="1"/>
  <c r="AX146" i="1"/>
  <c r="AX147" i="1"/>
  <c r="AX148" i="1"/>
  <c r="AX149" i="1"/>
  <c r="AX150" i="1"/>
  <c r="AX151" i="1"/>
  <c r="AX152" i="1"/>
  <c r="AX153" i="1"/>
  <c r="AX154" i="1"/>
  <c r="AX155" i="1"/>
  <c r="AX156" i="1"/>
  <c r="AX157" i="1"/>
  <c r="AX158" i="1"/>
  <c r="AX159" i="1"/>
  <c r="AX160" i="1"/>
  <c r="AX161" i="1"/>
  <c r="AX162" i="1"/>
  <c r="AX163" i="1"/>
  <c r="AX164" i="1"/>
  <c r="AX165" i="1"/>
  <c r="AX166" i="1"/>
  <c r="AX167" i="1"/>
  <c r="AX168" i="1"/>
  <c r="AX169" i="1"/>
  <c r="AX170" i="1"/>
  <c r="AX171" i="1"/>
  <c r="AX172" i="1"/>
  <c r="AX173" i="1"/>
  <c r="AX174" i="1"/>
  <c r="AX175" i="1"/>
  <c r="AX176" i="1"/>
  <c r="AX178" i="1"/>
  <c r="AX179" i="1"/>
  <c r="AX180" i="1"/>
  <c r="AX181" i="1"/>
  <c r="AX182" i="1"/>
  <c r="AX183" i="1"/>
  <c r="AX184" i="1"/>
  <c r="AX185" i="1"/>
  <c r="AX186" i="1"/>
  <c r="AX187" i="1"/>
  <c r="AX188" i="1"/>
  <c r="AX189" i="1"/>
  <c r="AX190" i="1"/>
  <c r="AX191" i="1"/>
  <c r="AX192" i="1"/>
  <c r="AX193" i="1"/>
  <c r="AX194" i="1"/>
  <c r="AX195" i="1"/>
  <c r="AX196" i="1"/>
  <c r="AX197" i="1"/>
  <c r="AX198" i="1"/>
  <c r="AX199" i="1"/>
  <c r="AX200" i="1"/>
  <c r="AX201" i="1"/>
  <c r="AX202" i="1"/>
  <c r="AX203" i="1"/>
  <c r="AX204" i="1"/>
  <c r="AX205" i="1"/>
  <c r="AX206" i="1"/>
  <c r="AX207" i="1"/>
  <c r="AX208" i="1"/>
  <c r="AX209" i="1"/>
  <c r="AX210" i="1"/>
  <c r="AX211" i="1"/>
  <c r="AX212" i="1"/>
  <c r="AX213" i="1"/>
  <c r="AX214" i="1"/>
  <c r="AX215" i="1"/>
  <c r="AX216" i="1"/>
  <c r="AX217" i="1"/>
  <c r="AX219" i="1"/>
  <c r="AX220" i="1"/>
  <c r="AX221" i="1"/>
  <c r="AX222" i="1"/>
  <c r="AX223" i="1"/>
  <c r="AX224" i="1"/>
  <c r="AX225" i="1"/>
  <c r="AX226" i="1"/>
  <c r="AX227" i="1"/>
  <c r="AX228" i="1"/>
  <c r="AX229" i="1"/>
  <c r="AX230" i="1"/>
  <c r="AX231" i="1"/>
  <c r="AX232" i="1"/>
  <c r="AX233" i="1"/>
  <c r="AX234" i="1"/>
  <c r="AX235" i="1"/>
  <c r="AX236" i="1"/>
  <c r="AX237" i="1"/>
  <c r="AX238" i="1"/>
  <c r="AX239" i="1"/>
  <c r="AX240" i="1"/>
  <c r="AX241" i="1"/>
  <c r="AX242" i="1"/>
  <c r="AX243" i="1"/>
  <c r="AX244" i="1"/>
  <c r="AX245" i="1"/>
  <c r="AX246" i="1"/>
  <c r="AX247" i="1"/>
  <c r="AX248" i="1"/>
  <c r="AX249" i="1"/>
  <c r="AX250" i="1"/>
  <c r="AX251" i="1"/>
  <c r="AX252" i="1"/>
  <c r="AX253" i="1"/>
  <c r="AX254" i="1"/>
  <c r="AX255" i="1"/>
  <c r="AX256" i="1"/>
  <c r="AX257" i="1"/>
  <c r="AX258" i="1"/>
  <c r="AX259" i="1"/>
  <c r="AX260" i="1"/>
  <c r="AX261" i="1"/>
  <c r="AX262" i="1"/>
  <c r="AX263" i="1"/>
  <c r="AX264" i="1"/>
  <c r="AX265" i="1"/>
  <c r="AX266" i="1"/>
  <c r="AX267" i="1"/>
  <c r="AX268" i="1"/>
  <c r="AX269" i="1"/>
  <c r="AX270" i="1"/>
  <c r="AX271" i="1"/>
  <c r="AX272" i="1"/>
  <c r="AX273" i="1"/>
  <c r="AX274" i="1"/>
  <c r="AX275" i="1"/>
  <c r="AX276" i="1"/>
  <c r="AX277" i="1"/>
  <c r="AX278" i="1"/>
  <c r="AX279" i="1"/>
  <c r="AX280" i="1"/>
  <c r="AX281" i="1"/>
  <c r="AX282" i="1"/>
  <c r="AX284" i="1"/>
  <c r="AX285" i="1"/>
  <c r="AX286" i="1"/>
  <c r="AX287" i="1"/>
  <c r="AX288" i="1"/>
  <c r="AX289" i="1"/>
  <c r="AX290" i="1"/>
  <c r="AX291" i="1"/>
  <c r="AX292" i="1"/>
  <c r="AX293" i="1"/>
  <c r="AX294" i="1"/>
  <c r="AX295" i="1"/>
  <c r="AX296" i="1"/>
  <c r="AX297" i="1"/>
  <c r="AX298" i="1"/>
  <c r="AX299" i="1"/>
  <c r="AX300" i="1"/>
  <c r="AX301" i="1"/>
  <c r="AX302" i="1"/>
  <c r="AX304" i="1"/>
  <c r="AX305" i="1"/>
  <c r="AX306" i="1"/>
  <c r="AX307" i="1"/>
  <c r="AX308" i="1"/>
  <c r="D13" i="20" l="1"/>
  <c r="C13" i="20"/>
  <c r="AU48" i="1" a="1"/>
  <c r="AU48" i="1" s="1"/>
  <c r="B78" i="11"/>
  <c r="B12" i="11"/>
  <c r="D71" i="11"/>
  <c r="K67" i="8"/>
  <c r="F99" i="8" s="1"/>
  <c r="D63" i="20"/>
  <c r="K14" i="20" s="1"/>
  <c r="G77" i="20"/>
  <c r="G72" i="20"/>
  <c r="G78" i="20"/>
  <c r="G76" i="20"/>
  <c r="G74" i="20"/>
  <c r="G75" i="20"/>
  <c r="G73" i="20"/>
  <c r="AU148" i="1" a="1"/>
  <c r="AU148" i="1" s="1"/>
  <c r="D23" i="11"/>
  <c r="D99" i="11"/>
  <c r="D67" i="20"/>
  <c r="D66" i="20"/>
  <c r="D62" i="20"/>
  <c r="C37" i="4"/>
  <c r="C35" i="4"/>
  <c r="H4" i="21"/>
  <c r="G4" i="21"/>
  <c r="F4" i="21"/>
  <c r="E4" i="21"/>
  <c r="D4" i="21"/>
  <c r="N23" i="20" l="1"/>
  <c r="N49" i="20"/>
  <c r="N48" i="20"/>
  <c r="K47" i="20"/>
  <c r="P23" i="20"/>
  <c r="N9" i="20"/>
  <c r="B49" i="20"/>
  <c r="E36" i="20" s="1"/>
  <c r="K51" i="20"/>
  <c r="K50" i="20"/>
  <c r="K49" i="20"/>
  <c r="K48" i="20"/>
  <c r="C17" i="20" l="1"/>
  <c r="D17" i="20"/>
  <c r="N47" i="20"/>
  <c r="K22" i="20" s="1"/>
  <c r="D64" i="20" l="1"/>
  <c r="K9" i="20" s="1"/>
  <c r="G3" i="18" l="1"/>
  <c r="D110" i="11"/>
  <c r="C110" i="11"/>
  <c r="B110" i="11"/>
  <c r="B102" i="11"/>
  <c r="B35" i="11"/>
  <c r="A164" i="16"/>
  <c r="A165" i="16"/>
  <c r="A158" i="16"/>
  <c r="A118" i="16"/>
  <c r="A117" i="16"/>
  <c r="A111" i="16"/>
  <c r="C3" i="8"/>
  <c r="D3" i="16"/>
  <c r="A159" i="16" s="1"/>
  <c r="B75" i="11"/>
  <c r="B74" i="11"/>
  <c r="H3" i="11"/>
  <c r="B80" i="11" s="1"/>
  <c r="E35" i="11"/>
  <c r="H7" i="8" l="1"/>
  <c r="H53" i="8"/>
  <c r="F61" i="8"/>
  <c r="H13" i="8"/>
  <c r="L13" i="8"/>
  <c r="L9" i="8"/>
  <c r="B107" i="11"/>
  <c r="C21" i="18"/>
  <c r="C4" i="18"/>
  <c r="B32" i="11"/>
  <c r="B3" i="11"/>
  <c r="H19" i="8"/>
  <c r="H9" i="8"/>
  <c r="H17" i="8"/>
  <c r="H15" i="8"/>
  <c r="B116" i="11"/>
  <c r="B117" i="11"/>
  <c r="C3" i="18"/>
  <c r="C20" i="18"/>
  <c r="B45" i="11"/>
  <c r="A112" i="16"/>
  <c r="B95" i="11"/>
  <c r="B96" i="11"/>
  <c r="C3" i="10"/>
  <c r="H14" i="10" s="1"/>
  <c r="C16" i="4"/>
  <c r="L51" i="8"/>
  <c r="H49" i="8"/>
  <c r="H24" i="10"/>
  <c r="H22" i="10"/>
  <c r="F67" i="8" l="1"/>
  <c r="B21" i="11"/>
  <c r="B44" i="11"/>
  <c r="B4" i="11"/>
  <c r="B20" i="11"/>
  <c r="I44" i="10"/>
  <c r="I43" i="10"/>
  <c r="H28" i="10"/>
  <c r="F38" i="10"/>
  <c r="H18" i="10"/>
  <c r="H47" i="8"/>
  <c r="C21" i="4"/>
  <c r="C24" i="4" s="1"/>
  <c r="C14" i="4"/>
  <c r="L39" i="8"/>
  <c r="J36" i="8"/>
  <c r="H36" i="8"/>
  <c r="H33" i="8"/>
  <c r="H31" i="8"/>
  <c r="H29" i="8"/>
  <c r="H27" i="8"/>
  <c r="C6" i="4"/>
  <c r="C32" i="4"/>
  <c r="C31" i="4"/>
  <c r="C30" i="4"/>
  <c r="C29" i="4"/>
  <c r="C12" i="4"/>
  <c r="C11" i="4"/>
  <c r="C9" i="4"/>
  <c r="H16" i="10" l="1"/>
  <c r="H12" i="10"/>
  <c r="F43" i="10" s="1"/>
  <c r="F44" i="10"/>
  <c r="F66" i="8"/>
  <c r="F75" i="8"/>
  <c r="F98" i="8"/>
  <c r="H11" i="8"/>
  <c r="C22" i="4"/>
  <c r="C23" i="4"/>
  <c r="H39" i="8"/>
  <c r="J39" i="8"/>
  <c r="C28" i="4" l="1"/>
  <c r="C26" i="4"/>
  <c r="C25" i="4"/>
  <c r="C20" i="4"/>
  <c r="C17" i="4"/>
  <c r="C15" i="4"/>
  <c r="C13" i="4"/>
  <c r="C10" i="4"/>
  <c r="C8" i="4"/>
  <c r="C7" i="4"/>
  <c r="E4" i="4" l="1"/>
  <c r="E3" i="4"/>
  <c r="X25" i="20"/>
  <c r="R17" i="20"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<sst xmlns="http://schemas.openxmlformats.org/spreadsheetml/2006/main" count="14792" uniqueCount="3034">
  <si>
    <t>Empleador</t>
  </si>
  <si>
    <t>Ameragrubs S.A.S.</t>
  </si>
  <si>
    <t>Desde</t>
  </si>
  <si>
    <t>Marzo</t>
  </si>
  <si>
    <t>Status</t>
  </si>
  <si>
    <t>Activo</t>
  </si>
  <si>
    <t>Hasta</t>
  </si>
  <si>
    <t>Etiquetas de fila</t>
  </si>
  <si>
    <t>Cuenta de Nombre*</t>
  </si>
  <si>
    <t>Meses (Fecha Nacimento (dd/mm/yyyy))</t>
  </si>
  <si>
    <t>Total trabajadores</t>
  </si>
  <si>
    <t>Activos</t>
  </si>
  <si>
    <t xml:space="preserve">Promedio de antigüedad </t>
  </si>
  <si>
    <t>Promedio de edad</t>
  </si>
  <si>
    <t>Fechas importantes</t>
  </si>
  <si>
    <t>Operario</t>
  </si>
  <si>
    <t>Nombre*</t>
  </si>
  <si>
    <t>Operaria</t>
  </si>
  <si>
    <t>Cumpleaños</t>
  </si>
  <si>
    <t>Servicios Generales</t>
  </si>
  <si>
    <t>Promedio de 
salario</t>
  </si>
  <si>
    <t>Proyect Manager</t>
  </si>
  <si>
    <t>Contratados</t>
  </si>
  <si>
    <t>Retiros</t>
  </si>
  <si>
    <t>Director de Operaciones</t>
  </si>
  <si>
    <t>Gerente General</t>
  </si>
  <si>
    <t>Serivicio Domestico</t>
  </si>
  <si>
    <t>Jefactura Técnica</t>
  </si>
  <si>
    <t>Hombres</t>
  </si>
  <si>
    <t>Mujeres</t>
  </si>
  <si>
    <t>Aniversarios</t>
  </si>
  <si>
    <t>Asistente Adminsitrativa</t>
  </si>
  <si>
    <t>Coordinador</t>
  </si>
  <si>
    <t>Coordinadora Administrativa</t>
  </si>
  <si>
    <t>Total general</t>
  </si>
  <si>
    <t>Costo total de nómina</t>
  </si>
  <si>
    <t>Rotación</t>
  </si>
  <si>
    <t>Promedio antigüedad retiros</t>
  </si>
  <si>
    <t>Laborales</t>
  </si>
  <si>
    <t>Meses (Fecha de Contratación (dd/mm/yyyy)*)</t>
  </si>
  <si>
    <t>Fecha de Contratación (dd/mm/yyyy)*</t>
  </si>
  <si>
    <t>|</t>
  </si>
  <si>
    <t>Angie Juliana</t>
  </si>
  <si>
    <t>Selena Dahiana</t>
  </si>
  <si>
    <t>Total ingresos trabajadores</t>
  </si>
  <si>
    <t>Aportes protección social</t>
  </si>
  <si>
    <t>Seguridad social y parafiscales</t>
  </si>
  <si>
    <t>Provisión prestaciones sociales</t>
  </si>
  <si>
    <t>Liquidaciones</t>
  </si>
  <si>
    <t>Prestaciones sociales</t>
  </si>
  <si>
    <t>Fecha límite de pago</t>
  </si>
  <si>
    <t>Fecha limite de pago</t>
  </si>
  <si>
    <t>Renuncia voluntaria</t>
  </si>
  <si>
    <t>Renuncia</t>
  </si>
  <si>
    <t>Medidas correctivas / Disciplinarias</t>
  </si>
  <si>
    <t>Terminación con justa causa</t>
  </si>
  <si>
    <t>Justa causa</t>
  </si>
  <si>
    <t>Recordatorio de funciones</t>
  </si>
  <si>
    <t>Enero</t>
  </si>
  <si>
    <t xml:space="preserve"> El 14 de febrero es la fecha límite para realizar el pago del auxilio de cesantías</t>
  </si>
  <si>
    <t>Terminación sin justa causa</t>
  </si>
  <si>
    <t>Sin justa causa</t>
  </si>
  <si>
    <t>Diligencia de descargos</t>
  </si>
  <si>
    <t>Febrero</t>
  </si>
  <si>
    <t>El 29 de marzo es la fecha límite para reportar estándares mínimos del Sistema de Gestión de Seguridad y Salud en el Trabajo</t>
  </si>
  <si>
    <t>Terminación por mutuo acuerdo</t>
  </si>
  <si>
    <t>Mutuo acuerdo</t>
  </si>
  <si>
    <t>El 30 de abril es la fecha límite para la entrega de la primera dotación</t>
  </si>
  <si>
    <t>Termincación por expiración del plazo o finalización de la obra o labor</t>
  </si>
  <si>
    <t>Finaliza el plazo o la obra</t>
  </si>
  <si>
    <t>Abril</t>
  </si>
  <si>
    <t>Mayo</t>
  </si>
  <si>
    <t>El 30 de junio es la fecha límite de pago prima de servicios y día de la familia primer semestre</t>
  </si>
  <si>
    <t>Junio</t>
  </si>
  <si>
    <t>El 15 de julio comenzará a regir la reducción de la jornada laboral a 46 horas semanales</t>
  </si>
  <si>
    <t>Julio</t>
  </si>
  <si>
    <t>El 31 de agosto es la fecha límite para la entrega de la segunda dotación</t>
  </si>
  <si>
    <t>Agosto</t>
  </si>
  <si>
    <t>Septiembre</t>
  </si>
  <si>
    <t>Octubre</t>
  </si>
  <si>
    <t>Noviembre</t>
  </si>
  <si>
    <t>El 20 de diciembre es la fecha límite para el pago de la prima de servicios y la entrega de la tercera dotación. El 31 de diciembre, vence el plazo para reconocer el día de la familia del segundo semestre</t>
  </si>
  <si>
    <t>Diciembre</t>
  </si>
  <si>
    <t>El 31 de enero es la fecha límite para realizar el pago de los intereses a las cesantías</t>
  </si>
  <si>
    <t>Salario promedio</t>
  </si>
  <si>
    <t>Antigüedad promedio</t>
  </si>
  <si>
    <t>Mímino</t>
  </si>
  <si>
    <t>Máximo</t>
  </si>
  <si>
    <t>Amplitud</t>
  </si>
  <si>
    <t>Rangos</t>
  </si>
  <si>
    <t>Cantidad</t>
  </si>
  <si>
    <t>ALELUYA</t>
  </si>
  <si>
    <t>Contrato</t>
  </si>
  <si>
    <t>Beneficiarios EPS</t>
  </si>
  <si>
    <t>Beneficiarios CCF</t>
  </si>
  <si>
    <t>#</t>
  </si>
  <si>
    <t>Apellidos*</t>
  </si>
  <si>
    <t>Tipo de documento*</t>
  </si>
  <si>
    <t>Número documento*</t>
  </si>
  <si>
    <t>Tipo de Contrato*</t>
  </si>
  <si>
    <t>Término del Contrato*</t>
  </si>
  <si>
    <t>Fecha finalización contrato (dd/mm/yyyy)</t>
  </si>
  <si>
    <t>Tipo Salario*</t>
  </si>
  <si>
    <t>Salario/Honorarios mensuales*</t>
  </si>
  <si>
    <t>Subsidio de Transporte (SI/NO)*</t>
  </si>
  <si>
    <t>Centro de trabajo (Nivel de Riesgo)*</t>
  </si>
  <si>
    <t>¿Permitir acceso online?</t>
  </si>
  <si>
    <t>Correo electrónico</t>
  </si>
  <si>
    <t>¿Días de vacaciones acumulados?</t>
  </si>
  <si>
    <t>Medio de Pago</t>
  </si>
  <si>
    <t>Banco</t>
  </si>
  <si>
    <t>Tipo de Cuenta</t>
  </si>
  <si>
    <t>Número de cuenta</t>
  </si>
  <si>
    <t>Fecha Nacimento (dd/mm/yyyy)</t>
  </si>
  <si>
    <t>Dirección</t>
  </si>
  <si>
    <t>Celular</t>
  </si>
  <si>
    <t>Sede</t>
  </si>
  <si>
    <t>Area</t>
  </si>
  <si>
    <t>Cargo</t>
  </si>
  <si>
    <t>Centro de Costos</t>
  </si>
  <si>
    <t>EPS</t>
  </si>
  <si>
    <t>Pensiones</t>
  </si>
  <si>
    <t>Cesantias</t>
  </si>
  <si>
    <t>Género</t>
  </si>
  <si>
    <t>Clasificación personal</t>
  </si>
  <si>
    <t>Auxilio no contitutivo de salario</t>
  </si>
  <si>
    <t>Monto auxilio no constitutivo de salario</t>
  </si>
  <si>
    <t>Desea afiliar a beneficiarios Si/no</t>
  </si>
  <si>
    <t>Padres,  conyuge o compañero permanente y hijos</t>
  </si>
  <si>
    <t>Anexos EPS:</t>
  </si>
  <si>
    <t xml:space="preserve">Desea afiliar a beneficiarios si/no </t>
  </si>
  <si>
    <t>Padres,  conyuge o compañero permanente y hijos2</t>
  </si>
  <si>
    <t>Anexos CCF:</t>
  </si>
  <si>
    <t>Fecha de retiro</t>
  </si>
  <si>
    <t>Causal de terminación</t>
  </si>
  <si>
    <t>Motivo de retiro</t>
  </si>
  <si>
    <t>Recomendado</t>
  </si>
  <si>
    <t>Antigüedad</t>
  </si>
  <si>
    <t>Edad</t>
  </si>
  <si>
    <t>Liliana Patricia</t>
  </si>
  <si>
    <t>Londoño Duque</t>
  </si>
  <si>
    <t>Cédula de ciudadanía</t>
  </si>
  <si>
    <t>Empleado</t>
  </si>
  <si>
    <t>Término indefinido</t>
  </si>
  <si>
    <t>Mensual</t>
  </si>
  <si>
    <t>Si</t>
  </si>
  <si>
    <t>Centro de trabajo Riesgo 4</t>
  </si>
  <si>
    <t>gemelitas0519@hotmail.com</t>
  </si>
  <si>
    <t>Transferencia Bancaria</t>
  </si>
  <si>
    <t>Bancolombia</t>
  </si>
  <si>
    <t>Cuenta de Ahorros</t>
  </si>
  <si>
    <t>72471408561</t>
  </si>
  <si>
    <t>CALLE 23 A NORTE #19-47</t>
  </si>
  <si>
    <t>3104237424</t>
  </si>
  <si>
    <t>Armenia</t>
  </si>
  <si>
    <t>Administrativa</t>
  </si>
  <si>
    <t>Gerente de ventas</t>
  </si>
  <si>
    <t>Armenia Administrativo</t>
  </si>
  <si>
    <t>EPS Sura</t>
  </si>
  <si>
    <t>Colpensiones</t>
  </si>
  <si>
    <t>Porvenir</t>
  </si>
  <si>
    <t>Inversora Fercementos S.A.S.</t>
  </si>
  <si>
    <t>Mujer</t>
  </si>
  <si>
    <t>dirección, confianza y/o manejo</t>
  </si>
  <si>
    <t>No</t>
  </si>
  <si>
    <t>Soler Andres</t>
  </si>
  <si>
    <t>Garcia Arcila</t>
  </si>
  <si>
    <t>solerandres1086@gmail.com</t>
  </si>
  <si>
    <t>Banco Davivienda</t>
  </si>
  <si>
    <t>488414223740</t>
  </si>
  <si>
    <t>CR 17 # 2-30</t>
  </si>
  <si>
    <t>3103885658</t>
  </si>
  <si>
    <t>Operativa</t>
  </si>
  <si>
    <t>Jefe de bodega</t>
  </si>
  <si>
    <t>Operativo</t>
  </si>
  <si>
    <t>Nueva EPS</t>
  </si>
  <si>
    <t>Hombre</t>
  </si>
  <si>
    <t>ordinario</t>
  </si>
  <si>
    <t>Carlos Eduardo</t>
  </si>
  <si>
    <t>Gomez Urrea</t>
  </si>
  <si>
    <t>gcaliche587@gmail.com</t>
  </si>
  <si>
    <t>550488432995667</t>
  </si>
  <si>
    <t>BR QUINTA DE LOS ANDES MZ 1 5B</t>
  </si>
  <si>
    <t>3226770395</t>
  </si>
  <si>
    <t>Mensajeria</t>
  </si>
  <si>
    <t>Mensajero</t>
  </si>
  <si>
    <t>Salud Total</t>
  </si>
  <si>
    <t>Julio Alberto</t>
  </si>
  <si>
    <t>Rios Garcia</t>
  </si>
  <si>
    <t>julioriosgarcia1964@gmail.com</t>
  </si>
  <si>
    <t>488432986641</t>
  </si>
  <si>
    <t>B. BELENCITO Mz I # 26</t>
  </si>
  <si>
    <t>3104178627</t>
  </si>
  <si>
    <t>Conductor</t>
  </si>
  <si>
    <t>Aleiro</t>
  </si>
  <si>
    <t>Carmona Carmona</t>
  </si>
  <si>
    <t>carmonacarmonaaleiro@gmail.com</t>
  </si>
  <si>
    <t>488432983531</t>
  </si>
  <si>
    <t>BRR. LA FACHADA  Mz 2 CA4</t>
  </si>
  <si>
    <t>3106124967</t>
  </si>
  <si>
    <t>Conductor/Auxiliar de cargue y descargue/Montacarguista</t>
  </si>
  <si>
    <t>Luz Adriana</t>
  </si>
  <si>
    <t>Bucuru Rivera</t>
  </si>
  <si>
    <t>Centro de trabajo Riesgo 2</t>
  </si>
  <si>
    <t>adrianabucuru79@gmail.com</t>
  </si>
  <si>
    <t>Efectivo</t>
  </si>
  <si>
    <t>barrio puerto espejo, ciudadela chilacoa torre 11apt 303</t>
  </si>
  <si>
    <t>3137924856</t>
  </si>
  <si>
    <t>Condominio el eden casa 13</t>
  </si>
  <si>
    <t>Domestico</t>
  </si>
  <si>
    <t>Servicio Domestico</t>
  </si>
  <si>
    <t>Mano de Obra Directa</t>
  </si>
  <si>
    <t>S.O.S. Servicio Occidental de Salud S.A.</t>
  </si>
  <si>
    <t>Magda Ines Montoya Naranjo</t>
  </si>
  <si>
    <t>No aplica</t>
  </si>
  <si>
    <t>Orlando</t>
  </si>
  <si>
    <t>Marin Osorio</t>
  </si>
  <si>
    <t/>
  </si>
  <si>
    <t>76100001321</t>
  </si>
  <si>
    <t>FINCA LA ESMERALDA</t>
  </si>
  <si>
    <t>3235226008</t>
  </si>
  <si>
    <t>La Esmeralda</t>
  </si>
  <si>
    <t>Operaciones</t>
  </si>
  <si>
    <t>Oficios Varios</t>
  </si>
  <si>
    <t>MOEMPA S.A.S.</t>
  </si>
  <si>
    <t>Jaime Hugo</t>
  </si>
  <si>
    <t>Romero Garzon</t>
  </si>
  <si>
    <t xml:space="preserve">Centro de trabajo Riesgo 2 </t>
  </si>
  <si>
    <t>76100001311</t>
  </si>
  <si>
    <t>CORREGIMIENTO QUEBRADANUEVA FINCA LA DUQUESA</t>
  </si>
  <si>
    <t>3128141672</t>
  </si>
  <si>
    <t>La Duquesa</t>
  </si>
  <si>
    <t>Vaquero</t>
  </si>
  <si>
    <t>Emssanar</t>
  </si>
  <si>
    <t>Reestructuración empresarial</t>
  </si>
  <si>
    <t>Jhon Jairo</t>
  </si>
  <si>
    <t>Zapata</t>
  </si>
  <si>
    <t>06956182423</t>
  </si>
  <si>
    <t>CORREGIMIENTO QUEBRADANUEVA</t>
  </si>
  <si>
    <t>3142617312</t>
  </si>
  <si>
    <t>Jose Eduardo</t>
  </si>
  <si>
    <t>Orozco Sarria</t>
  </si>
  <si>
    <t>76100001312</t>
  </si>
  <si>
    <t>3226372860</t>
  </si>
  <si>
    <t>Jose Exadit</t>
  </si>
  <si>
    <t>Zapata Betancourt</t>
  </si>
  <si>
    <t>76100001314</t>
  </si>
  <si>
    <t>3202607926</t>
  </si>
  <si>
    <t>Luis Ancizar</t>
  </si>
  <si>
    <t>Ocampo Ocampo</t>
  </si>
  <si>
    <t>76100001317</t>
  </si>
  <si>
    <t>3148556796</t>
  </si>
  <si>
    <t>Santiago</t>
  </si>
  <si>
    <t>Cortes Sandoval</t>
  </si>
  <si>
    <t>cortes.0795@gmail.com</t>
  </si>
  <si>
    <t>10117635720</t>
  </si>
  <si>
    <t>CALLE 27 NORTE #5-00</t>
  </si>
  <si>
    <t>3142287066</t>
  </si>
  <si>
    <t>Gestor de stock</t>
  </si>
  <si>
    <t>Sanitas</t>
  </si>
  <si>
    <t>Marcela</t>
  </si>
  <si>
    <t>Echeverry Palacio</t>
  </si>
  <si>
    <t>Centro de trabajo Riesgo 1</t>
  </si>
  <si>
    <t>restaurante-elsolar@hotmail.com</t>
  </si>
  <si>
    <t>Cuenta Corriente</t>
  </si>
  <si>
    <t>86767577735</t>
  </si>
  <si>
    <t xml:space="preserve">   KM 1 VIA A PEREIRA</t>
  </si>
  <si>
    <t>3174288901</t>
  </si>
  <si>
    <t>Restaurante El Solar</t>
  </si>
  <si>
    <t>Gerencia</t>
  </si>
  <si>
    <t>Gerente</t>
  </si>
  <si>
    <t>Protección</t>
  </si>
  <si>
    <t>Valencia Echeverry S.A.S.</t>
  </si>
  <si>
    <t>Jesus Bernardo</t>
  </si>
  <si>
    <t>Quintero Garcia</t>
  </si>
  <si>
    <t>3136540385</t>
  </si>
  <si>
    <t>Dora Lilia</t>
  </si>
  <si>
    <t>Garcia Henao</t>
  </si>
  <si>
    <t>dlgh2013@hotmail.com</t>
  </si>
  <si>
    <t>086541570</t>
  </si>
  <si>
    <t>BRR RECREO MZ G # 26</t>
  </si>
  <si>
    <t>3125535183</t>
  </si>
  <si>
    <t>Contadora</t>
  </si>
  <si>
    <t>Luisa Fernanda</t>
  </si>
  <si>
    <t>Garcia Londoño</t>
  </si>
  <si>
    <t>luigarcialon1905@gmail.com</t>
  </si>
  <si>
    <t>72487016588</t>
  </si>
  <si>
    <t>3122593915</t>
  </si>
  <si>
    <t>Gerente de mercadeo</t>
  </si>
  <si>
    <t>Maria Alejandra</t>
  </si>
  <si>
    <t>malegarcia-19@hotmail.com</t>
  </si>
  <si>
    <t>72487016595</t>
  </si>
  <si>
    <t>CALLE 31 NORTE #20-80</t>
  </si>
  <si>
    <t>3122593932</t>
  </si>
  <si>
    <t>Gestos de proyectos</t>
  </si>
  <si>
    <t>Jaramillo Santacoloma</t>
  </si>
  <si>
    <t>Integral Mensual</t>
  </si>
  <si>
    <t>cejsa@hotmail.com</t>
  </si>
  <si>
    <t>136000867533</t>
  </si>
  <si>
    <t>HACIENDA EL CABRERO CASA N 20</t>
  </si>
  <si>
    <t>Oficina - Armenia</t>
  </si>
  <si>
    <t xml:space="preserve">Subgerente </t>
  </si>
  <si>
    <t>Administrativo</t>
  </si>
  <si>
    <t>Inversora II MEP S.A.S.</t>
  </si>
  <si>
    <t xml:space="preserve">No </t>
  </si>
  <si>
    <t>Monica Beatriz</t>
  </si>
  <si>
    <t>Giraldo Osorio</t>
  </si>
  <si>
    <t>mo.nana@hotmail.com</t>
  </si>
  <si>
    <t>136000823197</t>
  </si>
  <si>
    <t>Lorena Nathalia</t>
  </si>
  <si>
    <t>Castano Ramirez</t>
  </si>
  <si>
    <t xml:space="preserve">Centro de trabajo Riesgo 1 </t>
  </si>
  <si>
    <t>lonacaramirez1@gmail.com</t>
  </si>
  <si>
    <t>76100001316</t>
  </si>
  <si>
    <t>EL RECRERO MZ C CASA 1</t>
  </si>
  <si>
    <t>3117082594</t>
  </si>
  <si>
    <t>Oficina</t>
  </si>
  <si>
    <t>Contador y Director Administrativo</t>
  </si>
  <si>
    <t>Juan Gonzalo</t>
  </si>
  <si>
    <t>Valencia Echeverry</t>
  </si>
  <si>
    <t>Pensionado</t>
  </si>
  <si>
    <t>jgval@hotmail.com</t>
  </si>
  <si>
    <t>136100113119</t>
  </si>
  <si>
    <t>3174025094</t>
  </si>
  <si>
    <t>Carlos Jose</t>
  </si>
  <si>
    <t>Gomez Giraldo</t>
  </si>
  <si>
    <t>carlosj.gomez@hotmail.com</t>
  </si>
  <si>
    <t>76156092360</t>
  </si>
  <si>
    <t>CALLE 3RA # 10 - 45 CAICEDONIA</t>
  </si>
  <si>
    <t>3104114119</t>
  </si>
  <si>
    <t>Director de Campo</t>
  </si>
  <si>
    <t>Catalina</t>
  </si>
  <si>
    <t>Angel Londono</t>
  </si>
  <si>
    <t>cal0519@hotmail.com</t>
  </si>
  <si>
    <t>76100001304</t>
  </si>
  <si>
    <t>CALLE 14N  10 -05 EL ROBLEDAL CASA 1</t>
  </si>
  <si>
    <t>3174052036</t>
  </si>
  <si>
    <t>Director Operativo</t>
  </si>
  <si>
    <t>Fondo Nacional del Ahorro</t>
  </si>
  <si>
    <t>Jhon Freddy</t>
  </si>
  <si>
    <t>Silva Arango</t>
  </si>
  <si>
    <t xml:space="preserve">municipio de zarzal corregimiento de vallejuelo finca  balkanes </t>
  </si>
  <si>
    <t>3217122466</t>
  </si>
  <si>
    <t>Quindio</t>
  </si>
  <si>
    <t>Ivan Gutierrez Velez</t>
  </si>
  <si>
    <t>Orlay de Jesus</t>
  </si>
  <si>
    <t>Garcia Garcia</t>
  </si>
  <si>
    <t>monikrobo@hotmail.com</t>
  </si>
  <si>
    <t>vereda la soledad finca tres Rios</t>
  </si>
  <si>
    <t>3113103563</t>
  </si>
  <si>
    <t>Finca Tres Rios</t>
  </si>
  <si>
    <t>Administrador</t>
  </si>
  <si>
    <t xml:space="preserve">Mayordomo </t>
  </si>
  <si>
    <t>César Agusto</t>
  </si>
  <si>
    <t>Alvarez Martinez</t>
  </si>
  <si>
    <t>Centro de trabajo Riesgo 3</t>
  </si>
  <si>
    <t>cesar_amartinez37@hotmail.com</t>
  </si>
  <si>
    <t>488417688774</t>
  </si>
  <si>
    <t>CRA 39 50A 17</t>
  </si>
  <si>
    <t>Coordinación</t>
  </si>
  <si>
    <t>Coordinador de cocina</t>
  </si>
  <si>
    <t>Newman Jose</t>
  </si>
  <si>
    <t>Lozada Mendez</t>
  </si>
  <si>
    <t>Permiso de protección  temporal</t>
  </si>
  <si>
    <t>newmanlozada8@gmail.com</t>
  </si>
  <si>
    <t>06900003901</t>
  </si>
  <si>
    <t>barrio el Guadual manzana A casa 1 circasia quindio</t>
  </si>
  <si>
    <t>Servicio y producción</t>
  </si>
  <si>
    <t>Auxiliar de restaurante</t>
  </si>
  <si>
    <t>Diana Yulieth</t>
  </si>
  <si>
    <t>Gutierrez Jaramillo</t>
  </si>
  <si>
    <t>Daviplata</t>
  </si>
  <si>
    <t>3137461657</t>
  </si>
  <si>
    <t xml:space="preserve">   MZ 5 CASA 17</t>
  </si>
  <si>
    <t>3137712562</t>
  </si>
  <si>
    <t>Jorge Ivan</t>
  </si>
  <si>
    <t>Agudelo Arias</t>
  </si>
  <si>
    <t>Banco AV Villas</t>
  </si>
  <si>
    <t>313824018</t>
  </si>
  <si>
    <t xml:space="preserve">   KM 2 VIA CIRCASIA FINCA TRIBUNAS</t>
  </si>
  <si>
    <t>3137241835</t>
  </si>
  <si>
    <t>Olga</t>
  </si>
  <si>
    <t>Cortes Gonzalez</t>
  </si>
  <si>
    <t>3117532349</t>
  </si>
  <si>
    <t xml:space="preserve">   MZ 9 CASA 19</t>
  </si>
  <si>
    <t>Maria Isabel</t>
  </si>
  <si>
    <t>Forero Calderon</t>
  </si>
  <si>
    <t>313823689</t>
  </si>
  <si>
    <t xml:space="preserve">   MZ C CS 1A PORTAL</t>
  </si>
  <si>
    <t>3148134710</t>
  </si>
  <si>
    <t>Victor  Manuel</t>
  </si>
  <si>
    <t>Castro Olaya</t>
  </si>
  <si>
    <t>vimco711@gmail.com</t>
  </si>
  <si>
    <t>3104923852</t>
  </si>
  <si>
    <t>Mz H casa 16</t>
  </si>
  <si>
    <t>Mauricio</t>
  </si>
  <si>
    <t>Arcila Walteros</t>
  </si>
  <si>
    <t>mauriciowalteros258@gmail.com</t>
  </si>
  <si>
    <t>313823663</t>
  </si>
  <si>
    <t xml:space="preserve">   VEREDA SAN JUAN DE CAROLINA FINCA TRIBUN</t>
  </si>
  <si>
    <t>3104756276</t>
  </si>
  <si>
    <t>Mantenimiento</t>
  </si>
  <si>
    <t>Conserje</t>
  </si>
  <si>
    <t>Jose Manuel</t>
  </si>
  <si>
    <t>Martinez</t>
  </si>
  <si>
    <t>martinezjosemanuel519@gmail.com</t>
  </si>
  <si>
    <t>313823309</t>
  </si>
  <si>
    <t xml:space="preserve">   BARRIO CLEMENTINA  MZ D CASA 14 QUIMBAYA</t>
  </si>
  <si>
    <t>3137956462</t>
  </si>
  <si>
    <t>Uban</t>
  </si>
  <si>
    <t>76100001323</t>
  </si>
  <si>
    <t>QUEBRADANUEVA CLL 5 CS 307</t>
  </si>
  <si>
    <t>3206301263</t>
  </si>
  <si>
    <t>Diego Fernando</t>
  </si>
  <si>
    <t>76100001306</t>
  </si>
  <si>
    <t>3104033011</t>
  </si>
  <si>
    <t>Coosalud</t>
  </si>
  <si>
    <t>Juan Daniel</t>
  </si>
  <si>
    <t>juanda132@hotmail.com</t>
  </si>
  <si>
    <t>007070384503</t>
  </si>
  <si>
    <t>Carrera 10 No 11 Norte - 40</t>
  </si>
  <si>
    <t>3166920036</t>
  </si>
  <si>
    <t>Coordinador de restaurante</t>
  </si>
  <si>
    <t>Ferney Antonio</t>
  </si>
  <si>
    <t>Alvarez Orrego</t>
  </si>
  <si>
    <t>ferneyalvarez@gmail.com</t>
  </si>
  <si>
    <t>Nequi</t>
  </si>
  <si>
    <t>3163259545</t>
  </si>
  <si>
    <t>Montenegro vereda la ceiba finca galixia</t>
  </si>
  <si>
    <t>3173568871</t>
  </si>
  <si>
    <t>Administrador de Finca</t>
  </si>
  <si>
    <t>Gregorio Gutierrez</t>
  </si>
  <si>
    <t>Carlos Julian</t>
  </si>
  <si>
    <t>Carmen Posso</t>
  </si>
  <si>
    <t>municipio de la victoria corregimiento de holguin  finca el sinu</t>
  </si>
  <si>
    <t>3155925519</t>
  </si>
  <si>
    <t>Valle del Cauca</t>
  </si>
  <si>
    <t>Lida Esther</t>
  </si>
  <si>
    <t>Gañan Gañan</t>
  </si>
  <si>
    <t xml:space="preserve">Servicios </t>
  </si>
  <si>
    <t>Auxiliar de servicio</t>
  </si>
  <si>
    <t>Aliansalud EPS</t>
  </si>
  <si>
    <t>Deicy</t>
  </si>
  <si>
    <t xml:space="preserve">Chavez Valdes </t>
  </si>
  <si>
    <t>Juan Carlos</t>
  </si>
  <si>
    <t>Rodriguez</t>
  </si>
  <si>
    <t>3135958902</t>
  </si>
  <si>
    <t>Montenegro vereda la española finca la española</t>
  </si>
  <si>
    <t>3186385197</t>
  </si>
  <si>
    <t>Liliana</t>
  </si>
  <si>
    <t>Leal Gil</t>
  </si>
  <si>
    <t>lilianalealgil81@gmail.com</t>
  </si>
  <si>
    <t>3112494318</t>
  </si>
  <si>
    <t xml:space="preserve">   PATIO BONITO MZ N CASA 64A</t>
  </si>
  <si>
    <t>Antonio Jose</t>
  </si>
  <si>
    <t>Betancur Romero</t>
  </si>
  <si>
    <t>Municipio de la victoria corregimiento de holguin  finca el sinu</t>
  </si>
  <si>
    <t>Vaquero Campo</t>
  </si>
  <si>
    <t>Lady Tatiana</t>
  </si>
  <si>
    <t>Cardenas Lopez</t>
  </si>
  <si>
    <t>tati.cardenaslopez@gmail.com</t>
  </si>
  <si>
    <t>488429729186</t>
  </si>
  <si>
    <t>calle 19Norte # 18 23 Edficio Hebron</t>
  </si>
  <si>
    <t>3108426847</t>
  </si>
  <si>
    <t>Sede principal</t>
  </si>
  <si>
    <t>Jefactura</t>
  </si>
  <si>
    <t>Gustavo Adolfo</t>
  </si>
  <si>
    <t>Aguirre Arboledad</t>
  </si>
  <si>
    <t>gaguirre20@hotmail.com</t>
  </si>
  <si>
    <t>488429759449</t>
  </si>
  <si>
    <t>Kilometro 3 via armenia la tebaida, Condominio santa ana  casa</t>
  </si>
  <si>
    <t>3206963259</t>
  </si>
  <si>
    <t>Alberto</t>
  </si>
  <si>
    <t>Montoya Fayad</t>
  </si>
  <si>
    <t>amontoyafayad@hotmail.com</t>
  </si>
  <si>
    <t>540600012566</t>
  </si>
  <si>
    <t>Condominio el Eden casa 13</t>
  </si>
  <si>
    <t>3113002107</t>
  </si>
  <si>
    <t>Arley</t>
  </si>
  <si>
    <t>Casas Torres</t>
  </si>
  <si>
    <t>arley23@gmail.com</t>
  </si>
  <si>
    <t>Finca San pablo</t>
  </si>
  <si>
    <t>3136123452</t>
  </si>
  <si>
    <t>Finca San Juanito</t>
  </si>
  <si>
    <t>Administrador General</t>
  </si>
  <si>
    <t>Juan Gabriel Gómez Hoyos</t>
  </si>
  <si>
    <t>Angela Yaneth</t>
  </si>
  <si>
    <t>Medina Díaz</t>
  </si>
  <si>
    <t>amedinad1@ucentral.edu.co</t>
  </si>
  <si>
    <t>0550488442262496</t>
  </si>
  <si>
    <t>CRA 82 SUR # 68 B 04</t>
  </si>
  <si>
    <t xml:space="preserve">Bogotá </t>
  </si>
  <si>
    <t>Lider diseño</t>
  </si>
  <si>
    <t>Famisanar</t>
  </si>
  <si>
    <t>Agencia Alquimia S.A.S.</t>
  </si>
  <si>
    <t>Jessica Andrea</t>
  </si>
  <si>
    <t>Urbano Ramirez</t>
  </si>
  <si>
    <t>yessi.urbano147@gmail.com</t>
  </si>
  <si>
    <t>488442009079</t>
  </si>
  <si>
    <t>Barrio Entreverdes mz 7 casa 25</t>
  </si>
  <si>
    <t>3113328260</t>
  </si>
  <si>
    <t>Contabilidad</t>
  </si>
  <si>
    <t>Líder Contabilidad</t>
  </si>
  <si>
    <t>Monica Viviana</t>
  </si>
  <si>
    <t>Londoño Marin</t>
  </si>
  <si>
    <t>monicas-02@hotmail.com</t>
  </si>
  <si>
    <t>488442010648</t>
  </si>
  <si>
    <t>Barrio centenario mz B #18</t>
  </si>
  <si>
    <t>3165891058</t>
  </si>
  <si>
    <t>Auxiliar contable</t>
  </si>
  <si>
    <t>Sandra Carolina</t>
  </si>
  <si>
    <t>Gutierrez Buitrago</t>
  </si>
  <si>
    <t>carito_gut@hotmail.com</t>
  </si>
  <si>
    <t>0550488442011430</t>
  </si>
  <si>
    <t xml:space="preserve">Cra 10 # 11 N 05 Torre 3 Apto 203 Conjunto Terra </t>
  </si>
  <si>
    <t>3206456821</t>
  </si>
  <si>
    <t>Gerente y representante legal</t>
  </si>
  <si>
    <t>Yesica</t>
  </si>
  <si>
    <t>Lievano Guiza</t>
  </si>
  <si>
    <t>jessilievano13@gmail.com</t>
  </si>
  <si>
    <t>06961656697</t>
  </si>
  <si>
    <t>Cra 36 #19-56 Barrio Jardin</t>
  </si>
  <si>
    <t>3215553465</t>
  </si>
  <si>
    <t>Producción</t>
  </si>
  <si>
    <t>SGSST</t>
  </si>
  <si>
    <t>Laura Margrieth</t>
  </si>
  <si>
    <t>Dimian Zambrano</t>
  </si>
  <si>
    <t>lauradimian05@gmail.com</t>
  </si>
  <si>
    <t>0550488442013428</t>
  </si>
  <si>
    <t>Barrio villa inglesa manzana B casa 36 piso 2</t>
  </si>
  <si>
    <t>3206703994</t>
  </si>
  <si>
    <t>Productor</t>
  </si>
  <si>
    <t>Ruben Dario</t>
  </si>
  <si>
    <t>Arias Botero</t>
  </si>
  <si>
    <t>ruben88arias@gmail.com</t>
  </si>
  <si>
    <t>138000078384</t>
  </si>
  <si>
    <t>3136522882</t>
  </si>
  <si>
    <t>Alejandra</t>
  </si>
  <si>
    <t>Tapias Beltran</t>
  </si>
  <si>
    <t>aleja.2185@hotmail.com</t>
  </si>
  <si>
    <t>136200133900</t>
  </si>
  <si>
    <t>BRR LA MONTANA MZD CA 2</t>
  </si>
  <si>
    <t>3122608039</t>
  </si>
  <si>
    <t>Ventas</t>
  </si>
  <si>
    <t>Cajera</t>
  </si>
  <si>
    <t>Armenia Ventas</t>
  </si>
  <si>
    <t>Andres Gonzalo</t>
  </si>
  <si>
    <t>Arenas Robayo</t>
  </si>
  <si>
    <t>aarenasrobayo@gmail.com</t>
  </si>
  <si>
    <t>488413091486</t>
  </si>
  <si>
    <t>BRR SIMONBOLIVAR MZ 34 CA 13</t>
  </si>
  <si>
    <t>3168913623</t>
  </si>
  <si>
    <t xml:space="preserve">Auxiliar de cargue y descargue </t>
  </si>
  <si>
    <t>Angelica Maria</t>
  </si>
  <si>
    <t>Ariza Fontecha</t>
  </si>
  <si>
    <t>angelicamariaariza@gmail.com</t>
  </si>
  <si>
    <t>136200139550</t>
  </si>
  <si>
    <t>ALTOS DE LA PAVONA MZ B CS 5</t>
  </si>
  <si>
    <t>3213771648</t>
  </si>
  <si>
    <t>Gestor comercial</t>
  </si>
  <si>
    <t>Fabio Augusto</t>
  </si>
  <si>
    <t>Morales Castillo</t>
  </si>
  <si>
    <t>fabio1818mo@gmail.com</t>
  </si>
  <si>
    <t>488419907446</t>
  </si>
  <si>
    <t>MONTEBLANCO 3A ET MZ D CS 34</t>
  </si>
  <si>
    <t>3234732180</t>
  </si>
  <si>
    <t xml:space="preserve">Conductor y auxiliar de cargue y descargue </t>
  </si>
  <si>
    <t>Felix Jose</t>
  </si>
  <si>
    <t>Infante Noguera</t>
  </si>
  <si>
    <t>Permiso de protección temporal</t>
  </si>
  <si>
    <t>infante21@outlook.com</t>
  </si>
  <si>
    <t>0550136700048111</t>
  </si>
  <si>
    <t>BRR RECREO MZ I CA 21</t>
  </si>
  <si>
    <t>3224291281</t>
  </si>
  <si>
    <t>Jhonatan</t>
  </si>
  <si>
    <t>Morales Amezquita</t>
  </si>
  <si>
    <t>jonathanmorales555@gmail.com</t>
  </si>
  <si>
    <t>488424649363</t>
  </si>
  <si>
    <t>BRR SAN FRANCISCO MZ C CA9</t>
  </si>
  <si>
    <t>3005350226</t>
  </si>
  <si>
    <t>Jose Alejandro</t>
  </si>
  <si>
    <t>Barbosa Granada</t>
  </si>
  <si>
    <t>malejo19999@gmail.com</t>
  </si>
  <si>
    <t>550488432990890</t>
  </si>
  <si>
    <t>BRR LA CECILIA MZ 49 CA 13</t>
  </si>
  <si>
    <t>3196816737</t>
  </si>
  <si>
    <t>Bodeguero</t>
  </si>
  <si>
    <t>Mario Alexander</t>
  </si>
  <si>
    <t>Gallego Gutierrez</t>
  </si>
  <si>
    <t>mariobask12@hotmail.com</t>
  </si>
  <si>
    <t>138000062735</t>
  </si>
  <si>
    <t>LA CORUÑA MZ 8 APT 219 PUERTO ESPEJO</t>
  </si>
  <si>
    <t>3142933663</t>
  </si>
  <si>
    <t>Paula Juliana</t>
  </si>
  <si>
    <t>Leon Vera</t>
  </si>
  <si>
    <t>paulajulianaleonvera@gmail.com</t>
  </si>
  <si>
    <t>136100178922</t>
  </si>
  <si>
    <t>BRR SAN ANDRES MZ 4 CA 1</t>
  </si>
  <si>
    <t>3127244323</t>
  </si>
  <si>
    <t>Asmet Salud</t>
  </si>
  <si>
    <t>Claudia Patricia</t>
  </si>
  <si>
    <t>Gómez Oviedo</t>
  </si>
  <si>
    <t>clapago17@hotmail.com</t>
  </si>
  <si>
    <t>136000925729</t>
  </si>
  <si>
    <t>Bosques de Pinares Mz 4 casa 132</t>
  </si>
  <si>
    <t>3043883089</t>
  </si>
  <si>
    <t>García Osorio</t>
  </si>
  <si>
    <t>minitrufa02@gmail.com</t>
  </si>
  <si>
    <t>Banco Colpatria</t>
  </si>
  <si>
    <t>3412019997</t>
  </si>
  <si>
    <t>Calle 5 #1033 Apto 202</t>
  </si>
  <si>
    <t>3234227481</t>
  </si>
  <si>
    <t>Baronesa Portal del Quindío</t>
  </si>
  <si>
    <t>Restaurantes</t>
  </si>
  <si>
    <t>Domiciliario</t>
  </si>
  <si>
    <t>Portal del Quindío</t>
  </si>
  <si>
    <t>Grupo Gacama S.A.S.</t>
  </si>
  <si>
    <t xml:space="preserve">Bladimir </t>
  </si>
  <si>
    <t>Gallego</t>
  </si>
  <si>
    <t>bladimir2022@gmail.com</t>
  </si>
  <si>
    <t>76100001303</t>
  </si>
  <si>
    <t>Quebrada nueva municipio zarzal</t>
  </si>
  <si>
    <t>3116194249</t>
  </si>
  <si>
    <t>Lina Marcela</t>
  </si>
  <si>
    <t>Zapata Tamayo</t>
  </si>
  <si>
    <t>linamarcelazapatatamayo@gmail.com</t>
  </si>
  <si>
    <t>76156093498</t>
  </si>
  <si>
    <t>3226311583</t>
  </si>
  <si>
    <t>Marlon</t>
  </si>
  <si>
    <t>Gallego Munoz</t>
  </si>
  <si>
    <t>76100001319</t>
  </si>
  <si>
    <t>3128993779</t>
  </si>
  <si>
    <t>Yerson</t>
  </si>
  <si>
    <t>yersongamu@gmail.com</t>
  </si>
  <si>
    <t>76100001325</t>
  </si>
  <si>
    <t>3116495873</t>
  </si>
  <si>
    <t>Jose Rubiel</t>
  </si>
  <si>
    <t>Meneses Morales</t>
  </si>
  <si>
    <t xml:space="preserve">Centro de trabajo Riesgo 5 </t>
  </si>
  <si>
    <t>76100001315</t>
  </si>
  <si>
    <t>Zarzal valle del cauca</t>
  </si>
  <si>
    <t>3126098882</t>
  </si>
  <si>
    <t>Operario Maquinaria Agrícola</t>
  </si>
  <si>
    <t>Diana Milena</t>
  </si>
  <si>
    <t>Vega Alvarez</t>
  </si>
  <si>
    <t>nana1657@hotmail.com</t>
  </si>
  <si>
    <t>534722744</t>
  </si>
  <si>
    <t xml:space="preserve">   CALLE 15 No 23-39</t>
  </si>
  <si>
    <t>3108900403</t>
  </si>
  <si>
    <t>Coordinador administrativo</t>
  </si>
  <si>
    <t>Bibiana María</t>
  </si>
  <si>
    <t>Sarria Sierra</t>
  </si>
  <si>
    <t>bibianasarria6@gmail.com</t>
  </si>
  <si>
    <t>7462028540</t>
  </si>
  <si>
    <t xml:space="preserve">La Tebaida </t>
  </si>
  <si>
    <t>Baronesa Mall Paraíso</t>
  </si>
  <si>
    <t>Auxiliar de cocina</t>
  </si>
  <si>
    <t>Mall Paraíso</t>
  </si>
  <si>
    <t>Luis Fernando</t>
  </si>
  <si>
    <t>luisfernandogarcia22@hotmail.com</t>
  </si>
  <si>
    <t>72479548799</t>
  </si>
  <si>
    <t>3104517339</t>
  </si>
  <si>
    <t>Gerente general</t>
  </si>
  <si>
    <t>Sandra Milena</t>
  </si>
  <si>
    <t>Barreto Barreto</t>
  </si>
  <si>
    <t>sandrabarreto0844@gmail.com</t>
  </si>
  <si>
    <t>0550488433670210</t>
  </si>
  <si>
    <t>CRA 26 A NRO 16-25 BARRIO TIGREROS</t>
  </si>
  <si>
    <t>3209713833</t>
  </si>
  <si>
    <t>Cristian Augusto</t>
  </si>
  <si>
    <t>Ocampo Rodriguez</t>
  </si>
  <si>
    <t>cristian12@gmail.com</t>
  </si>
  <si>
    <t>80271286574</t>
  </si>
  <si>
    <t>Barrio el Carmen, caicedonia valle calle 9 #16-18</t>
  </si>
  <si>
    <t>3148921487</t>
  </si>
  <si>
    <t>Finca las brisas</t>
  </si>
  <si>
    <t>Paula Andrea</t>
  </si>
  <si>
    <t>Cadena Henao</t>
  </si>
  <si>
    <t>paula05cadena@hotmail.com</t>
  </si>
  <si>
    <t>488434041189</t>
  </si>
  <si>
    <t>BRR EL RECUERDO CS 113A</t>
  </si>
  <si>
    <t>3148576736</t>
  </si>
  <si>
    <t>Maria Andrea</t>
  </si>
  <si>
    <t>Morales Motato</t>
  </si>
  <si>
    <t>mariapaulaherreram10@gmail.com</t>
  </si>
  <si>
    <t>PIBO Mall Paraíso</t>
  </si>
  <si>
    <t>Wilmer</t>
  </si>
  <si>
    <t>Gallego Muñoz</t>
  </si>
  <si>
    <t>wilmergallegomunoz@gmail.com</t>
  </si>
  <si>
    <t>76100001324</t>
  </si>
  <si>
    <t>Barrio la estación QUEBRADANUEVA ZARZAL</t>
  </si>
  <si>
    <t>3215996059</t>
  </si>
  <si>
    <t>Oswaldo Manuel</t>
  </si>
  <si>
    <t>Manchego Navarro</t>
  </si>
  <si>
    <t>oswaldo23@gmail.com</t>
  </si>
  <si>
    <t>finca San pablo</t>
  </si>
  <si>
    <t>3122343212</t>
  </si>
  <si>
    <t>Finca san pablo</t>
  </si>
  <si>
    <t>Jose Saul</t>
  </si>
  <si>
    <t>Acevedo Marin</t>
  </si>
  <si>
    <t>jose2@gmail.com</t>
  </si>
  <si>
    <t>Finca la maquita</t>
  </si>
  <si>
    <t>3117775719</t>
  </si>
  <si>
    <t>Finca La Maquita</t>
  </si>
  <si>
    <t>Juan David</t>
  </si>
  <si>
    <t>Cardona Restrepo</t>
  </si>
  <si>
    <t>juancardona23@gmail.com</t>
  </si>
  <si>
    <t>136400116119</t>
  </si>
  <si>
    <t>Calle 30 No. 23-13 Apt 201 Calarcá centro</t>
  </si>
  <si>
    <t>3216876356</t>
  </si>
  <si>
    <t>Ysaias Jose</t>
  </si>
  <si>
    <t>Raga Pineda</t>
  </si>
  <si>
    <t>3178699573</t>
  </si>
  <si>
    <t>Administrador de Cultivo</t>
  </si>
  <si>
    <t>Fabio</t>
  </si>
  <si>
    <t>lealgilfabio@gmail.com</t>
  </si>
  <si>
    <t>0550488433982342</t>
  </si>
  <si>
    <t xml:space="preserve">   MANZANA 2 CASA 23</t>
  </si>
  <si>
    <t>3217226854</t>
  </si>
  <si>
    <t>Yesenia</t>
  </si>
  <si>
    <t>Rodriguez Cristancho</t>
  </si>
  <si>
    <t>andreagonzalezcortez@gmail.com</t>
  </si>
  <si>
    <t>3412021401</t>
  </si>
  <si>
    <t>B/Cantarito MZ13#28</t>
  </si>
  <si>
    <t>3137223923</t>
  </si>
  <si>
    <t>Nueva EPS Movilidad</t>
  </si>
  <si>
    <t>Alex Fabian</t>
  </si>
  <si>
    <t>Marín</t>
  </si>
  <si>
    <t>alexmarinsofi@gmail.com</t>
  </si>
  <si>
    <t>3215802126</t>
  </si>
  <si>
    <t>Finca los Alamos Vrda el Caimo Via la Tebaida</t>
  </si>
  <si>
    <t>LOS ALAMOS</t>
  </si>
  <si>
    <t>HEYDAY GROUP S.A.S</t>
  </si>
  <si>
    <t>Edelmira</t>
  </si>
  <si>
    <t>Velez Correa</t>
  </si>
  <si>
    <t>edelmiravelezcorrea2@gmail.com</t>
  </si>
  <si>
    <t>136100196908</t>
  </si>
  <si>
    <t>B/La Cecilia Etapa 2 Mz 17 No. 19 -Armenia</t>
  </si>
  <si>
    <t>3233014168</t>
  </si>
  <si>
    <t>Maria Fernanda</t>
  </si>
  <si>
    <t>López Correa</t>
  </si>
  <si>
    <t>lopezcorreamariafernanda53@gmail.com</t>
  </si>
  <si>
    <t>7462029642</t>
  </si>
  <si>
    <t>Cr 20a #34-40 Barrio Miraflores</t>
  </si>
  <si>
    <t>3205485187</t>
  </si>
  <si>
    <t>Andrea</t>
  </si>
  <si>
    <t>Rodriguez Lopez</t>
  </si>
  <si>
    <t>andrea139704@gmail.com</t>
  </si>
  <si>
    <t>472970080033</t>
  </si>
  <si>
    <t>Cra 16 a # 30-64 BRR Armenia localidad Teusaquillo</t>
  </si>
  <si>
    <t>3118451199</t>
  </si>
  <si>
    <t>Bogota</t>
  </si>
  <si>
    <t>Diseño</t>
  </si>
  <si>
    <t>Diseño junior</t>
  </si>
  <si>
    <t>Marcela Andrea</t>
  </si>
  <si>
    <t>Santa</t>
  </si>
  <si>
    <t>marcela_santa@hotmail.com</t>
  </si>
  <si>
    <t>76100001318</t>
  </si>
  <si>
    <t>Calle 21 número 28-55 apto 102 barrio san jose</t>
  </si>
  <si>
    <t>3222317822</t>
  </si>
  <si>
    <t>Angelica María</t>
  </si>
  <si>
    <t>Rojas Cardona</t>
  </si>
  <si>
    <t>angierojas020413@gmail.com</t>
  </si>
  <si>
    <t>136400148039</t>
  </si>
  <si>
    <t>Veracruz Mz 7 No. 14 apto 301 - Calarcá</t>
  </si>
  <si>
    <t>3022775974</t>
  </si>
  <si>
    <t>Cristian Camilo</t>
  </si>
  <si>
    <t>Lopez zapata</t>
  </si>
  <si>
    <t>cristian23@gmail.com</t>
  </si>
  <si>
    <t>76100001305</t>
  </si>
  <si>
    <t>caserio aures caicedonia valle del cauca</t>
  </si>
  <si>
    <t>3117563473</t>
  </si>
  <si>
    <t>Hernan Dario</t>
  </si>
  <si>
    <t>Ortiz Restrepo</t>
  </si>
  <si>
    <t>hernandarios2@gmail.com</t>
  </si>
  <si>
    <t>76100001310</t>
  </si>
  <si>
    <t xml:space="preserve">finca el tesorito </t>
  </si>
  <si>
    <t>3215033171</t>
  </si>
  <si>
    <t>Restrepo</t>
  </si>
  <si>
    <t>luisfernandorestrepo623@gmail.com</t>
  </si>
  <si>
    <t>0550488436961178</t>
  </si>
  <si>
    <t>BRR LA ADIELA MZ 27 # 3</t>
  </si>
  <si>
    <t>3054259112</t>
  </si>
  <si>
    <t>Delia</t>
  </si>
  <si>
    <t>Montenegro Camilo</t>
  </si>
  <si>
    <t>3146021481</t>
  </si>
  <si>
    <t xml:space="preserve">   SALVADOR ALLENDE ALTO CASA 186</t>
  </si>
  <si>
    <t>Carlos Horacio</t>
  </si>
  <si>
    <t>Tapasco Aricapa</t>
  </si>
  <si>
    <t>carloshtapasco@gmail.com</t>
  </si>
  <si>
    <t>91242228532</t>
  </si>
  <si>
    <t>Municipio  Alcala vereda el cofre finca el paraiso</t>
  </si>
  <si>
    <t>3126988322</t>
  </si>
  <si>
    <t>Valle del cauca</t>
  </si>
  <si>
    <t>Esneider</t>
  </si>
  <si>
    <t>Rios  Garcia</t>
  </si>
  <si>
    <t>riosesneider972@gmail.com</t>
  </si>
  <si>
    <t>76100001308</t>
  </si>
  <si>
    <t>centro poblado quebrada nueva</t>
  </si>
  <si>
    <t>3136562928</t>
  </si>
  <si>
    <t>Olga Lucia</t>
  </si>
  <si>
    <t>olga3@gmail.com</t>
  </si>
  <si>
    <t>76100001320</t>
  </si>
  <si>
    <t>calle 3 # 5 - 35 quebrada nueva</t>
  </si>
  <si>
    <t>3137932556</t>
  </si>
  <si>
    <t>Oscar Andres</t>
  </si>
  <si>
    <t>Galeano Sanchez</t>
  </si>
  <si>
    <t>mariarincono1166@gmail.com</t>
  </si>
  <si>
    <t>76100001322</t>
  </si>
  <si>
    <t>carretera central casa #3, vía alambrado, Quebrada nueva</t>
  </si>
  <si>
    <t>3135950290</t>
  </si>
  <si>
    <t>Yuli Andrea</t>
  </si>
  <si>
    <t>Leguizamo Doncel</t>
  </si>
  <si>
    <t>101182@hotmail.com</t>
  </si>
  <si>
    <t>76156093447</t>
  </si>
  <si>
    <t xml:space="preserve">calle 6N2A-16 quebrada nueva valle </t>
  </si>
  <si>
    <t>3188986752</t>
  </si>
  <si>
    <t>Ingrid Yohana</t>
  </si>
  <si>
    <t>Gomez Jaramillo</t>
  </si>
  <si>
    <t>ingridyohana993@gmail.com</t>
  </si>
  <si>
    <t>0550488402047432</t>
  </si>
  <si>
    <t>Mz F casa 43 barrio las acacias</t>
  </si>
  <si>
    <t>3214495328</t>
  </si>
  <si>
    <t>Grey Valentin</t>
  </si>
  <si>
    <t>Osorio Serna</t>
  </si>
  <si>
    <t>grey329@hotmail.com</t>
  </si>
  <si>
    <t>488413347425</t>
  </si>
  <si>
    <t xml:space="preserve">   VILLA DE LAS AMERICAS MZ H CASA 1</t>
  </si>
  <si>
    <t>Cajero</t>
  </si>
  <si>
    <t>Lina Maria</t>
  </si>
  <si>
    <t>Quiroz Ortiz</t>
  </si>
  <si>
    <t>linisquiroz@hotmail.com</t>
  </si>
  <si>
    <t>136600201612</t>
  </si>
  <si>
    <t>Calle 31 No. 13  23 piso 2</t>
  </si>
  <si>
    <t>3178042398</t>
  </si>
  <si>
    <t>Asistente administrativa</t>
  </si>
  <si>
    <t>Aldinever</t>
  </si>
  <si>
    <t>Arias Morales</t>
  </si>
  <si>
    <t>alarmorales05@gmail.com</t>
  </si>
  <si>
    <t>488437671214</t>
  </si>
  <si>
    <t xml:space="preserve">Brr Lucerito Calle 12A 9 A 14 Barcelona </t>
  </si>
  <si>
    <t>3155453347</t>
  </si>
  <si>
    <t>Jose Guillermo</t>
  </si>
  <si>
    <t>Villada Morales</t>
  </si>
  <si>
    <t>villada23@gmail.com</t>
  </si>
  <si>
    <t xml:space="preserve"> Finca el Guayavito pueblo Tapao</t>
  </si>
  <si>
    <t>Pueblo Tapao</t>
  </si>
  <si>
    <t xml:space="preserve">Mano de Obra Directa </t>
  </si>
  <si>
    <t>Maria del Mar Gutierrez Gonzalez</t>
  </si>
  <si>
    <t>Lopez Garcia</t>
  </si>
  <si>
    <t>doralilialopez@gmail.com</t>
  </si>
  <si>
    <t>3104733551</t>
  </si>
  <si>
    <t xml:space="preserve">   MZ A CASA 8</t>
  </si>
  <si>
    <t>Coordinador de producción</t>
  </si>
  <si>
    <t>German</t>
  </si>
  <si>
    <t>Arias Arcos</t>
  </si>
  <si>
    <t>germanariasarcos@yahoo.es</t>
  </si>
  <si>
    <t>3007671956</t>
  </si>
  <si>
    <t xml:space="preserve">   MANZANA E CASA 16</t>
  </si>
  <si>
    <t>3144525998</t>
  </si>
  <si>
    <t>Manuela</t>
  </si>
  <si>
    <t>Hernández  Giraldo</t>
  </si>
  <si>
    <t>hernandezgiraldom@gmail.com</t>
  </si>
  <si>
    <t>0550488442012370</t>
  </si>
  <si>
    <t xml:space="preserve">Barrio villa carolina primera etapa manzana m casa 17 </t>
  </si>
  <si>
    <t>3137464431</t>
  </si>
  <si>
    <t>S</t>
  </si>
  <si>
    <t>Blanco Matajira</t>
  </si>
  <si>
    <t>angiexblanco@gmail.com</t>
  </si>
  <si>
    <t>136200171751</t>
  </si>
  <si>
    <t>Cll 50 #51-80 Torres de Orense - Armenia</t>
  </si>
  <si>
    <t>3115094996</t>
  </si>
  <si>
    <t>David Alexander</t>
  </si>
  <si>
    <t>Jimenez Uribe</t>
  </si>
  <si>
    <t>quiasma29@gmail.com</t>
  </si>
  <si>
    <t>488425118293</t>
  </si>
  <si>
    <t>Cll 33 #28-35 Santander</t>
  </si>
  <si>
    <t>3003303522</t>
  </si>
  <si>
    <t>PIBO Containers</t>
  </si>
  <si>
    <t>Mesas</t>
  </si>
  <si>
    <t>Cajero - Mesero</t>
  </si>
  <si>
    <t>Pibo</t>
  </si>
  <si>
    <t>Edison</t>
  </si>
  <si>
    <t>edison23@gmail.com</t>
  </si>
  <si>
    <t>76100001307</t>
  </si>
  <si>
    <t>Barrio Quebrada nueva valle zarzal</t>
  </si>
  <si>
    <t>3165496215</t>
  </si>
  <si>
    <t>Campo</t>
  </si>
  <si>
    <t>Marin Rosas</t>
  </si>
  <si>
    <t>marinfabio.500@gmail.com</t>
  </si>
  <si>
    <t>76100001309</t>
  </si>
  <si>
    <t xml:space="preserve"> Barrio Quebrada nueva valle zarzal </t>
  </si>
  <si>
    <t>3113678650</t>
  </si>
  <si>
    <t>Guadañero</t>
  </si>
  <si>
    <t>Lennin</t>
  </si>
  <si>
    <t>Barbosa Murillo</t>
  </si>
  <si>
    <t>barbosalennin@gmail.com</t>
  </si>
  <si>
    <t>76100001329</t>
  </si>
  <si>
    <t>3175700641</t>
  </si>
  <si>
    <t>Yonatan Estiben</t>
  </si>
  <si>
    <t>Trujillo palacio</t>
  </si>
  <si>
    <t>trujillojhonatan017@gmail.com</t>
  </si>
  <si>
    <t>488437611681</t>
  </si>
  <si>
    <t>vereda aures municipio caicedonia</t>
  </si>
  <si>
    <t>3205237676</t>
  </si>
  <si>
    <t>Paola Andrea</t>
  </si>
  <si>
    <t>Delacruz Avendaño</t>
  </si>
  <si>
    <t>pandre1998@hotmail.com</t>
  </si>
  <si>
    <t>488438672955</t>
  </si>
  <si>
    <t>Mz 14 casa 1 Puerto Espejo</t>
  </si>
  <si>
    <t>3152524499</t>
  </si>
  <si>
    <t>ADRES (regímenes especiales)</t>
  </si>
  <si>
    <t>Angel David</t>
  </si>
  <si>
    <t>Pineda Pirela</t>
  </si>
  <si>
    <t>angelpirela2701@gmail.com</t>
  </si>
  <si>
    <t>0550136100199217</t>
  </si>
  <si>
    <t>BRR RECREO MZ H CS 19B PISO 2</t>
  </si>
  <si>
    <t>3225830559</t>
  </si>
  <si>
    <t>Hector Favio</t>
  </si>
  <si>
    <t>Tabarez Bermudez</t>
  </si>
  <si>
    <t>fabiobermudez762@gmail.com</t>
  </si>
  <si>
    <t>3170259079</t>
  </si>
  <si>
    <t>Prospero Antonio</t>
  </si>
  <si>
    <t>Delacruz pascumal</t>
  </si>
  <si>
    <t>propero@gmail.com</t>
  </si>
  <si>
    <t>Finca tres rios cordoba quindio</t>
  </si>
  <si>
    <t>3125443452</t>
  </si>
  <si>
    <t>Oficios varios</t>
  </si>
  <si>
    <t>Jose Allender</t>
  </si>
  <si>
    <t>Acevedo Galindo</t>
  </si>
  <si>
    <t>joseallenderacevedo@hotmail.com</t>
  </si>
  <si>
    <t>488418660970</t>
  </si>
  <si>
    <t>Manzana 10 número 7</t>
  </si>
  <si>
    <t>David</t>
  </si>
  <si>
    <t>Hoyos Lopez</t>
  </si>
  <si>
    <t>davidhoyos33@gmail.com</t>
  </si>
  <si>
    <t>488438845064</t>
  </si>
  <si>
    <t>Cra 10 # 11 norte 05 Terra apartamentos Torre 3 apto 1101A</t>
  </si>
  <si>
    <t>3116365624</t>
  </si>
  <si>
    <t>Rafael Francisco</t>
  </si>
  <si>
    <t>Calderon Castiblanco</t>
  </si>
  <si>
    <t>pachocalde03@gmail.com</t>
  </si>
  <si>
    <t>Banco Caja Social BCSC</t>
  </si>
  <si>
    <t>24110259642</t>
  </si>
  <si>
    <t>cra 13 46 Norte 78</t>
  </si>
  <si>
    <t>3112939054</t>
  </si>
  <si>
    <t>Jesus Alberto</t>
  </si>
  <si>
    <t>Torres Torres</t>
  </si>
  <si>
    <t>1313jesustorres@gmail.com</t>
  </si>
  <si>
    <t>550136700048129</t>
  </si>
  <si>
    <t>3137159585</t>
  </si>
  <si>
    <t>Norberto</t>
  </si>
  <si>
    <t>Choconta Gomez</t>
  </si>
  <si>
    <t>choconta0401@gmail.com</t>
  </si>
  <si>
    <t>0550136700049564</t>
  </si>
  <si>
    <t>CLL 19 # 28-13 BRR SAN JOSE</t>
  </si>
  <si>
    <t>3102151678</t>
  </si>
  <si>
    <t xml:space="preserve">Katherin </t>
  </si>
  <si>
    <t>Alarcón Marínez</t>
  </si>
  <si>
    <t>Término fijo</t>
  </si>
  <si>
    <t>cluekath@gmail.com</t>
  </si>
  <si>
    <t>77800001884</t>
  </si>
  <si>
    <t>Veracruz mz 41 numero 17</t>
  </si>
  <si>
    <t>Integrador de Mundos</t>
  </si>
  <si>
    <t>mano de Obra Directa</t>
  </si>
  <si>
    <t xml:space="preserve">Luis Alfredo </t>
  </si>
  <si>
    <t>Peña Triana</t>
  </si>
  <si>
    <t>luispetri92@gmail.com</t>
  </si>
  <si>
    <t>3103252382</t>
  </si>
  <si>
    <t>Manzana 14 casa 6 Barrio Ciudad Libre</t>
  </si>
  <si>
    <t>Naranjo Montoya</t>
  </si>
  <si>
    <t>sanamo1512@hotmail.com</t>
  </si>
  <si>
    <t>3163767694</t>
  </si>
  <si>
    <t>Alto de la taza manzana B casa 14 circasia Quindio</t>
  </si>
  <si>
    <t>Eglis Yaneth</t>
  </si>
  <si>
    <t>Guerrero Zambrano</t>
  </si>
  <si>
    <t>yanethguerrero90@gmail.com</t>
  </si>
  <si>
    <t>138000071363</t>
  </si>
  <si>
    <t>Ciudad libre Manzana 9A casa 3</t>
  </si>
  <si>
    <t xml:space="preserve">Armenia </t>
  </si>
  <si>
    <t>El Solar AXM S.A.S.</t>
  </si>
  <si>
    <t>Beatriz Adriana</t>
  </si>
  <si>
    <t>bettyrodellogarcia@hotmail.com</t>
  </si>
  <si>
    <t xml:space="preserve">Carrera 17 #2 Norte- 30 Brr Nueva Cecilia </t>
  </si>
  <si>
    <t>3127218041</t>
  </si>
  <si>
    <t>Constanza Helena</t>
  </si>
  <si>
    <t>Sandoval Bolivar</t>
  </si>
  <si>
    <t>cosaandoval@hotmail.com</t>
  </si>
  <si>
    <t>570003870085176</t>
  </si>
  <si>
    <t>Calle 27 Norte #5-00 Torre 1 Apto 606</t>
  </si>
  <si>
    <t>3144738183</t>
  </si>
  <si>
    <t>joselondonolainez@gmail.com</t>
  </si>
  <si>
    <t>Calle 31 Norte #20-15 Torre 2 Apto 708</t>
  </si>
  <si>
    <t>3214737930</t>
  </si>
  <si>
    <t>Gloria Isabel</t>
  </si>
  <si>
    <t>groriaigarcia@hotmail.com</t>
  </si>
  <si>
    <t>136070645587</t>
  </si>
  <si>
    <t>Brr Recreo Mz L #9</t>
  </si>
  <si>
    <t>3113581080</t>
  </si>
  <si>
    <t>Jose Abdullaly</t>
  </si>
  <si>
    <t>Londoño Lainez</t>
  </si>
  <si>
    <t>joselondonlainez@gmail.com</t>
  </si>
  <si>
    <t>91215372931</t>
  </si>
  <si>
    <t>3127815463</t>
  </si>
  <si>
    <t>Juan Diego</t>
  </si>
  <si>
    <t>Atehortua Vargas</t>
  </si>
  <si>
    <t>mateo.8@hotmail.com</t>
  </si>
  <si>
    <t>488439845691</t>
  </si>
  <si>
    <t>Brr Recreo Mz G #26</t>
  </si>
  <si>
    <t>3148640895</t>
  </si>
  <si>
    <t>Maykel Alexander</t>
  </si>
  <si>
    <t>Griman Silva</t>
  </si>
  <si>
    <t>loreangelbetanco@gmail.com</t>
  </si>
  <si>
    <t>136200176347</t>
  </si>
  <si>
    <t>Barrio el recreo manzana I casa 21 apartamento 2</t>
  </si>
  <si>
    <t>3134326166</t>
  </si>
  <si>
    <t>Buitrago Ciro</t>
  </si>
  <si>
    <t>sandramilenabuitragociro4@gmail.com</t>
  </si>
  <si>
    <t>550488439521573</t>
  </si>
  <si>
    <t>Brr Villa De Las Americas Mz B # 12</t>
  </si>
  <si>
    <t>3174061711</t>
  </si>
  <si>
    <t xml:space="preserve">Walter </t>
  </si>
  <si>
    <t>Muriel Tavera</t>
  </si>
  <si>
    <t>soldadomuriel@hotmail.com</t>
  </si>
  <si>
    <t>BBVA Colombia</t>
  </si>
  <si>
    <t>0942099904</t>
  </si>
  <si>
    <t>Cra.8 bis #31B-70 apt 301 pereira risaralda</t>
  </si>
  <si>
    <t>Lederer Group S.A.S.</t>
  </si>
  <si>
    <t>Hernandez Forero</t>
  </si>
  <si>
    <t>lhernandezfr@gmail.com</t>
  </si>
  <si>
    <t>3136384791</t>
  </si>
  <si>
    <t>Manzana A casa 33 Urbanización Villa Carolina II</t>
  </si>
  <si>
    <t>Coordinadora de Eventos</t>
  </si>
  <si>
    <t xml:space="preserve">German de Jesus </t>
  </si>
  <si>
    <t xml:space="preserve">Castañeda Cardona </t>
  </si>
  <si>
    <t>Marloncas24@hotmail.com</t>
  </si>
  <si>
    <t xml:space="preserve">km 1.5 via al eden. Armenia </t>
  </si>
  <si>
    <t xml:space="preserve">Corporacion Vaqueros </t>
  </si>
  <si>
    <t>Auxiliar equino</t>
  </si>
  <si>
    <t>Corporación Vaqueros Quindio</t>
  </si>
  <si>
    <t>Camilo</t>
  </si>
  <si>
    <t xml:space="preserve">Alvarez Echeverri </t>
  </si>
  <si>
    <t>camilo.alvarez.e@gmail.com</t>
  </si>
  <si>
    <t>Pinares manzana 6 casa 4</t>
  </si>
  <si>
    <t>17885840345</t>
  </si>
  <si>
    <t>Carrera 10 No 11 Norte 40</t>
  </si>
  <si>
    <t>Legal</t>
  </si>
  <si>
    <t>Socio</t>
  </si>
  <si>
    <t>Gómez Valencia S.A.S.</t>
  </si>
  <si>
    <t>Gildardo de Jesus</t>
  </si>
  <si>
    <t>Municipio de la victoria corregimiento de holguin finca el sinu</t>
  </si>
  <si>
    <t>Jarbin</t>
  </si>
  <si>
    <t>Chichiliano Tegaiza</t>
  </si>
  <si>
    <t>jarbin23@gmail.com</t>
  </si>
  <si>
    <t>Municipio montenegro via san jose finca san pablo</t>
  </si>
  <si>
    <t>3154254481</t>
  </si>
  <si>
    <t>Finca San Pablo</t>
  </si>
  <si>
    <t>Yoneider</t>
  </si>
  <si>
    <t>Diaz Jaramillo</t>
  </si>
  <si>
    <t>yoneider1@gmail.com</t>
  </si>
  <si>
    <t>Finca la palma</t>
  </si>
  <si>
    <t>Finca La Palma</t>
  </si>
  <si>
    <t>Mersi Nelly</t>
  </si>
  <si>
    <t>Caicedo Diaz</t>
  </si>
  <si>
    <t>Nellynuqui2013@gmail.com</t>
  </si>
  <si>
    <t>3108920735</t>
  </si>
  <si>
    <t>Finca el Guayavito pueblo Tapao</t>
  </si>
  <si>
    <t>Finca el Guayabito</t>
  </si>
  <si>
    <t>Servicio Doméstico</t>
  </si>
  <si>
    <t>Hijos</t>
  </si>
  <si>
    <t>Natalia</t>
  </si>
  <si>
    <t>Echeverry Rengifo</t>
  </si>
  <si>
    <t>natalia180387@gmail.com</t>
  </si>
  <si>
    <t>72313241123</t>
  </si>
  <si>
    <t>Calle 19 Nº 19-60 Mandalay casa 101</t>
  </si>
  <si>
    <t>Comercial</t>
  </si>
  <si>
    <t>Asesora comercial</t>
  </si>
  <si>
    <t>Mano de obra directa</t>
  </si>
  <si>
    <t>Supertintas y Suministros  S.A.S.</t>
  </si>
  <si>
    <t>Rojas Zapata</t>
  </si>
  <si>
    <t>Aprendiz Sena Etapa Productiva</t>
  </si>
  <si>
    <t>mafecitarojas.2001@gmail.com</t>
  </si>
  <si>
    <t>3197501397</t>
  </si>
  <si>
    <t>Barrio centenario m A casa 20 segundo piso</t>
  </si>
  <si>
    <t>Aprendiz</t>
  </si>
  <si>
    <t>Mano de Obra Indirecta</t>
  </si>
  <si>
    <t>Valencia</t>
  </si>
  <si>
    <t>jhon23@gmail.com</t>
  </si>
  <si>
    <t>0550138000060614</t>
  </si>
  <si>
    <t xml:space="preserve">Barrio buenos aires plano mz casa 27 </t>
  </si>
  <si>
    <t>Keduin Alejandro</t>
  </si>
  <si>
    <t>Macias  Guaca</t>
  </si>
  <si>
    <t>km5381421@gmail.com</t>
  </si>
  <si>
    <t>0550136000948531</t>
  </si>
  <si>
    <t>Barrio Montevideo Mz 13 Cs 23 A</t>
  </si>
  <si>
    <t>3225842328 / 3009824835</t>
  </si>
  <si>
    <t>Kelly Vanessa</t>
  </si>
  <si>
    <t xml:space="preserve">Valencia Villa </t>
  </si>
  <si>
    <t>kelly-v2@outlook.com</t>
  </si>
  <si>
    <t>0550488442014087</t>
  </si>
  <si>
    <t xml:space="preserve">Cra15#8N-25 </t>
  </si>
  <si>
    <t>Lider talento humano</t>
  </si>
  <si>
    <t>Valeria</t>
  </si>
  <si>
    <t>Rincon Mateus</t>
  </si>
  <si>
    <t>vrincon822525@cue.edu.co</t>
  </si>
  <si>
    <t>91254975155</t>
  </si>
  <si>
    <t>conjunto Pasadena contry bloque 2 apto 303</t>
  </si>
  <si>
    <t>Asociada junior</t>
  </si>
  <si>
    <t>Carlos Alberto</t>
  </si>
  <si>
    <t>Perez Arango</t>
  </si>
  <si>
    <t xml:space="preserve"> carlosperez040785@gmail.com</t>
  </si>
  <si>
    <t>37461564969</t>
  </si>
  <si>
    <t xml:space="preserve">Circasia Quindío, calle 4 # 11-58 piso 2 </t>
  </si>
  <si>
    <t>Visitador</t>
  </si>
  <si>
    <t>Mano de Obra directa</t>
  </si>
  <si>
    <t>Luz Patricia</t>
  </si>
  <si>
    <t>Morales Tabarez</t>
  </si>
  <si>
    <t>luzmorales2@gmail.com</t>
  </si>
  <si>
    <t xml:space="preserve"> 3052131029</t>
  </si>
  <si>
    <t>Kilometro 2 via circasia reservas el bosque</t>
  </si>
  <si>
    <t>Andrés Felipe</t>
  </si>
  <si>
    <t>Marín Gómez</t>
  </si>
  <si>
    <t>andresnacional41@hotmail.com</t>
  </si>
  <si>
    <t>488436677592</t>
  </si>
  <si>
    <t>Barrio Simón Bolívar Mz 19 casa 16 Armenia</t>
  </si>
  <si>
    <t>Sede Principal</t>
  </si>
  <si>
    <t>Parra Quintero</t>
  </si>
  <si>
    <t>parraquinterodavid9@gmail.com</t>
  </si>
  <si>
    <t>13117664230</t>
  </si>
  <si>
    <t xml:space="preserve">Casa 11 segundo piso Manzana 8 El Prado </t>
  </si>
  <si>
    <t>Efrain</t>
  </si>
  <si>
    <t>Bedoya Giraldo</t>
  </si>
  <si>
    <t>efrain23@gmail.com</t>
  </si>
  <si>
    <t>Municipio zarzal finca Balkanes</t>
  </si>
  <si>
    <t>3188292304</t>
  </si>
  <si>
    <t>Ana Milena</t>
  </si>
  <si>
    <t>Caicedo Caicedo</t>
  </si>
  <si>
    <t>anamilenacaicedocontadora@gmail.com</t>
  </si>
  <si>
    <t>91246496132</t>
  </si>
  <si>
    <t>Cra 26 # 34 -02, Calarcá</t>
  </si>
  <si>
    <t>Padres</t>
  </si>
  <si>
    <t>Orduwey</t>
  </si>
  <si>
    <t>Sanchéz Martínez</t>
  </si>
  <si>
    <t>orduweysanchezmartinez@gmail.com</t>
  </si>
  <si>
    <t>0550488413690048</t>
  </si>
  <si>
    <t>Barrio Santander calle 35 -carra 27 - 02</t>
  </si>
  <si>
    <t xml:space="preserve">Daniela </t>
  </si>
  <si>
    <t>Angarita Galindo</t>
  </si>
  <si>
    <t>dani.081997@hotmail.com</t>
  </si>
  <si>
    <t>0642244388</t>
  </si>
  <si>
    <t>Villa Alejandra 2 etapa mz 11 numero 1</t>
  </si>
  <si>
    <t>Henry Fernando</t>
  </si>
  <si>
    <t>Echavarria Betancurt</t>
  </si>
  <si>
    <t>echavarriah171@gmail.com</t>
  </si>
  <si>
    <t>0550488411847335</t>
  </si>
  <si>
    <t>Brr Congal 2 Mz D #10-24 - Barcelona</t>
  </si>
  <si>
    <t>Jefferson Alexander</t>
  </si>
  <si>
    <t>Arce Quiceno</t>
  </si>
  <si>
    <t>arcequiceno@hotmail.com</t>
  </si>
  <si>
    <t>0550136000949638</t>
  </si>
  <si>
    <t>Brr Cañas Gordas Mz 3 #18 - Armenia</t>
  </si>
  <si>
    <t>Viaje</t>
  </si>
  <si>
    <t>Jose Daniel</t>
  </si>
  <si>
    <t>Cortes Jaramillo</t>
  </si>
  <si>
    <t>finca la Elvira Alcalá valle</t>
  </si>
  <si>
    <t>3226918232</t>
  </si>
  <si>
    <t>Mayordomo</t>
  </si>
  <si>
    <t>Joana Andrea</t>
  </si>
  <si>
    <t>Restrepo Fernández</t>
  </si>
  <si>
    <t>jhoanarestrepo331@gmail.com</t>
  </si>
  <si>
    <t xml:space="preserve">06955522131 </t>
  </si>
  <si>
    <t xml:space="preserve">Barrio Cristales Mz P casa 3 La Tebaida. </t>
  </si>
  <si>
    <t>Julián Andrés</t>
  </si>
  <si>
    <t>Rojas Ruiz</t>
  </si>
  <si>
    <t>julianro1290@gmail.com</t>
  </si>
  <si>
    <t>CORREGIMIENTO DE VALLEJUELO FINCA  BALKANES ZARZAL</t>
  </si>
  <si>
    <t>317 8594659</t>
  </si>
  <si>
    <t>Vale del cauca</t>
  </si>
  <si>
    <t>Rojas Tovar</t>
  </si>
  <si>
    <t>miguevale.1972@hotmail.com</t>
  </si>
  <si>
    <t>Cra 33 No. 31A 6 - 4 Cali</t>
  </si>
  <si>
    <t>Cali</t>
  </si>
  <si>
    <t>Vendedora/ Transferencista</t>
  </si>
  <si>
    <t>Colfondos</t>
  </si>
  <si>
    <t>Valentina Roa</t>
  </si>
  <si>
    <t>Drida María</t>
  </si>
  <si>
    <t>Mena</t>
  </si>
  <si>
    <t>linamena1983@hotmail.com</t>
  </si>
  <si>
    <t>71600002120</t>
  </si>
  <si>
    <t>Calle 27 #25 -90 barrio Aguablanca Cali - Valle del Cauca</t>
  </si>
  <si>
    <t>Periodo de prueba</t>
  </si>
  <si>
    <t>Janer Giovanny</t>
  </si>
  <si>
    <t>Castro Fuigueroa</t>
  </si>
  <si>
    <t>janner.cdlm@gmail.com</t>
  </si>
  <si>
    <t>488440642137</t>
  </si>
  <si>
    <t>Altos de la pavona MZ B Casa 5</t>
  </si>
  <si>
    <t>Martha Isabel</t>
  </si>
  <si>
    <t>Ortegon Martinez</t>
  </si>
  <si>
    <t>jabeto007@gmail.com</t>
  </si>
  <si>
    <t>488440589791</t>
  </si>
  <si>
    <t>Carrera 24a No 13-26 BRR Corbones</t>
  </si>
  <si>
    <t>Armenia ventas</t>
  </si>
  <si>
    <t xml:space="preserve">Cruz Gonzalez </t>
  </si>
  <si>
    <t>juancarloscruzgonzalez476@gmail.com</t>
  </si>
  <si>
    <t>06938050773</t>
  </si>
  <si>
    <t>Urbanización los cristales bloque c apto 304</t>
  </si>
  <si>
    <t>Anderson Leandro</t>
  </si>
  <si>
    <t>Betancourt Delagado</t>
  </si>
  <si>
    <t>anderbetancourt.2123@gmail.com</t>
  </si>
  <si>
    <t>Carrera 8 # 10 - 30 Centro - Lerida</t>
  </si>
  <si>
    <t>Lerida</t>
  </si>
  <si>
    <t>Promotor</t>
  </si>
  <si>
    <t>Bertha Alejandra</t>
  </si>
  <si>
    <t>Pardo Rueda</t>
  </si>
  <si>
    <t>alejandra.pardo1190@gmail.com</t>
  </si>
  <si>
    <t>03366250076</t>
  </si>
  <si>
    <t>Carrera 65 # 175 - 55 San José de Bavaría Casa 4</t>
  </si>
  <si>
    <t>Ejecutiva Comercial</t>
  </si>
  <si>
    <t>Brayan Estid</t>
  </si>
  <si>
    <t>Rojas Calderon</t>
  </si>
  <si>
    <t>estidrojas@gmail.com</t>
  </si>
  <si>
    <t>Mz3-Cs19 B/Inurbe</t>
  </si>
  <si>
    <t>Volanteador</t>
  </si>
  <si>
    <t>Camila Andrea</t>
  </si>
  <si>
    <t>Paez Rojas</t>
  </si>
  <si>
    <t>camilapaezr@gmail.com</t>
  </si>
  <si>
    <t>manzana j casa 1 b/ paraíso</t>
  </si>
  <si>
    <t>Saldañal Espinal</t>
  </si>
  <si>
    <t>Dayana Kathalina</t>
  </si>
  <si>
    <t>Bocanegra Zabala</t>
  </si>
  <si>
    <t>kathabocan407@gmail.com</t>
  </si>
  <si>
    <t>Mz i casa 4 villa de las palmas, purificación Tolima.</t>
  </si>
  <si>
    <t>Diana Maria</t>
  </si>
  <si>
    <t>Vanegas Torrente</t>
  </si>
  <si>
    <t>nana_maria123@hotmail.com</t>
  </si>
  <si>
    <t>Calle 49 #23-11 Venecia</t>
  </si>
  <si>
    <t>Neiva</t>
  </si>
  <si>
    <t>Erik Dallan</t>
  </si>
  <si>
    <t>Gonzalez Ceballos</t>
  </si>
  <si>
    <t>gonzalezg34@gmail.com</t>
  </si>
  <si>
    <t>Coruña verdes Nieva (viaja)</t>
  </si>
  <si>
    <t>Campoalegre</t>
  </si>
  <si>
    <t>Medimás</t>
  </si>
  <si>
    <t>Johan Sebastian</t>
  </si>
  <si>
    <t>Jaramillo Cobete</t>
  </si>
  <si>
    <t>sebastiancobete716@gmail.com</t>
  </si>
  <si>
    <t>Manzana 2 casa 10 barrio adrofasa leridad tolima</t>
  </si>
  <si>
    <t>Jose Norbey</t>
  </si>
  <si>
    <t>Urrego Gutierrez</t>
  </si>
  <si>
    <t>norbeyurrego0@gmail.com</t>
  </si>
  <si>
    <t>dirección: cra25a sur #12-12</t>
  </si>
  <si>
    <t>Juan Camilo</t>
  </si>
  <si>
    <t>Gonzalez Guzman</t>
  </si>
  <si>
    <t>Nordeiguz@hotmail.com</t>
  </si>
  <si>
    <t>Calle 22 A#18-76 barrio Mirador</t>
  </si>
  <si>
    <t xml:space="preserve">Juan David </t>
  </si>
  <si>
    <t>García Durán</t>
  </si>
  <si>
    <t>juanda15garcia@hotmail.com</t>
  </si>
  <si>
    <t>manzana 17 Casa 18 b/balknes</t>
  </si>
  <si>
    <t xml:space="preserve">Juan Diego </t>
  </si>
  <si>
    <t>Zuluaga Rodriguez</t>
  </si>
  <si>
    <t>zuluagaj391@gmail.com</t>
  </si>
  <si>
    <t>Calle 14#39-83</t>
  </si>
  <si>
    <t>Kerly Alejandra</t>
  </si>
  <si>
    <t>Viuche Cordoba</t>
  </si>
  <si>
    <t>kerlyalejandracordoba@gmail.com</t>
  </si>
  <si>
    <t>Dirección calle 25/ 12/ 72</t>
  </si>
  <si>
    <t xml:space="preserve">Luna del Mar </t>
  </si>
  <si>
    <t>Avilez Guevera</t>
  </si>
  <si>
    <t>lunadelmaravilesguevara@gmail.com</t>
  </si>
  <si>
    <t>Calle 44#15-03</t>
  </si>
  <si>
    <t>Manuel Sebastian</t>
  </si>
  <si>
    <t>Bejarano Bernal</t>
  </si>
  <si>
    <t>bejarano.s.m@hotmail.com</t>
  </si>
  <si>
    <t>Carrera 4 # 9 - 56 centro - Lerida</t>
  </si>
  <si>
    <t>Nicols Steven</t>
  </si>
  <si>
    <t>Alvarez Cardenas</t>
  </si>
  <si>
    <t>cardenads17@gmail.com</t>
  </si>
  <si>
    <t>Calle49#19-77 apto 202</t>
  </si>
  <si>
    <t>Asociación Indigena del Cauca - AIC</t>
  </si>
  <si>
    <t xml:space="preserve">Yancarlos </t>
  </si>
  <si>
    <t>Suaza Vanegas</t>
  </si>
  <si>
    <t>yancarlossuaza2@gmail.com</t>
  </si>
  <si>
    <t>Cll 23A#14-88 sincelejo.</t>
  </si>
  <si>
    <t>Robinson</t>
  </si>
  <si>
    <t>Sánchez Manyoma</t>
  </si>
  <si>
    <t xml:space="preserve">robinso0201@gmail.com </t>
  </si>
  <si>
    <t>Banco de Bogotá</t>
  </si>
  <si>
    <t>454122995</t>
  </si>
  <si>
    <t>calle 4b Nº8-33 pasaje Jiménez</t>
  </si>
  <si>
    <t>Ingry Yulieth</t>
  </si>
  <si>
    <t>isuazavanegas@gmail.com</t>
  </si>
  <si>
    <t>13187418746</t>
  </si>
  <si>
    <t>Armando Enrique</t>
  </si>
  <si>
    <t>Andrade Medellin</t>
  </si>
  <si>
    <t>armandoandrademe@gmail.com</t>
  </si>
  <si>
    <t>39786895247</t>
  </si>
  <si>
    <t>km 1.5 via al eden. Armenia</t>
  </si>
  <si>
    <t>Diana Magaly</t>
  </si>
  <si>
    <t>Sarmiento Espejo</t>
  </si>
  <si>
    <t xml:space="preserve">dimasa4025@outlook.com </t>
  </si>
  <si>
    <t>0550166300004743</t>
  </si>
  <si>
    <t>Barrio 14 Octubre Mz D # 50-24</t>
  </si>
  <si>
    <t>Erika Johana</t>
  </si>
  <si>
    <t>Piña Beltrán</t>
  </si>
  <si>
    <t>Pinabeltranerikajohana@gmail.com</t>
  </si>
  <si>
    <t>488438628163</t>
  </si>
  <si>
    <t>urb consota Torre 2A apto 303 armenia.</t>
  </si>
  <si>
    <t>Nicolas Alejandro</t>
  </si>
  <si>
    <t>Prado Orozco</t>
  </si>
  <si>
    <t>Alejoprado_23@hotmail.com</t>
  </si>
  <si>
    <t>3213904377</t>
  </si>
  <si>
    <t>Calle 6 b # 19-20</t>
  </si>
  <si>
    <t>Trejos Cano</t>
  </si>
  <si>
    <t xml:space="preserve">Trejos.92@hotmail.com </t>
  </si>
  <si>
    <t>488421595098</t>
  </si>
  <si>
    <t>BARRIO VENECIA MZ C CASA #9</t>
  </si>
  <si>
    <t>Javison</t>
  </si>
  <si>
    <t>Avalo Ceballos</t>
  </si>
  <si>
    <t>138000077014</t>
  </si>
  <si>
    <t>Finca Hotel Portal de las Gemelas Vía Pueblo Tapao - Quindío</t>
  </si>
  <si>
    <t>321 892 1013</t>
  </si>
  <si>
    <t>Natali</t>
  </si>
  <si>
    <t>Gallego Marín</t>
  </si>
  <si>
    <t>nataligallego57@gmail.com</t>
  </si>
  <si>
    <t>0550488440912837</t>
  </si>
  <si>
    <t>Barrio Quindío Calle 30 # 27 - 25</t>
  </si>
  <si>
    <t>Jesus Arley</t>
  </si>
  <si>
    <t>Cardenas Bolivar</t>
  </si>
  <si>
    <t>jesuskardenas6@gmail.com</t>
  </si>
  <si>
    <t>488412660125</t>
  </si>
  <si>
    <t>Barrio Mirador de Circasia Manzana F Casa 75</t>
  </si>
  <si>
    <t>Sarai Priscila</t>
  </si>
  <si>
    <t>Florez Fuentes</t>
  </si>
  <si>
    <t>florzsarai3@gmail.com</t>
  </si>
  <si>
    <t>3135079748</t>
  </si>
  <si>
    <t>Calle 32 #28- 35 barrio Santa Elena</t>
  </si>
  <si>
    <t>JAMES WINTER</t>
  </si>
  <si>
    <t>AGUDELO HOYOS</t>
  </si>
  <si>
    <t>heydaygroupcpa@gmail.com</t>
  </si>
  <si>
    <t>B/ Gabriel Lopez mz C cs # 54</t>
  </si>
  <si>
    <t>3137473526</t>
  </si>
  <si>
    <t>Israel</t>
  </si>
  <si>
    <t>Castro Gonzalez</t>
  </si>
  <si>
    <t>Finca la Maquita Municipio de Caicedonia valle</t>
  </si>
  <si>
    <t>3111111111</t>
  </si>
  <si>
    <t>Trabajador de Campo</t>
  </si>
  <si>
    <t>Estiven</t>
  </si>
  <si>
    <t>Quintero Bernal</t>
  </si>
  <si>
    <t>Finca la Palma</t>
  </si>
  <si>
    <t>Esteban</t>
  </si>
  <si>
    <t>Rey Solorzano</t>
  </si>
  <si>
    <t>reysolorzanoesteban@gmail.com</t>
  </si>
  <si>
    <t>77200001795</t>
  </si>
  <si>
    <t>Vereda Travesias Finca la Cascada</t>
  </si>
  <si>
    <t>3137771441</t>
  </si>
  <si>
    <t>German Dario</t>
  </si>
  <si>
    <t>Chavarria Carvajal</t>
  </si>
  <si>
    <t>velezjuanhernesto@gmail.com</t>
  </si>
  <si>
    <t>77257510771</t>
  </si>
  <si>
    <t>3205831488</t>
  </si>
  <si>
    <t>Yenny Yuliana</t>
  </si>
  <si>
    <t>Cardenas Guerrero</t>
  </si>
  <si>
    <t>rodrigoamayaperez65@gmail.com</t>
  </si>
  <si>
    <t>77257505629</t>
  </si>
  <si>
    <t>3145912020</t>
  </si>
  <si>
    <t xml:space="preserve">Germán Dario </t>
  </si>
  <si>
    <t>Chavarría Carvajal</t>
  </si>
  <si>
    <t>Vereda Travesías Finca la Cascada</t>
  </si>
  <si>
    <t>Moempa Servicios S.A.S</t>
  </si>
  <si>
    <t>Maria Belen</t>
  </si>
  <si>
    <t>Meza Sepulveda</t>
  </si>
  <si>
    <t>cmario.cmum@gmail.com</t>
  </si>
  <si>
    <t>3024049551</t>
  </si>
  <si>
    <t>Barrio La Coquers Cll 1 # 06-50 Montería-Colombia</t>
  </si>
  <si>
    <t>Monteria</t>
  </si>
  <si>
    <t>Merca Impulsadora</t>
  </si>
  <si>
    <t>Angela Victoria</t>
  </si>
  <si>
    <t>Martinez Gutierrez</t>
  </si>
  <si>
    <t>Vickymartinez5253@gmail.com</t>
  </si>
  <si>
    <t>3013214499</t>
  </si>
  <si>
    <t>Villa diana Manzana K #11</t>
  </si>
  <si>
    <t>si</t>
  </si>
  <si>
    <t>Tania Liseth</t>
  </si>
  <si>
    <t>Sierra</t>
  </si>
  <si>
    <t>taniasierra1994@hotmail.com</t>
  </si>
  <si>
    <t>0550488413264745</t>
  </si>
  <si>
    <t>Calle 40 #54-90</t>
  </si>
  <si>
    <t xml:space="preserve">Merca Impulsadora Transferencista </t>
  </si>
  <si>
    <t>Carolina</t>
  </si>
  <si>
    <t>Llanos Baena</t>
  </si>
  <si>
    <t>juankgll@hotmail.com</t>
  </si>
  <si>
    <t>25324740484</t>
  </si>
  <si>
    <t>Calle 52 # 29 - 48</t>
  </si>
  <si>
    <t>Medellín</t>
  </si>
  <si>
    <t xml:space="preserve">Biviana Andrea </t>
  </si>
  <si>
    <t>Quintero Muñoz</t>
  </si>
  <si>
    <t>viandrea333.vq@gmail.com</t>
  </si>
  <si>
    <t>13127941687</t>
  </si>
  <si>
    <t>carrera 20 #32_29A Barrio las delicias</t>
  </si>
  <si>
    <t>Manizales</t>
  </si>
  <si>
    <t xml:space="preserve">Martha Lucia </t>
  </si>
  <si>
    <t>Hernandez Alzate</t>
  </si>
  <si>
    <t>mal.ue@hotmail.com</t>
  </si>
  <si>
    <t>03052947776</t>
  </si>
  <si>
    <t>MG casa 2 portal del edén alto Armenia</t>
  </si>
  <si>
    <t>Jose Ferney</t>
  </si>
  <si>
    <t>Sanchez Jiménez</t>
  </si>
  <si>
    <t>3103541831</t>
  </si>
  <si>
    <t xml:space="preserve">Maria Catalina </t>
  </si>
  <si>
    <t xml:space="preserve">Gallego Gonzalez </t>
  </si>
  <si>
    <t>katalinagallego596@gmail.com</t>
  </si>
  <si>
    <t>0550488441351613</t>
  </si>
  <si>
    <t>Manzana I Casa 2 Calle Villa Jerusalem</t>
  </si>
  <si>
    <t>Daniel Andrés</t>
  </si>
  <si>
    <t>Muñoz Narajo</t>
  </si>
  <si>
    <t>Danielandresmunoz64@gmail.com</t>
  </si>
  <si>
    <t>314802591</t>
  </si>
  <si>
    <t>Carrera 27A #21a-59  Barrio San José</t>
  </si>
  <si>
    <t>Ana Rubelia</t>
  </si>
  <si>
    <t>Giraldo Duque</t>
  </si>
  <si>
    <t>Tiempo parcial</t>
  </si>
  <si>
    <t>anarubeliagiraldoduque@gmail.com</t>
  </si>
  <si>
    <t>Carrera 20B # 25-30 Berlin</t>
  </si>
  <si>
    <t>3136752990</t>
  </si>
  <si>
    <t>Maria Eugenia</t>
  </si>
  <si>
    <t>Carmona Álvarez</t>
  </si>
  <si>
    <t>carmona-osorio13@hotmail.com</t>
  </si>
  <si>
    <t>0550488447525794</t>
  </si>
  <si>
    <t>Barrio la Fachada Mz 2 casa 4</t>
  </si>
  <si>
    <t>Edward Adolfo</t>
  </si>
  <si>
    <t>Tunubala Pechene</t>
  </si>
  <si>
    <t>muelasnilsa@gmail.com</t>
  </si>
  <si>
    <t>0550136000953143</t>
  </si>
  <si>
    <t>Crr 11 #9-09 Barrio Centro-Barcelona</t>
  </si>
  <si>
    <t>3128279671</t>
  </si>
  <si>
    <t xml:space="preserve">Luisa Fernanda </t>
  </si>
  <si>
    <t>Poveda Saza</t>
  </si>
  <si>
    <t>luiipoveda08@gmail.com</t>
  </si>
  <si>
    <t>0550488441543128</t>
  </si>
  <si>
    <t>Calle 19 # 27-63</t>
  </si>
  <si>
    <t>Montoya Duran</t>
  </si>
  <si>
    <t>luisfernandosud12@gmail.com</t>
  </si>
  <si>
    <t>0550488441580492</t>
  </si>
  <si>
    <t>Bario La montana mz d casa 2</t>
  </si>
  <si>
    <t>Luz Elena</t>
  </si>
  <si>
    <t>Ruge Quintero</t>
  </si>
  <si>
    <t>yhonospina@hotmail.com</t>
  </si>
  <si>
    <t>0550136000953283</t>
  </si>
  <si>
    <t>Barrio recreo mz G # 23</t>
  </si>
  <si>
    <t>Yuliana</t>
  </si>
  <si>
    <t>Reyes Sarria</t>
  </si>
  <si>
    <t>reyessarriayuliana@gmail.com</t>
  </si>
  <si>
    <t>03203411811</t>
  </si>
  <si>
    <t>El Cantarito Manzana E1 Casa 4</t>
  </si>
  <si>
    <t>3203411811</t>
  </si>
  <si>
    <t>Caja</t>
  </si>
  <si>
    <t>García Henao</t>
  </si>
  <si>
    <t>0550136000954190</t>
  </si>
  <si>
    <t>barrio el recreo manzana L casa 9, primer piso</t>
  </si>
  <si>
    <t>Descargador</t>
  </si>
  <si>
    <t xml:space="preserve">Elizabeth </t>
  </si>
  <si>
    <t>Arboleda Osorio</t>
  </si>
  <si>
    <t>Earboledaosorio@gmail.com</t>
  </si>
  <si>
    <t>0550136000953531</t>
  </si>
  <si>
    <t>Av 19 #11N-93 unidad proviteq 5 bloque 1 apto 4B</t>
  </si>
  <si>
    <t>armenia</t>
  </si>
  <si>
    <t>Fernando</t>
  </si>
  <si>
    <t>Moreno Reyes</t>
  </si>
  <si>
    <t>0550136000954588</t>
  </si>
  <si>
    <t>Cll 19#22-16</t>
  </si>
  <si>
    <t>Isabel Eugenia</t>
  </si>
  <si>
    <t>488441607253</t>
  </si>
  <si>
    <t>Carrera 17#2 norte -30 nueva Cecilia</t>
  </si>
  <si>
    <t>Johon Jairo</t>
  </si>
  <si>
    <t>Benjumea</t>
  </si>
  <si>
    <t>0550488481894802</t>
  </si>
  <si>
    <t>Mz 19 casa 25 barrio Simón Bolívar</t>
  </si>
  <si>
    <t>3188680619</t>
  </si>
  <si>
    <t xml:space="preserve">Luz Elida </t>
  </si>
  <si>
    <t>Velasquez Piñeros</t>
  </si>
  <si>
    <t>488441762603</t>
  </si>
  <si>
    <t>BR Quinta de Los Andes MZ 1 5B</t>
  </si>
  <si>
    <t>García Serna</t>
  </si>
  <si>
    <t>0550136200178582</t>
  </si>
  <si>
    <t xml:space="preserve">Cra 25 #19-26 </t>
  </si>
  <si>
    <t xml:space="preserve">Yenny Marcela </t>
  </si>
  <si>
    <t>Gómez Velásquez</t>
  </si>
  <si>
    <t>488441762892</t>
  </si>
  <si>
    <t>322 6770395</t>
  </si>
  <si>
    <t>Acevedo Murillo</t>
  </si>
  <si>
    <t>alejandraam17101995@gmail.com</t>
  </si>
  <si>
    <t>Brr Puerto Espejo Mz 28 casa 2 - Armenia</t>
  </si>
  <si>
    <t>Wilder Alejandro</t>
  </si>
  <si>
    <t>Posada Grajales</t>
  </si>
  <si>
    <t>posadawilder8@gmail.com</t>
  </si>
  <si>
    <t>Finca Rio Bamba</t>
  </si>
  <si>
    <t>3116059845</t>
  </si>
  <si>
    <t>Michael Steven</t>
  </si>
  <si>
    <t>Cáceres Bucurú</t>
  </si>
  <si>
    <t>mstevencaceres@gmail.com</t>
  </si>
  <si>
    <t>0550488437695627</t>
  </si>
  <si>
    <t>Puerto Espejo Ed Chilacoa Torre 11 Apt 303</t>
  </si>
  <si>
    <t>3106931462</t>
  </si>
  <si>
    <t xml:space="preserve">Claudia </t>
  </si>
  <si>
    <t>Hernandez Quintana</t>
  </si>
  <si>
    <t xml:space="preserve">No aplica </t>
  </si>
  <si>
    <t>Mazana I casa 1  La isabela Caicedonia</t>
  </si>
  <si>
    <t>José Luis</t>
  </si>
  <si>
    <t>Puerta Serna</t>
  </si>
  <si>
    <t>3126073453</t>
  </si>
  <si>
    <t>Héctor Augusto</t>
  </si>
  <si>
    <t>Jaramillo Osorio</t>
  </si>
  <si>
    <t>servimaquinasjaramilloycarvajal@hotmail.com</t>
  </si>
  <si>
    <t>3202116546</t>
  </si>
  <si>
    <t>El carmelo</t>
  </si>
  <si>
    <t>Tractorista</t>
  </si>
  <si>
    <t>Rafael Gabriel</t>
  </si>
  <si>
    <t>Arenas Gallego</t>
  </si>
  <si>
    <t>3170381910</t>
  </si>
  <si>
    <t>Victor Alberto</t>
  </si>
  <si>
    <t>Toledo Estrella</t>
  </si>
  <si>
    <t>vialtoes75@hotmail.com</t>
  </si>
  <si>
    <t>Carrera 9 Número 51 - 255 Conjunto Residencial Entre Lomas Torre 26 Apto 201</t>
  </si>
  <si>
    <t xml:space="preserve">Suarez Sanchez </t>
  </si>
  <si>
    <t>Mensual- medio tiempo</t>
  </si>
  <si>
    <t>luisafersuasa@gmail.com</t>
  </si>
  <si>
    <t>Barrio el placer Mz k #232</t>
  </si>
  <si>
    <t xml:space="preserve">Auxiliar Administrativa y Contable </t>
  </si>
  <si>
    <t>Finalización del término</t>
  </si>
  <si>
    <t>Avila Rodríguez</t>
  </si>
  <si>
    <t>rodriguezkrloss@gmail.com</t>
  </si>
  <si>
    <t>Urbanización guaduales del Eden, torre 1, apartamento 302, Armenia Quindío</t>
  </si>
  <si>
    <t xml:space="preserve">Maria Alicia </t>
  </si>
  <si>
    <t>López Rivera</t>
  </si>
  <si>
    <t>alice.roxette@gmail.com</t>
  </si>
  <si>
    <t>Cra 21 # 63-32 B/ ARTURO LOPEZ</t>
  </si>
  <si>
    <t>no</t>
  </si>
  <si>
    <t>Amparo</t>
  </si>
  <si>
    <t>Hoyos Agudelo</t>
  </si>
  <si>
    <t>amparohoyosagudelo@gmail.com</t>
  </si>
  <si>
    <t>CL 47 # 72A - 29</t>
  </si>
  <si>
    <t>Cely Rivera</t>
  </si>
  <si>
    <t>jcrivera646@gmail.com</t>
  </si>
  <si>
    <t>Ciudadela del Café Torre 4B Apto 305</t>
  </si>
  <si>
    <t>Dayanna</t>
  </si>
  <si>
    <t>Granada Gomez</t>
  </si>
  <si>
    <t>dayanna.gomez19@icloud.com</t>
  </si>
  <si>
    <t>3166500734</t>
  </si>
  <si>
    <t xml:space="preserve">Carrera 44 # 50 - 86 Apto 101 Torre 3 Camino del Puerto </t>
  </si>
  <si>
    <t>3127231322</t>
  </si>
  <si>
    <t>La Cava Terraza</t>
  </si>
  <si>
    <t>La Terreza de la Cava S.A.S.</t>
  </si>
  <si>
    <t>Milton Eduardo</t>
  </si>
  <si>
    <t>Baracaldo Betancourt</t>
  </si>
  <si>
    <t>miltonbaracaldo@gmail.com</t>
  </si>
  <si>
    <t>16732393092</t>
  </si>
  <si>
    <t>Nisa Bulevar Bloque 1 Apto 504</t>
  </si>
  <si>
    <t>3154352476</t>
  </si>
  <si>
    <t>Servicio</t>
  </si>
  <si>
    <t>Bartender</t>
  </si>
  <si>
    <t>Carlos Andres</t>
  </si>
  <si>
    <t>Agudelo Arenas</t>
  </si>
  <si>
    <t>carlosandres_827@hotmail.com</t>
  </si>
  <si>
    <t>33419304463</t>
  </si>
  <si>
    <t>Barrio Monteblanco 3 etapa Mz D casa 6</t>
  </si>
  <si>
    <t>3225190323</t>
  </si>
  <si>
    <t>Cocina</t>
  </si>
  <si>
    <t>Chef</t>
  </si>
  <si>
    <t>Ana Sofía</t>
  </si>
  <si>
    <t>Mosquera Camilo</t>
  </si>
  <si>
    <t>mosquera.sofi2004@gmail.com</t>
  </si>
  <si>
    <t>Salvador Allende alto #502</t>
  </si>
  <si>
    <t xml:space="preserve">Mano de obra directa </t>
  </si>
  <si>
    <t>Amanda Patricia</t>
  </si>
  <si>
    <t>Coneo Pereira</t>
  </si>
  <si>
    <t>amanda_787patricia@hotmail.com</t>
  </si>
  <si>
    <t>Diag 25 # 2B-29 Barrio Santa Lucía Montería (Córdoba)</t>
  </si>
  <si>
    <t>Vendedora Transferencista Senior Zona Atlantica</t>
  </si>
  <si>
    <t>Mutual Ser</t>
  </si>
  <si>
    <t>Valentina</t>
  </si>
  <si>
    <t>Alonso Sanchez</t>
  </si>
  <si>
    <t>valentinaasanchez271@gmail.com</t>
  </si>
  <si>
    <t>3226703979</t>
  </si>
  <si>
    <t xml:space="preserve">via al caimo verede marmato los coches </t>
  </si>
  <si>
    <t>Sebastian</t>
  </si>
  <si>
    <t>Salazar Mesa</t>
  </si>
  <si>
    <t>sebitas.salazarm@gmail.com</t>
  </si>
  <si>
    <t>03217190851</t>
  </si>
  <si>
    <t>Barrio Modelo Mz E casa 20 Armenia</t>
  </si>
  <si>
    <t>3217190851</t>
  </si>
  <si>
    <t>Granados Velasco</t>
  </si>
  <si>
    <t>mariaalejandragranados1997@gmail.com</t>
  </si>
  <si>
    <t>Puerto Espejo Bloques de Consota Bloque B - Apto 405</t>
  </si>
  <si>
    <t>Jennifer Lorena</t>
  </si>
  <si>
    <t xml:space="preserve">García Hurtado </t>
  </si>
  <si>
    <t>lorenagarcia2804@hotmail.com</t>
  </si>
  <si>
    <t>Villa Carolina 1 etapa mza ñ casa 16</t>
  </si>
  <si>
    <t xml:space="preserve">Jhon Alexander </t>
  </si>
  <si>
    <t>Infante Infante</t>
  </si>
  <si>
    <t>Permiso por protección  temporal</t>
  </si>
  <si>
    <t>Jhoninfante22@gmail.com</t>
  </si>
  <si>
    <t>Recreo mz i # 21 apto 4</t>
  </si>
  <si>
    <t>Gestor Comercial / Auxiliar de Bodega</t>
  </si>
  <si>
    <t>Juan Pablo</t>
  </si>
  <si>
    <t>Lenis Marín</t>
  </si>
  <si>
    <t>juancholenis123@hotmail.com</t>
  </si>
  <si>
    <t xml:space="preserve">Barrio Villa Jerusalem Mz C casa 3 - Montenegro </t>
  </si>
  <si>
    <t>Representante de Ventas</t>
  </si>
  <si>
    <t>SI</t>
  </si>
  <si>
    <t xml:space="preserve">Patricia </t>
  </si>
  <si>
    <t xml:space="preserve">Ramírez Ramírez </t>
  </si>
  <si>
    <t>paty-1977@hotmail.com</t>
  </si>
  <si>
    <t>Ciudadela del Sol Manzana B casa 3 bajo</t>
  </si>
  <si>
    <t>Montenegro</t>
  </si>
  <si>
    <t>Camarera</t>
  </si>
  <si>
    <t xml:space="preserve">María José Aristizábal Rincón </t>
  </si>
  <si>
    <t>Jose Joaquín</t>
  </si>
  <si>
    <t>Luna Orozco</t>
  </si>
  <si>
    <t>Joacoluna3@hotmail.com</t>
  </si>
  <si>
    <t>Marlyn Julie</t>
  </si>
  <si>
    <t xml:space="preserve">Villamizar Cardenas </t>
  </si>
  <si>
    <t>villamizarmarlyn@gmail.com</t>
  </si>
  <si>
    <t xml:space="preserve">Barrio Simon Bolivar Mz 21 Casa 13 Armenia, Q. </t>
  </si>
  <si>
    <t>Nathalia</t>
  </si>
  <si>
    <t>Arboleda Cifuentes</t>
  </si>
  <si>
    <t>arboledacifuentesnathalia@gmail.com</t>
  </si>
  <si>
    <t xml:space="preserve">B/ Villa Sofía mz C # 11 segundo piso - Armenia, Q. </t>
  </si>
  <si>
    <t xml:space="preserve">Auxiliar Administrativa </t>
  </si>
  <si>
    <t>Briñez Alvarez</t>
  </si>
  <si>
    <t>jhonbriñez@gmail.com</t>
  </si>
  <si>
    <t>91244322129</t>
  </si>
  <si>
    <t>Barrio comuneros MZ 5 Casa 9</t>
  </si>
  <si>
    <t>3137863500</t>
  </si>
  <si>
    <t>Andrea Sofía</t>
  </si>
  <si>
    <t>Reina Claros</t>
  </si>
  <si>
    <t>sofiareinaclaros@gmail.com</t>
  </si>
  <si>
    <t>Vereda Marmato Finca la Zulia</t>
  </si>
  <si>
    <t>3227457926</t>
  </si>
  <si>
    <t>Mesera</t>
  </si>
  <si>
    <t>Lesly Tatiana</t>
  </si>
  <si>
    <t>Osorio Perez</t>
  </si>
  <si>
    <t>tatis0102.2015@gmail.com</t>
  </si>
  <si>
    <t>Cra 32#86-30 Manrique Medellin Apto 401</t>
  </si>
  <si>
    <t>Medellin</t>
  </si>
  <si>
    <t xml:space="preserve">Transferencista </t>
  </si>
  <si>
    <t>Dayan Carolina</t>
  </si>
  <si>
    <t>Herrera Gonzalez</t>
  </si>
  <si>
    <t>dayanc1614@hotmail.com</t>
  </si>
  <si>
    <t>138000075018</t>
  </si>
  <si>
    <t>cra 14 # 50n-60</t>
  </si>
  <si>
    <t>3115356000</t>
  </si>
  <si>
    <t>Zuli</t>
  </si>
  <si>
    <t>Solarte Muñoz</t>
  </si>
  <si>
    <t>acgarcias@uqvirtual.edu.co</t>
  </si>
  <si>
    <t>3137452854</t>
  </si>
  <si>
    <t>Barrio los alpes cra 4 # 15-19 Tebaida</t>
  </si>
  <si>
    <t>Noreya</t>
  </si>
  <si>
    <t>Sabogal Londoño</t>
  </si>
  <si>
    <t>noreya321sabogal@hotmail.com</t>
  </si>
  <si>
    <t>0550136000957540</t>
  </si>
  <si>
    <t>villa de las Américas MZ B Casa13</t>
  </si>
  <si>
    <t>Berrio Martinez</t>
  </si>
  <si>
    <t>liz_berri_15@hotmail.com</t>
  </si>
  <si>
    <t>3113657787</t>
  </si>
  <si>
    <t>Entre verdes MZ 8 CASA 9 Armenia</t>
  </si>
  <si>
    <t>Recepcionista</t>
  </si>
  <si>
    <t>Pedro Pablo</t>
  </si>
  <si>
    <t>Molina Franco</t>
  </si>
  <si>
    <t>Centro de trabajo Riesgo 5</t>
  </si>
  <si>
    <t>ppmolinaf@uqvirtual.edu.co</t>
  </si>
  <si>
    <t>3207890604</t>
  </si>
  <si>
    <t>Mzn 5, calle 5 #6-54 barrio la pista Circasia</t>
  </si>
  <si>
    <t>Mesero</t>
  </si>
  <si>
    <t>Jefferson</t>
  </si>
  <si>
    <t>Mora Molina</t>
  </si>
  <si>
    <t>jefferbimbo@hotmail.com</t>
  </si>
  <si>
    <t>CRA 23e# 8-37</t>
  </si>
  <si>
    <t>Marta Noemy</t>
  </si>
  <si>
    <t>Sossa Deosaa</t>
  </si>
  <si>
    <t>sossamarta71@gmail.com</t>
  </si>
  <si>
    <t>Callle 54 a sur Numero 54 E3 Barrio Aragón Medellín</t>
  </si>
  <si>
    <t>Leandro</t>
  </si>
  <si>
    <t>Torres Cotrino</t>
  </si>
  <si>
    <t>leandro.torres93@hotmail.com</t>
  </si>
  <si>
    <t>Avenida el Cacique Número 39 - 60 Calarcá Quindío</t>
  </si>
  <si>
    <t>Durialys Milfre</t>
  </si>
  <si>
    <t>Laya Rodriguez</t>
  </si>
  <si>
    <t>dury130288@gmail.com</t>
  </si>
  <si>
    <t>Barrio Obrero Carrera 12 Casa A-14 La Tebaida</t>
  </si>
  <si>
    <t>Líder de Cocina</t>
  </si>
  <si>
    <t>Clara Helena</t>
  </si>
  <si>
    <t>Tabares Gutierrez</t>
  </si>
  <si>
    <t>claratataguti@gmail.com</t>
  </si>
  <si>
    <t>0550488438541168</t>
  </si>
  <si>
    <t>calle 9 Norte # 21-51 yulima 3 bloque 6 apto 101</t>
  </si>
  <si>
    <t>3172293178</t>
  </si>
  <si>
    <t xml:space="preserve">Auxiliar administrativo, contabilidad y cartera. </t>
  </si>
  <si>
    <t>Bbladimirgallego@icloud.com</t>
  </si>
  <si>
    <t>carlosjgomezgiraldo3@gmail.com</t>
  </si>
  <si>
    <t>Carrera 14 # 10- 05 conjunto Robledal B/ La Castellana Armenia</t>
  </si>
  <si>
    <t>Finca Guayaquil Vereda San Jose Municipio Montenegro</t>
  </si>
  <si>
    <t>caorzoo_81@hotmail.com</t>
  </si>
  <si>
    <t>cristiancamilolopezzapata5@gmail.com</t>
  </si>
  <si>
    <t>auramarianarios824@gmail.com</t>
  </si>
  <si>
    <t>Cañaveral Usuga</t>
  </si>
  <si>
    <t>diegousuga312@gmail.com</t>
  </si>
  <si>
    <t>Quebrada nueva finca la duquesa</t>
  </si>
  <si>
    <t>Edinson</t>
  </si>
  <si>
    <t>Varon Salgado</t>
  </si>
  <si>
    <t>edinsonbrsfc@gmail.com</t>
  </si>
  <si>
    <t>edisonromerogarzon@gmail.com</t>
  </si>
  <si>
    <t>riosesneider2@gmail.com</t>
  </si>
  <si>
    <t xml:space="preserve">Vereda Travesias </t>
  </si>
  <si>
    <t>camilocaseres43iewjsj@gmail.com</t>
  </si>
  <si>
    <t>ortizhernan070@gmail.com</t>
  </si>
  <si>
    <t>hugor8958@gmail.com</t>
  </si>
  <si>
    <t>Jesus Antonio</t>
  </si>
  <si>
    <t>Mendoza Silva</t>
  </si>
  <si>
    <t>Jesusantomendoza1997@gmail.com</t>
  </si>
  <si>
    <t>quinterogarciajesusbernardo@gmail.com</t>
  </si>
  <si>
    <t>joseeduardoorozco666@gmail.com</t>
  </si>
  <si>
    <t>jz985357@gmail.com</t>
  </si>
  <si>
    <t>menesesjoserubiel@gmail.com</t>
  </si>
  <si>
    <t>Zarzal valle del cauca calle 15 numero 11 - 10 barrio las mercedes</t>
  </si>
  <si>
    <t xml:space="preserve">Lizeth Magnolia </t>
  </si>
  <si>
    <t>Garces Rincon</t>
  </si>
  <si>
    <t>lizethgarces62@gmail.com</t>
  </si>
  <si>
    <t>ancisarocampo0@gmail.com</t>
  </si>
  <si>
    <t>jgonsalesleg@gmail.com</t>
  </si>
  <si>
    <t>oscargaleano5681@gmail.com</t>
  </si>
  <si>
    <t xml:space="preserve">Santiago </t>
  </si>
  <si>
    <t>Rios Torres</t>
  </si>
  <si>
    <t>santiagoriostorres2002@gmail.com</t>
  </si>
  <si>
    <t>romerouban123@gmail.com</t>
  </si>
  <si>
    <t>gallego.wilmer@correounivalle.edu.co</t>
  </si>
  <si>
    <t>yuliana.314591@gmail.com</t>
  </si>
  <si>
    <t>Vereda Travesias Finca Porvenir</t>
  </si>
  <si>
    <t>lorena101182@hotmail.com</t>
  </si>
  <si>
    <t>José  Urley</t>
  </si>
  <si>
    <t xml:space="preserve">Useche  Useche </t>
  </si>
  <si>
    <t>joseurleyuseche@gmail.com</t>
  </si>
  <si>
    <t>Calle 20 A No. 23-20 Barrio Berlin Armenia</t>
  </si>
  <si>
    <t xml:space="preserve">Nueva EPS </t>
  </si>
  <si>
    <t xml:space="preserve">Porvenir </t>
  </si>
  <si>
    <t xml:space="preserve">Si </t>
  </si>
  <si>
    <t>Yuldor Yesit</t>
  </si>
  <si>
    <t>Rendon Angel</t>
  </si>
  <si>
    <t>rendonyesit@gmail.com</t>
  </si>
  <si>
    <t>Barrio Villa Sofia Mz A Casa 6</t>
  </si>
  <si>
    <t>Gustavo Jesús</t>
  </si>
  <si>
    <t xml:space="preserve"> Rojas Silva </t>
  </si>
  <si>
    <t>gussy30000@gmail.com</t>
  </si>
  <si>
    <t>0550136600213229</t>
  </si>
  <si>
    <t>Barrio El Recreo Mz I Casa 21</t>
  </si>
  <si>
    <t xml:space="preserve">Sanitas </t>
  </si>
  <si>
    <t>Alejandro</t>
  </si>
  <si>
    <t>Giraldo Castañeda</t>
  </si>
  <si>
    <t>lala2076@hotmail.com</t>
  </si>
  <si>
    <t>Casa 9 Mz 7 Guaduales de la Villa Armenia</t>
  </si>
  <si>
    <t>Palta Hotel</t>
  </si>
  <si>
    <t>Administrador/Oficios varios</t>
  </si>
  <si>
    <t>Palta Eco S.A.S.</t>
  </si>
  <si>
    <t>gananlida3@gmail.com</t>
  </si>
  <si>
    <t>Conjunto Residencial Chilacoa Bloque 19 Apto 301 Armenia</t>
  </si>
  <si>
    <t>deisychavez098@gmail.com</t>
  </si>
  <si>
    <t>La nueva Tebaida Mz 26 Casa 5 Primera Etapa</t>
  </si>
  <si>
    <t xml:space="preserve">Jingwell </t>
  </si>
  <si>
    <t>Barreto Vanegas</t>
  </si>
  <si>
    <t>chillin1009@gmail.com</t>
  </si>
  <si>
    <t>Carrera 24 #30 - 52 Conjunto Inés Juliana Casa 8 Calarcá Q.</t>
  </si>
  <si>
    <t xml:space="preserve">Mano de obra Directa </t>
  </si>
  <si>
    <t>Gabriel Angel</t>
  </si>
  <si>
    <t>Ramírez Bedoya</t>
  </si>
  <si>
    <t>ramirezdaniela1228@gmail.com</t>
  </si>
  <si>
    <t>La Tebaida</t>
  </si>
  <si>
    <t xml:space="preserve">Auxiliar equino </t>
  </si>
  <si>
    <t>Jesica Julieth</t>
  </si>
  <si>
    <t>Orejuela Téllez</t>
  </si>
  <si>
    <t>jessi.ore.16@hotmail.com</t>
  </si>
  <si>
    <t>03203571821</t>
  </si>
  <si>
    <t>Cr. 9 No. 51-255 Conjunto Entre Lomas Armenia</t>
  </si>
  <si>
    <t>3203571821</t>
  </si>
  <si>
    <t xml:space="preserve">Operativa </t>
  </si>
  <si>
    <t xml:space="preserve">Administrador </t>
  </si>
  <si>
    <t xml:space="preserve">Aristizabal Fernandez </t>
  </si>
  <si>
    <t>santiago@gomezvalencia.com</t>
  </si>
  <si>
    <t>Calle 31 Norte No. 20-80, apto 606</t>
  </si>
  <si>
    <t xml:space="preserve">Asesor senior </t>
  </si>
  <si>
    <t>María</t>
  </si>
  <si>
    <t>Gómez Montoya</t>
  </si>
  <si>
    <t>maria@gomezvalencia.com</t>
  </si>
  <si>
    <t xml:space="preserve">Apto 302 torre 3 Conjunto Corales </t>
  </si>
  <si>
    <t>Laura Ximena</t>
  </si>
  <si>
    <t xml:space="preserve">Flórez Hernández </t>
  </si>
  <si>
    <t>lauraximenaflorezhernandez43@gmail.com</t>
  </si>
  <si>
    <t>0317727130</t>
  </si>
  <si>
    <t>Casa 4 Mz E1 Barrio El Cantarito La Tebaida</t>
  </si>
  <si>
    <t>Miguel Angel</t>
  </si>
  <si>
    <t>Lugo Morales</t>
  </si>
  <si>
    <t>Finca Balkanes</t>
  </si>
  <si>
    <t>Alexander</t>
  </si>
  <si>
    <t>Sepulveda Betancourt</t>
  </si>
  <si>
    <t>alexandersepulveda296@hotmail.com</t>
  </si>
  <si>
    <t xml:space="preserve">Quebrada Nueva Zarzal </t>
  </si>
  <si>
    <t>Franky Rosvery</t>
  </si>
  <si>
    <t>Sanchez Ospina</t>
  </si>
  <si>
    <t>sanchezospinafranky@gmail.com</t>
  </si>
  <si>
    <t>550488443320673</t>
  </si>
  <si>
    <t>Heber</t>
  </si>
  <si>
    <t>Renteria Viveros</t>
  </si>
  <si>
    <t xml:space="preserve">Barrio La Estación Quebradanueva  </t>
  </si>
  <si>
    <t xml:space="preserve">Colfondos </t>
  </si>
  <si>
    <t>Mario Rafael</t>
  </si>
  <si>
    <t>Rodríguez Hincapié</t>
  </si>
  <si>
    <t>mario1203hincapie@gmail.com</t>
  </si>
  <si>
    <t>Kr 40 cl 51-41 torre 4 Apto 13C</t>
  </si>
  <si>
    <t>Servicios</t>
  </si>
  <si>
    <t xml:space="preserve">Famisanar </t>
  </si>
  <si>
    <t>Carlos Andrés</t>
  </si>
  <si>
    <t>Idarraga Restrepo</t>
  </si>
  <si>
    <t>carlosidarraga58@gmail.com</t>
  </si>
  <si>
    <t>488419649113</t>
  </si>
  <si>
    <t xml:space="preserve">Casa 3 Mz 10 Quintas de los Andes Armenia </t>
  </si>
  <si>
    <t>3147039895</t>
  </si>
  <si>
    <t xml:space="preserve">Administrativo AXM </t>
  </si>
  <si>
    <t xml:space="preserve">Administrativa </t>
  </si>
  <si>
    <t>Lederer Brito</t>
  </si>
  <si>
    <t>carolinalederer@gmail.com</t>
  </si>
  <si>
    <t>472870051241</t>
  </si>
  <si>
    <t>Casa 18 Condominio Pontevedra</t>
  </si>
  <si>
    <t xml:space="preserve">Gerente de operaciones </t>
  </si>
  <si>
    <t>Jhon James</t>
  </si>
  <si>
    <t>Arias Loaiza</t>
  </si>
  <si>
    <t>aljames8@gmail.com</t>
  </si>
  <si>
    <t>136000937724</t>
  </si>
  <si>
    <t>Mz n74 Barrio Manantiales</t>
  </si>
  <si>
    <t>José Alonso</t>
  </si>
  <si>
    <t>Pulido Pineda</t>
  </si>
  <si>
    <t xml:space="preserve">La Granjita Alcalá </t>
  </si>
  <si>
    <t xml:space="preserve">Auxiliar operativo </t>
  </si>
  <si>
    <t>Klaus Alexander</t>
  </si>
  <si>
    <t xml:space="preserve">Lederer </t>
  </si>
  <si>
    <t>Cédula extranjería</t>
  </si>
  <si>
    <t>klaus@lederer-group.org</t>
  </si>
  <si>
    <t>Casa 59 Lagos de Iraka La Tebaida - El Caimo</t>
  </si>
  <si>
    <t xml:space="preserve">Liliana </t>
  </si>
  <si>
    <t xml:space="preserve">Brito Pelaez </t>
  </si>
  <si>
    <t>lilianabrito04@gmail.com</t>
  </si>
  <si>
    <t>138070031925</t>
  </si>
  <si>
    <t>Apto 9 Edificio La Floresta Av. Bolívar 19 N - 10</t>
  </si>
  <si>
    <t xml:space="preserve">Gerente de recursos humanos </t>
  </si>
  <si>
    <t xml:space="preserve">Luz Dary </t>
  </si>
  <si>
    <t xml:space="preserve">Pescador Morales </t>
  </si>
  <si>
    <t>mije8910@gmail.com</t>
  </si>
  <si>
    <t>136670078403</t>
  </si>
  <si>
    <t xml:space="preserve">Apto 401 Torre 1 Edificio Poporo </t>
  </si>
  <si>
    <t xml:space="preserve">Servicios generales </t>
  </si>
  <si>
    <t xml:space="preserve">Mano  de obra directa </t>
  </si>
  <si>
    <t xml:space="preserve">Margarita María </t>
  </si>
  <si>
    <t xml:space="preserve">Sánchez Pescador </t>
  </si>
  <si>
    <t>muchachitasuarez31@gmail.com</t>
  </si>
  <si>
    <t>86552154454</t>
  </si>
  <si>
    <t xml:space="preserve">Casa 30 Mz 2 Barcelona </t>
  </si>
  <si>
    <t xml:space="preserve">Oris Margarita </t>
  </si>
  <si>
    <t xml:space="preserve">Arteta Escorcia </t>
  </si>
  <si>
    <t>Apto 301 Bl. 11 Cl 3 N No. 18-49</t>
  </si>
  <si>
    <t xml:space="preserve">Soley Cristina </t>
  </si>
  <si>
    <t xml:space="preserve">Ruíz Martínez </t>
  </si>
  <si>
    <t>soleykris@gmail.com</t>
  </si>
  <si>
    <t>20025825948</t>
  </si>
  <si>
    <t>Apto 202 Calle 155 No. 14-80 interior</t>
  </si>
  <si>
    <t xml:space="preserve">Administrativo </t>
  </si>
  <si>
    <t>Gerente administrativo</t>
  </si>
  <si>
    <t xml:space="preserve">Alexander </t>
  </si>
  <si>
    <t xml:space="preserve">Marín Tabares </t>
  </si>
  <si>
    <t>alexandermonito42@gmail.com</t>
  </si>
  <si>
    <t xml:space="preserve">Casa 4 Mz B Barrio La Ceiba Caicedonia </t>
  </si>
  <si>
    <t>Finca Rancho Largo</t>
  </si>
  <si>
    <t xml:space="preserve">Oficios varios agrícolas </t>
  </si>
  <si>
    <t>Luis Alfonso Gonzalez</t>
  </si>
  <si>
    <t>James</t>
  </si>
  <si>
    <t xml:space="preserve">Urrego Gónzalez </t>
  </si>
  <si>
    <t>jamesurrego73@hotmail.com</t>
  </si>
  <si>
    <t xml:space="preserve">Cr. 7A - 02 Caicedonia </t>
  </si>
  <si>
    <t>3146025202</t>
  </si>
  <si>
    <t xml:space="preserve">Luis Alberto </t>
  </si>
  <si>
    <t xml:space="preserve">Torres Aguirre </t>
  </si>
  <si>
    <t>aguirretorresluisaalberto1962@gmail.com</t>
  </si>
  <si>
    <t xml:space="preserve">Finca Alaska Montenegro </t>
  </si>
  <si>
    <t>karlosreyessarria@gmail.com</t>
  </si>
  <si>
    <t xml:space="preserve">Carrera 9 No. 14 - 16 Sector Centro La Tebaida </t>
  </si>
  <si>
    <t xml:space="preserve">Caja </t>
  </si>
  <si>
    <t>Viviana Andrea</t>
  </si>
  <si>
    <t>Marulanda Londoño</t>
  </si>
  <si>
    <t>vl454339@gmail.com</t>
  </si>
  <si>
    <t>488437237446</t>
  </si>
  <si>
    <t>Barrio Villa Italia Mz M Casa 4 Calarcá</t>
  </si>
  <si>
    <t>Carlos Augusto</t>
  </si>
  <si>
    <t>Bedoya Rendon</t>
  </si>
  <si>
    <t>carlososorio8377@gmail.com</t>
  </si>
  <si>
    <t>03128782877</t>
  </si>
  <si>
    <t>Calle 30 a No. 20-04</t>
  </si>
  <si>
    <t>La Guairita</t>
  </si>
  <si>
    <t>Auxiliar de campo</t>
  </si>
  <si>
    <t xml:space="preserve">Marien Agudelo Ramirez </t>
  </si>
  <si>
    <t xml:space="preserve">Cesar Humberto </t>
  </si>
  <si>
    <t>Cossio Piedrahita</t>
  </si>
  <si>
    <t>cesar12@gmail.com</t>
  </si>
  <si>
    <t>03188319706</t>
  </si>
  <si>
    <t>Mz 2 N 12 Barrio Bello Horizonte</t>
  </si>
  <si>
    <t>Hugo Hermel</t>
  </si>
  <si>
    <t>Gironza Gironza</t>
  </si>
  <si>
    <t>hugo12@gmail.com</t>
  </si>
  <si>
    <t>Casa 10 Mz 13 Barrio Portal de Pinares Armenia</t>
  </si>
  <si>
    <t>Luis Enrique</t>
  </si>
  <si>
    <t>Londoño Ríos</t>
  </si>
  <si>
    <t>Finca La Guairita</t>
  </si>
  <si>
    <t>Ana Patricia</t>
  </si>
  <si>
    <t>Villa Zapata</t>
  </si>
  <si>
    <t>anavilla010578@gmail.com</t>
  </si>
  <si>
    <t>Vereda Higueron Río Negro</t>
  </si>
  <si>
    <t xml:space="preserve">Servicio doméstico </t>
  </si>
  <si>
    <t>Carissa Saffon</t>
  </si>
  <si>
    <t>Melissa</t>
  </si>
  <si>
    <t>Calle Villa</t>
  </si>
  <si>
    <t>mc1996v@gmail.com</t>
  </si>
  <si>
    <t>Garzón Soto</t>
  </si>
  <si>
    <t>alejandra.garzons141@gmail.com</t>
  </si>
  <si>
    <t>Oficina 208 Edificio Cervantes</t>
  </si>
  <si>
    <t xml:space="preserve">Niño Rodriguez </t>
  </si>
  <si>
    <t>leos1452@hotmail.com</t>
  </si>
  <si>
    <t>Diego Mauricio</t>
  </si>
  <si>
    <t>Montoya Morales</t>
  </si>
  <si>
    <t>diegomontoya7777@gmail.com</t>
  </si>
  <si>
    <t>Mateo</t>
  </si>
  <si>
    <t>Morales Valencia</t>
  </si>
  <si>
    <t>mateo.mova.08@gmail.com</t>
  </si>
  <si>
    <t>Lider operativo</t>
  </si>
  <si>
    <t>Yefry Alejandro</t>
  </si>
  <si>
    <t>Fajardo Gutierrez</t>
  </si>
  <si>
    <t>yefri924@gmail.com</t>
  </si>
  <si>
    <t>Jonathan Enrique</t>
  </si>
  <si>
    <t>Molina Rosero</t>
  </si>
  <si>
    <t>jemolina88@hotmail.com</t>
  </si>
  <si>
    <t>Cr. 12 No. 2 O- 13 San Cayetano</t>
  </si>
  <si>
    <t xml:space="preserve">Lider de producción y logística </t>
  </si>
  <si>
    <t>Comfenalco Valle</t>
  </si>
  <si>
    <t>Luis Guillermo</t>
  </si>
  <si>
    <t>Roa Giraldo</t>
  </si>
  <si>
    <t>luis.roa.g12@gmail.com</t>
  </si>
  <si>
    <t>Calle 10 bis O No. 28-185</t>
  </si>
  <si>
    <t>Gerente de producción</t>
  </si>
  <si>
    <t>Margoth</t>
  </si>
  <si>
    <t xml:space="preserve">Melendez Melendez </t>
  </si>
  <si>
    <t>margoth.melendezm@gmail.com</t>
  </si>
  <si>
    <t>Calle 18 No. 66-67</t>
  </si>
  <si>
    <t>Lider comercial</t>
  </si>
  <si>
    <t>María Ensueño</t>
  </si>
  <si>
    <t>Acevedo Piedrahita</t>
  </si>
  <si>
    <t>acevedomariae11@gmail.com</t>
  </si>
  <si>
    <t>Km. 3 Vía Cavasa - Cauca Seco</t>
  </si>
  <si>
    <t xml:space="preserve">Auxiliar de producción y logistica </t>
  </si>
  <si>
    <t>María Esnery</t>
  </si>
  <si>
    <t>Caicedo Morales</t>
  </si>
  <si>
    <t>mariaesnerycaicedo@hotmail.com</t>
  </si>
  <si>
    <t>Calle 20 No. 11-33 Barrio El Recuerfy</t>
  </si>
  <si>
    <t>Nariño</t>
  </si>
  <si>
    <t xml:space="preserve">Gamba Rojas </t>
  </si>
  <si>
    <t>nandarojas15@gmail.com</t>
  </si>
  <si>
    <t xml:space="preserve">Apto 302 Cr. 22 No. 41-30 </t>
  </si>
  <si>
    <t xml:space="preserve">Análista contable y administrativa </t>
  </si>
  <si>
    <t>Adriana Sofía</t>
  </si>
  <si>
    <t>Rubiano</t>
  </si>
  <si>
    <t>rubianosofia21@gmail.com</t>
  </si>
  <si>
    <t>Calle 68 D Bis Sur # 63-35</t>
  </si>
  <si>
    <t>323 6041756</t>
  </si>
  <si>
    <t xml:space="preserve">Bogotá, DC. </t>
  </si>
  <si>
    <t>Ejecutiva de Cuenta JR.</t>
  </si>
  <si>
    <t>Zebra Groups S.A.S</t>
  </si>
  <si>
    <t xml:space="preserve">Jonathan Mauricio </t>
  </si>
  <si>
    <t xml:space="preserve">Carmona Murillo </t>
  </si>
  <si>
    <t>jonathancarmonamurillo142@gmail.com</t>
  </si>
  <si>
    <t>488424335096</t>
  </si>
  <si>
    <t xml:space="preserve">Barrio Panorama Calle 16 No. 10-59 </t>
  </si>
  <si>
    <t>Natgreen Internacional</t>
  </si>
  <si>
    <t xml:space="preserve">Henry </t>
  </si>
  <si>
    <t>Soto Cardenas</t>
  </si>
  <si>
    <t>sotocardenashenry@gmail.com</t>
  </si>
  <si>
    <t>0550488423079794</t>
  </si>
  <si>
    <t>Barrio Las Orquideas La Tebaida</t>
  </si>
  <si>
    <t>María Carolina</t>
  </si>
  <si>
    <t>Gómez Hermida</t>
  </si>
  <si>
    <t>cgomez@ng-zf.com</t>
  </si>
  <si>
    <t>Km. 13 vía Armenia Valle Zn Franca Bodega 41</t>
  </si>
  <si>
    <t xml:space="preserve">Gerente </t>
  </si>
  <si>
    <t>Sura EPS</t>
  </si>
  <si>
    <t xml:space="preserve">Saul Andrés </t>
  </si>
  <si>
    <t xml:space="preserve">Castro Correa </t>
  </si>
  <si>
    <t>vegadorandy@gmail.com</t>
  </si>
  <si>
    <t>Finca el Guayabito, Municipio Montenegro, Corregimiento Pueblo Tapao.</t>
  </si>
  <si>
    <t>El Guayabito</t>
  </si>
  <si>
    <t>Aprendiz sena etapa lectiva</t>
  </si>
  <si>
    <t>carmonajuanpa1329@gmail.com</t>
  </si>
  <si>
    <t>0550136200183046</t>
  </si>
  <si>
    <t>Nataly</t>
  </si>
  <si>
    <t>Hoyos Valencia</t>
  </si>
  <si>
    <t>nata941108@hotmail.com</t>
  </si>
  <si>
    <t>488400758915</t>
  </si>
  <si>
    <t>Calle 14 norte No. 10 - 05 Condominio Robledal casa 1</t>
  </si>
  <si>
    <t>Dania María</t>
  </si>
  <si>
    <t>De la Cruz Erazo</t>
  </si>
  <si>
    <t>daniadlc003@gmail.com</t>
  </si>
  <si>
    <t>0550488443339749</t>
  </si>
  <si>
    <t>Mz 14 casa 1 Puerto Espejo - Armenia</t>
  </si>
  <si>
    <t>Yorleny</t>
  </si>
  <si>
    <t>villamizaryorleni@gmail.com</t>
  </si>
  <si>
    <t xml:space="preserve">Barrio Simon Bolivar Mz 10 Casa 10 Armenia, Q. </t>
  </si>
  <si>
    <t>Auxiliar de Restaurante</t>
  </si>
  <si>
    <t>Sanitas EPS</t>
  </si>
  <si>
    <t xml:space="preserve">María Aurora </t>
  </si>
  <si>
    <t xml:space="preserve">Marquez Cuervo </t>
  </si>
  <si>
    <t>aurism29@hotmail.com</t>
  </si>
  <si>
    <t>Barrio Villa Alejandra Mz 15 Casa 31 Armenia</t>
  </si>
  <si>
    <t>Aeropuerto</t>
  </si>
  <si>
    <t>Albeiro</t>
  </si>
  <si>
    <t>Cardona Herrera</t>
  </si>
  <si>
    <t xml:space="preserve">William </t>
  </si>
  <si>
    <t>Giraldo Cardona</t>
  </si>
  <si>
    <t>diwaoo@hotmail.es</t>
  </si>
  <si>
    <t>Barrio Jardínes Fachada</t>
  </si>
  <si>
    <t>García Castillo</t>
  </si>
  <si>
    <t>claudiarubenchopepa@gmail.com</t>
  </si>
  <si>
    <t xml:space="preserve">Casa 1 Mz 35 Barrio Pinares Armenia </t>
  </si>
  <si>
    <t xml:space="preserve">Auxiliar de información </t>
  </si>
  <si>
    <t>Edificio Clínica Central del Quindío</t>
  </si>
  <si>
    <t>Jovany</t>
  </si>
  <si>
    <t xml:space="preserve">Gonzalez </t>
  </si>
  <si>
    <t>Mz 26-14 Barrio La Patria</t>
  </si>
  <si>
    <t>García García</t>
  </si>
  <si>
    <t>chachan812009@hotmail.com</t>
  </si>
  <si>
    <t>Mz E N - 5 San Francisco</t>
  </si>
  <si>
    <t>Cardona Alvis</t>
  </si>
  <si>
    <t>Apto 02 Torre 2 Urbanización Chilacoa</t>
  </si>
  <si>
    <t>Porvnenir</t>
  </si>
  <si>
    <t xml:space="preserve">Yenny </t>
  </si>
  <si>
    <t>Duran Sepulveda</t>
  </si>
  <si>
    <t>yenyduran59@gmail.com</t>
  </si>
  <si>
    <t>ciudedala ch</t>
  </si>
  <si>
    <t>Rosa Cleotilde</t>
  </si>
  <si>
    <t>Torres Obrian</t>
  </si>
  <si>
    <t>ana23@gmail.com</t>
  </si>
  <si>
    <t>Calle 42 58 95</t>
  </si>
  <si>
    <t>Mariela</t>
  </si>
  <si>
    <t>Beltrán</t>
  </si>
  <si>
    <t>Mall Privilegio</t>
  </si>
  <si>
    <t xml:space="preserve">María José </t>
  </si>
  <si>
    <t>Moreno Morales</t>
  </si>
  <si>
    <t>morenomajo529@gmail.com</t>
  </si>
  <si>
    <t xml:space="preserve">Lote 20 int. 4 Barrio Las Brisas Cereté - Cordobá </t>
  </si>
  <si>
    <t xml:space="preserve">Monteria </t>
  </si>
  <si>
    <t xml:space="preserve">ventas </t>
  </si>
  <si>
    <t>Andrea Marcela</t>
  </si>
  <si>
    <t>Ramírez Cardona</t>
  </si>
  <si>
    <t>andrearamirezc@gmail.com</t>
  </si>
  <si>
    <t>Apto 201 Calle 7 No. 22 a 26 Barrio Granada</t>
  </si>
  <si>
    <t>Finca Santa Clara</t>
  </si>
  <si>
    <t>Auxiliar administrativa</t>
  </si>
  <si>
    <t xml:space="preserve">Agronegocios Santa Clara </t>
  </si>
  <si>
    <t xml:space="preserve">Karol Dahiana </t>
  </si>
  <si>
    <t xml:space="preserve">Hernandez Hernandez </t>
  </si>
  <si>
    <t>Karoldayana1995@hotmail.com</t>
  </si>
  <si>
    <t>Avenida de occidente calle 22 vía la patria</t>
  </si>
  <si>
    <t>Tutora Pedagógica</t>
  </si>
  <si>
    <t>Alba Milena</t>
  </si>
  <si>
    <t>Mamian Mamian</t>
  </si>
  <si>
    <t>Calle 4 oeste 73- 10 Cali</t>
  </si>
  <si>
    <t>Oficios  varios</t>
  </si>
  <si>
    <t>Natalia Montoya Moreno</t>
  </si>
  <si>
    <t>NO</t>
  </si>
  <si>
    <t>María Rubiela</t>
  </si>
  <si>
    <t>Armero de Valencia</t>
  </si>
  <si>
    <t xml:space="preserve">Barrio Guaduales, etapa 3, manzana i,  casa 36 .Calarcá. </t>
  </si>
  <si>
    <t>Calarcá</t>
  </si>
  <si>
    <t>Servicio doméstico</t>
  </si>
  <si>
    <t xml:space="preserve">Gloria Helena López </t>
  </si>
  <si>
    <t>Alba Patricia</t>
  </si>
  <si>
    <t>Diaz Cuellar</t>
  </si>
  <si>
    <t>apatriciadiaz@hotmail.com</t>
  </si>
  <si>
    <t>km 4,5 vía Armenia-Pereira, condominio Los Almendros, casa 8</t>
  </si>
  <si>
    <t>Líder de terapia ocupacional y neurodesarrollo</t>
  </si>
  <si>
    <t xml:space="preserve">Luisa María </t>
  </si>
  <si>
    <t>Henao Henao</t>
  </si>
  <si>
    <t>luisahenao044@gmail.com</t>
  </si>
  <si>
    <t>Carrera 80 # 1b2-33 prados del sur</t>
  </si>
  <si>
    <t xml:space="preserve">Esteticista </t>
  </si>
  <si>
    <t xml:space="preserve">Variable </t>
  </si>
  <si>
    <t>Paola</t>
  </si>
  <si>
    <t>Correa Quiroga</t>
  </si>
  <si>
    <t>paolacorreaquiroga@gmail.com</t>
  </si>
  <si>
    <t>Calle 10 No. 20-12</t>
  </si>
  <si>
    <t>Secretaria</t>
  </si>
  <si>
    <t>Yenny Ancelly</t>
  </si>
  <si>
    <t>Sandoval Penagos</t>
  </si>
  <si>
    <t>jeny04sandoval@gmail.com</t>
  </si>
  <si>
    <t>81358578420</t>
  </si>
  <si>
    <t>Cr. 41 D No. 41 - 11</t>
  </si>
  <si>
    <t>Niñera</t>
  </si>
  <si>
    <t>Marulanda Morales</t>
  </si>
  <si>
    <t>mmdaniela1016@gmail.com</t>
  </si>
  <si>
    <t>Bosques de Pinares Mz 4 # 96</t>
  </si>
  <si>
    <t>Yenifer</t>
  </si>
  <si>
    <t>Castrillón Gutiérrez</t>
  </si>
  <si>
    <t>ycguty@gmail.com</t>
  </si>
  <si>
    <t>Barrio La Patria Mz 58 Casa 3</t>
  </si>
  <si>
    <t>Auxiliar Administrativa</t>
  </si>
  <si>
    <t>Andres Mauricio</t>
  </si>
  <si>
    <t>Rivera Nova</t>
  </si>
  <si>
    <t>andresmrivera1959@gmail.com</t>
  </si>
  <si>
    <t>Cr. 19 No. 16 norte 60</t>
  </si>
  <si>
    <t>Director operativo</t>
  </si>
  <si>
    <t>Diana Marcela</t>
  </si>
  <si>
    <t>Enciso Gutierrez</t>
  </si>
  <si>
    <t>dimael1120@hotmail.com</t>
  </si>
  <si>
    <t>Barrio Alasca mz 17 casa 10 Montenegro</t>
  </si>
  <si>
    <t>Servicios domésticos</t>
  </si>
  <si>
    <t>Jorge Mauricio</t>
  </si>
  <si>
    <t>Herrera Gallego</t>
  </si>
  <si>
    <t>jmherreraa007@gmail.com</t>
  </si>
  <si>
    <t>Lagos de Iraka casa 152</t>
  </si>
  <si>
    <t>Key Account Manager</t>
  </si>
  <si>
    <t>José Julián</t>
  </si>
  <si>
    <t>Giraldo Giraldo</t>
  </si>
  <si>
    <t>giraldojosejulian8@gmail.com</t>
  </si>
  <si>
    <t>Lagos de Iraka casa 165</t>
  </si>
  <si>
    <t>María Jimena</t>
  </si>
  <si>
    <t>Rivera Manrique</t>
  </si>
  <si>
    <t>comercial@cafe1959.com</t>
  </si>
  <si>
    <t>Gerente financiero y administrativo</t>
  </si>
  <si>
    <t>Norma Lucia</t>
  </si>
  <si>
    <t>normaluciavalencia473@gmail.com</t>
  </si>
  <si>
    <t>Quintas de la Marina Mz G casa 11</t>
  </si>
  <si>
    <t>Rubén Dario</t>
  </si>
  <si>
    <t>Acevedo Arboleda</t>
  </si>
  <si>
    <t>rubendarioacevedoarboleda@gmail.com</t>
  </si>
  <si>
    <t>06963312464</t>
  </si>
  <si>
    <t>Vereda El Caimo Finca Santa Clara</t>
  </si>
  <si>
    <t>Administrador de  finca</t>
  </si>
  <si>
    <t xml:space="preserve">Aleyda </t>
  </si>
  <si>
    <t>Jaramillo Tangarife</t>
  </si>
  <si>
    <t>aljago@gmail.com</t>
  </si>
  <si>
    <t>Barrio las Acacias Manzana F casa 43</t>
  </si>
  <si>
    <t>operativa</t>
  </si>
  <si>
    <t>Felix Enrique</t>
  </si>
  <si>
    <t>Cuervo Blanco</t>
  </si>
  <si>
    <t>570013370027735</t>
  </si>
  <si>
    <t xml:space="preserve">Finca La Duquesa </t>
  </si>
  <si>
    <t>Skandia</t>
  </si>
  <si>
    <t>Aydee</t>
  </si>
  <si>
    <t>Vargas Morales</t>
  </si>
  <si>
    <t>41904488</t>
  </si>
  <si>
    <t>vargasmoralesaydee18@gmail.com</t>
  </si>
  <si>
    <t>488430214988</t>
  </si>
  <si>
    <t>Barrio Modelo Manzana J Casa 9 Primer Piso</t>
  </si>
  <si>
    <t>3052573718</t>
  </si>
  <si>
    <t>Mocawa Plaza</t>
  </si>
  <si>
    <t>Operaria de Aseo</t>
  </si>
  <si>
    <t xml:space="preserve">Mocawa Plaza </t>
  </si>
  <si>
    <t>Beatriz</t>
  </si>
  <si>
    <t>Escobar Trujillo</t>
  </si>
  <si>
    <t>41902310</t>
  </si>
  <si>
    <t>beatrizescobartrujillo@hotmail.com</t>
  </si>
  <si>
    <t>136170129987</t>
  </si>
  <si>
    <t>Calle 9 norte #21 - 51 Barrio Yulima Etapa 3 Bloque 1 Apto 103</t>
  </si>
  <si>
    <t>3128347885</t>
  </si>
  <si>
    <t>Administradora</t>
  </si>
  <si>
    <t>Ríos Duque</t>
  </si>
  <si>
    <t>2471191</t>
  </si>
  <si>
    <t>lineyparra123@hotmail.com</t>
  </si>
  <si>
    <t>312859072</t>
  </si>
  <si>
    <t xml:space="preserve">Mz 63 Casa 17 Barrio La Patria </t>
  </si>
  <si>
    <t>3116086917</t>
  </si>
  <si>
    <t>Auxiliar de mantenimiento</t>
  </si>
  <si>
    <t>Carlos Enrique</t>
  </si>
  <si>
    <t>Rojas Bermudez</t>
  </si>
  <si>
    <t>18468370</t>
  </si>
  <si>
    <t>enriquecarlosbermudezrojas@gmail.com</t>
  </si>
  <si>
    <t>312859098</t>
  </si>
  <si>
    <t>Finca La Unión Vereda los Tanques Filandia Quindío</t>
  </si>
  <si>
    <t>3165512032</t>
  </si>
  <si>
    <t>Técnico plomero</t>
  </si>
  <si>
    <t>Hoover</t>
  </si>
  <si>
    <t>Hernández Guaydia</t>
  </si>
  <si>
    <t>18498548</t>
  </si>
  <si>
    <t>hooverhg@gmail.com</t>
  </si>
  <si>
    <t>Torres de Laureles Bloque A apartamento 103 Calarcá</t>
  </si>
  <si>
    <t>3165450540</t>
  </si>
  <si>
    <t>Jorge</t>
  </si>
  <si>
    <t>Hernán  Rodríguez</t>
  </si>
  <si>
    <t>1097388469</t>
  </si>
  <si>
    <t>jhr20041986@gmail.com</t>
  </si>
  <si>
    <t>055013600026107</t>
  </si>
  <si>
    <t>Barcelona Barrio Ancizar López Cra 9 # 9 - 08</t>
  </si>
  <si>
    <t>3174567042</t>
  </si>
  <si>
    <t>FNA</t>
  </si>
  <si>
    <t>Leidy Johana</t>
  </si>
  <si>
    <t>Leuro Franco</t>
  </si>
  <si>
    <t>1094888248</t>
  </si>
  <si>
    <t>leidyleuro4@gmail.com</t>
  </si>
  <si>
    <t>Barrio La Fachada Mz 39 Casa 18</t>
  </si>
  <si>
    <t>3135782507</t>
  </si>
  <si>
    <t>Yohana Maria</t>
  </si>
  <si>
    <t>Aleans Viloria</t>
  </si>
  <si>
    <t>35116411</t>
  </si>
  <si>
    <t>yohanaaleans123@gmail.com</t>
  </si>
  <si>
    <t>Luz Mary</t>
  </si>
  <si>
    <t>Cortes Rodriguez</t>
  </si>
  <si>
    <t>marucha-76.06@hotmail.com</t>
  </si>
  <si>
    <t>Finca Altomira Sevilla</t>
  </si>
  <si>
    <t>Caicedonia</t>
  </si>
  <si>
    <t>Monitora</t>
  </si>
  <si>
    <t>Rosember</t>
  </si>
  <si>
    <t>Jurado Morales</t>
  </si>
  <si>
    <t xml:space="preserve">No tiene correo electronico </t>
  </si>
  <si>
    <t>Finca La Gemela, Barrio Puerto Espejo, Armenia</t>
  </si>
  <si>
    <t>Compañero/a permanente</t>
  </si>
  <si>
    <t xml:space="preserve">Emilia </t>
  </si>
  <si>
    <t>López Giraldo</t>
  </si>
  <si>
    <t>emilialopezgiraldo@gmail.com</t>
  </si>
  <si>
    <t>Cra. 38 No. 6 B sur - 33</t>
  </si>
  <si>
    <t>Directora comercial</t>
  </si>
  <si>
    <t xml:space="preserve">Lucero </t>
  </si>
  <si>
    <t>Martínez Hernandez</t>
  </si>
  <si>
    <t>luceromarher@gmail.com</t>
  </si>
  <si>
    <t>03013092174</t>
  </si>
  <si>
    <t>Calle 3 No. 12 -80 Circasia</t>
  </si>
  <si>
    <t xml:space="preserve">Coordinadora de producción </t>
  </si>
  <si>
    <t>Nueva eps</t>
  </si>
  <si>
    <t>Rivera Cruz</t>
  </si>
  <si>
    <t>ale.rc-825@hotmail.com</t>
  </si>
  <si>
    <t>Barrio Alcazar de Café Mz C casa 107 Armenia</t>
  </si>
  <si>
    <t>Cotizador</t>
  </si>
  <si>
    <t>Latorre Escobar</t>
  </si>
  <si>
    <t>natalialatorre47@gmail.com</t>
  </si>
  <si>
    <t>0642242465</t>
  </si>
  <si>
    <t>Carrera 23 B No. 11A- 64 Barrio Granada Armenia</t>
  </si>
  <si>
    <t>Jesús Alexander</t>
  </si>
  <si>
    <t>Cisneros Rojas</t>
  </si>
  <si>
    <t>cisnerosrojasalexander@outlook.com</t>
  </si>
  <si>
    <t>Barrio Santander Calle 32 # 28 - 54 Armenia</t>
  </si>
  <si>
    <t xml:space="preserve">Laura Daniela </t>
  </si>
  <si>
    <t>Rivera Rios</t>
  </si>
  <si>
    <t>ladari@hotmail.com</t>
  </si>
  <si>
    <t>Conjunto Residencial Entre Lomas Torre 4 Apto 302</t>
  </si>
  <si>
    <t>Gestor Comercial</t>
  </si>
  <si>
    <t>Taborda Castro</t>
  </si>
  <si>
    <t>luistaborda2000@hotmail.com</t>
  </si>
  <si>
    <t>Calle quinta norte 18 a a- 80 Armenia</t>
  </si>
  <si>
    <t>Daniel</t>
  </si>
  <si>
    <t xml:space="preserve">Giraldo Villa </t>
  </si>
  <si>
    <t>danielgiraldo99-@hotmail.com</t>
  </si>
  <si>
    <t>02462146330</t>
  </si>
  <si>
    <t>Vereda El Higueron Río Negro</t>
  </si>
  <si>
    <t>servicios</t>
  </si>
  <si>
    <t>Servicios varios</t>
  </si>
  <si>
    <t>Lerma Carvajal</t>
  </si>
  <si>
    <t>catalerca@hotmail.com</t>
  </si>
  <si>
    <t>86582878309</t>
  </si>
  <si>
    <t>Barrio 19 de Enero Calle 46 No. 19-15</t>
  </si>
  <si>
    <t>Asistente de Calidades y Administrativa</t>
  </si>
  <si>
    <t>Qima Cofee Colombia S.A.S.</t>
  </si>
  <si>
    <t xml:space="preserve">Lady Johanna </t>
  </si>
  <si>
    <t>Salazar Pinilla</t>
  </si>
  <si>
    <t>lady.johanna.salazar@hotmail.com</t>
  </si>
  <si>
    <t>0550488442703960</t>
  </si>
  <si>
    <t>Mercedes del Norte Mz 25 Casa 8</t>
  </si>
  <si>
    <t xml:space="preserve">Albeiro </t>
  </si>
  <si>
    <t>Mz 2 casa 15 aires del Bosque Armenia</t>
  </si>
  <si>
    <t>cardonamiguelangel864@gmail.com</t>
  </si>
  <si>
    <t>Apto 102 T 2 Urb Chilacoa</t>
  </si>
  <si>
    <t>Ciudadela Chilacoa T32 Apto 303</t>
  </si>
  <si>
    <t xml:space="preserve">Jovany </t>
  </si>
  <si>
    <t xml:space="preserve">González </t>
  </si>
  <si>
    <t>Mz 26 - 14 Barrio La Patria</t>
  </si>
  <si>
    <t>rubencho_1111@hotmail.com</t>
  </si>
  <si>
    <t xml:space="preserve">Barrio Pinares </t>
  </si>
  <si>
    <t>Jennifer</t>
  </si>
  <si>
    <t>Obregon Henao</t>
  </si>
  <si>
    <t>jenniferobregonhenao@gmail.com</t>
  </si>
  <si>
    <t>03023045995</t>
  </si>
  <si>
    <t>Calle 74 bn No. 2-23 Brisas de los Alamos, Cali</t>
  </si>
  <si>
    <t>Kevin Esteban</t>
  </si>
  <si>
    <t xml:space="preserve">Baena Ramírez </t>
  </si>
  <si>
    <t>juridicosbaena@gmail.com</t>
  </si>
  <si>
    <t>76155093818</t>
  </si>
  <si>
    <t>Manzana F, casa 6, barrio villa juliana, Montenegro</t>
  </si>
  <si>
    <t xml:space="preserve">Jurídica </t>
  </si>
  <si>
    <t>Asociado junior</t>
  </si>
  <si>
    <t>Jairo</t>
  </si>
  <si>
    <t xml:space="preserve">Loaiza López </t>
  </si>
  <si>
    <t>jairoloaizalopez237@gmail.com</t>
  </si>
  <si>
    <t>Finca La Granjita, Alcalá, Valle del Cauca</t>
  </si>
  <si>
    <t xml:space="preserve">Royber de Jesús </t>
  </si>
  <si>
    <t>González Barrios</t>
  </si>
  <si>
    <t xml:space="preserve">Miguel de Jesús </t>
  </si>
  <si>
    <t xml:space="preserve">Botero Gonzalez </t>
  </si>
  <si>
    <t>Montenegro Alamos de Poporo T 1 APTO 401</t>
  </si>
  <si>
    <t>Eduardo Antonio</t>
  </si>
  <si>
    <t>Sepulveda Gómez</t>
  </si>
  <si>
    <t>Joan Denilson</t>
  </si>
  <si>
    <t>Agudelo Toro</t>
  </si>
  <si>
    <t>jdat2013@hotmail.com</t>
  </si>
  <si>
    <t>16800006953</t>
  </si>
  <si>
    <t>Cra. 25 No. 16-35 Calarcá</t>
  </si>
  <si>
    <t>Analista de Datos</t>
  </si>
  <si>
    <t>Oteca Capaz</t>
  </si>
  <si>
    <t>capazruben123@gmail.com</t>
  </si>
  <si>
    <t xml:space="preserve">Finca Rancholargo  </t>
  </si>
  <si>
    <t>Chacón Fajardo</t>
  </si>
  <si>
    <t>dahianasele2115@gmail.com</t>
  </si>
  <si>
    <t>Mz 10 casa 14 Brr San Andrés - Armenia</t>
  </si>
  <si>
    <t>315 3441717</t>
  </si>
  <si>
    <t>Luz Stella</t>
  </si>
  <si>
    <t>Villegas Gonzalez</t>
  </si>
  <si>
    <t>Luzstellav1@gmail.com</t>
  </si>
  <si>
    <t>16782343746</t>
  </si>
  <si>
    <t>Calle 63 No. 36-49 T 4 Apto 9903</t>
  </si>
  <si>
    <t>Trasnferencista</t>
  </si>
  <si>
    <t>doralilialopez1213@gmail.com</t>
  </si>
  <si>
    <t>Alto de la taza manzana A casa 03 circasia Quindio</t>
  </si>
  <si>
    <t>Nueva Eps</t>
  </si>
  <si>
    <t xml:space="preserve">Aristizabal Guzman </t>
  </si>
  <si>
    <t>aristizabalsandra445@gmail.com</t>
  </si>
  <si>
    <t>0665000200043204</t>
  </si>
  <si>
    <t>Manzana 3 casa 1 Barrio la Castilla</t>
  </si>
  <si>
    <t>Miller Lady</t>
  </si>
  <si>
    <t xml:space="preserve">Chavez Picon </t>
  </si>
  <si>
    <t>millerladychavez@gmail.com</t>
  </si>
  <si>
    <t>Barrio Veracruz Mz N Casa 2</t>
  </si>
  <si>
    <t>Cónyuge</t>
  </si>
  <si>
    <t>Dayana Dubraska</t>
  </si>
  <si>
    <t>Villegas Novoa</t>
  </si>
  <si>
    <t>dayanadvillegasn@gmail.com</t>
  </si>
  <si>
    <t>La Tebaida Ciudad Jardín mz 6 casa #4</t>
  </si>
  <si>
    <t>4247736402 - 3246280951</t>
  </si>
  <si>
    <t xml:space="preserve">Maria Andrea </t>
  </si>
  <si>
    <t xml:space="preserve">Silva Londoño </t>
  </si>
  <si>
    <t xml:space="preserve">andrea.londono.silva@gmail.com </t>
  </si>
  <si>
    <t>Calle 24N #19-24 edificio Aquauzul apto 804</t>
  </si>
  <si>
    <t>Felix Omar</t>
  </si>
  <si>
    <t>Sarmiento Parada</t>
  </si>
  <si>
    <t>gatofelix796@gmail.com</t>
  </si>
  <si>
    <t xml:space="preserve">La Tebaida Carrera 9 calle 14 </t>
  </si>
  <si>
    <t xml:space="preserve">Auxiliar de Cocina </t>
  </si>
  <si>
    <t>No Aplica</t>
  </si>
  <si>
    <t xml:space="preserve">Hernandez Montoya </t>
  </si>
  <si>
    <t>robin.hm@hotmail.com</t>
  </si>
  <si>
    <t>Barrio La Isabela Mz 17 Casa 22</t>
  </si>
  <si>
    <t xml:space="preserve">Michael Stiven </t>
  </si>
  <si>
    <t>López Blandon</t>
  </si>
  <si>
    <t>maybland20@gmail.com</t>
  </si>
  <si>
    <t>Bosques de Pinares Mz 9 No. 72 Armenia, Quindío</t>
  </si>
  <si>
    <t>Muñoz Naranjo</t>
  </si>
  <si>
    <t>Angela Veronica</t>
  </si>
  <si>
    <t>Castro Montoya</t>
  </si>
  <si>
    <t>veroniicacastro04@gmail.com</t>
  </si>
  <si>
    <t>Barrio La Cristalina Mz 3 Casa 7 Armenia</t>
  </si>
  <si>
    <t>Asistente de Habitaciones y Cocina</t>
  </si>
  <si>
    <t>Estefania</t>
  </si>
  <si>
    <t>Duque Aguilar</t>
  </si>
  <si>
    <t>estefaniaduque14@gmail.com</t>
  </si>
  <si>
    <t>Carrera 14 #1 - 100 Torre Avenida Bolivar Apto 1609 Armenia</t>
  </si>
  <si>
    <t xml:space="preserve">Elena Patricia </t>
  </si>
  <si>
    <t xml:space="preserve">Zapata Veragara </t>
  </si>
  <si>
    <t>ezapatavergra@gmail.com</t>
  </si>
  <si>
    <t>06908949721</t>
  </si>
  <si>
    <t xml:space="preserve"> calle 18 # 21_52</t>
  </si>
  <si>
    <t>312 7222346</t>
  </si>
  <si>
    <t>Veronica Mercedes</t>
  </si>
  <si>
    <t>Vasquez Zambrano</t>
  </si>
  <si>
    <t>vero85vasquez04@gmail.com</t>
  </si>
  <si>
    <t>Barrio Modelo calle 9 No. 23 e - 37</t>
  </si>
  <si>
    <t>Servicios generales</t>
  </si>
  <si>
    <t>Tatiana</t>
  </si>
  <si>
    <t>Sanchez Zambrano</t>
  </si>
  <si>
    <t>tati13sanchez93@gmail.com</t>
  </si>
  <si>
    <t>488444817107</t>
  </si>
  <si>
    <t xml:space="preserve">Manzana 31 Casa 12 Barrio La Nueva Tebaida </t>
  </si>
  <si>
    <t xml:space="preserve">Claudia Nubiola </t>
  </si>
  <si>
    <t>Ramirez Camacho</t>
  </si>
  <si>
    <t>Barrio Villa Carolina Segunda Etapa Manzana G # 31</t>
  </si>
  <si>
    <t xml:space="preserve">Auxiliar de Servicios Generales </t>
  </si>
  <si>
    <t>Dealma SAS</t>
  </si>
  <si>
    <t>Lina Tatiana</t>
  </si>
  <si>
    <t>Montaño Londoño</t>
  </si>
  <si>
    <t>Cantarito Manzana E2 No. 7 La Tebaida</t>
  </si>
  <si>
    <t>Salazar Cárdenas</t>
  </si>
  <si>
    <t>Condominio Campestre Hacienda Horizontes Casa Lote No. 46</t>
  </si>
  <si>
    <t>Lina Patricia</t>
  </si>
  <si>
    <t>Santa Gutierrez</t>
  </si>
  <si>
    <t>Rincón Giraldo</t>
  </si>
  <si>
    <t>Aprendiz sena etapa productiva</t>
  </si>
  <si>
    <t>cristianrincongiraldo@gmail.com</t>
  </si>
  <si>
    <t>Barrio Cooperativo Manzana H Casa 6</t>
  </si>
  <si>
    <t>Lucia Fernanda</t>
  </si>
  <si>
    <t>Echavarría Betancourt</t>
  </si>
  <si>
    <t xml:space="preserve">Claudia Milena </t>
  </si>
  <si>
    <t>Zapata Ardila</t>
  </si>
  <si>
    <t>claudiaza-114@hotmail.com</t>
  </si>
  <si>
    <t>03148610067</t>
  </si>
  <si>
    <t>Calle 30 número 31 - 93 interior 225 Bario Cancha la Esmeralda Medellín</t>
  </si>
  <si>
    <t xml:space="preserve">Julian Camilo </t>
  </si>
  <si>
    <t xml:space="preserve">Montero Concha </t>
  </si>
  <si>
    <t>vaalentiinaa27@gmail.com</t>
  </si>
  <si>
    <t xml:space="preserve">Manzana 6 Casa 17 Barrio La Patria </t>
  </si>
  <si>
    <t>Auxiliar de Cocina</t>
  </si>
  <si>
    <t>listo</t>
  </si>
  <si>
    <t xml:space="preserve">Daniela Alejandra </t>
  </si>
  <si>
    <t>Bonilla Sabogal</t>
  </si>
  <si>
    <t>danielabonilla.periodista@gmail.com</t>
  </si>
  <si>
    <t>Banco Scotiabank Colpatria</t>
  </si>
  <si>
    <t>Ahorros</t>
  </si>
  <si>
    <t>Av. Cll. 68 sur #69 - 45, manzana 7, casa 122. Barrio Casa Grande.</t>
  </si>
  <si>
    <t>Directora de cuentas</t>
  </si>
  <si>
    <t>o</t>
  </si>
  <si>
    <t xml:space="preserve">Pedro Luis </t>
  </si>
  <si>
    <t>Ospina Grisaldez</t>
  </si>
  <si>
    <t>pospina868@gmail.com</t>
  </si>
  <si>
    <t>finca la Elvira Alcalá Valle</t>
  </si>
  <si>
    <t xml:space="preserve">Finca La Elvira </t>
  </si>
  <si>
    <t>Buenas. Le escribo de Gómez Valencia Abogados. Envío  la información dada telefónicamente para su validación. Por favor confirmarla antes de su fecha de inicio. Estamos atentos</t>
  </si>
  <si>
    <t>Buen día. Envío la información dada por el trabajador antes de su fecha de inicio. Estamos atentos</t>
  </si>
  <si>
    <t>No. trabajador</t>
  </si>
  <si>
    <t>Clasificación del personal</t>
  </si>
  <si>
    <t>Auxilio no constitutivo de salario</t>
  </si>
  <si>
    <t xml:space="preserve"> </t>
  </si>
  <si>
    <t>Beneficiario EPS</t>
  </si>
  <si>
    <t>¿Quién?</t>
  </si>
  <si>
    <t>Anexos</t>
  </si>
  <si>
    <t>Beneficiario CCF</t>
  </si>
  <si>
    <t>No. de proceso</t>
  </si>
  <si>
    <t>Fecha de recepción</t>
  </si>
  <si>
    <t>Falta</t>
  </si>
  <si>
    <t>Fecha recordatorio de funciones</t>
  </si>
  <si>
    <t>Fecha diligencia de descargos</t>
  </si>
  <si>
    <t>Decisión</t>
  </si>
  <si>
    <t>Días suspensión</t>
  </si>
  <si>
    <t>inasistencia a trabajar</t>
  </si>
  <si>
    <t xml:space="preserve">Llamado de atención </t>
  </si>
  <si>
    <t>no cumplir con las ordenes impartidas</t>
  </si>
  <si>
    <t>Suspensión</t>
  </si>
  <si>
    <t>no entregar los dineros a su cargo al área encargada</t>
  </si>
  <si>
    <t>no presentarse a trabajar sin autorización o justificación alguna</t>
  </si>
  <si>
    <t>No. De trabajador</t>
  </si>
  <si>
    <t>Nombres y apellidos</t>
  </si>
  <si>
    <t>Estimado (a)</t>
  </si>
  <si>
    <t>Apellidos</t>
  </si>
  <si>
    <t>Tipo de identificación</t>
  </si>
  <si>
    <t>No. de identificación</t>
  </si>
  <si>
    <t>E.     S.     M.</t>
  </si>
  <si>
    <r>
      <t>Referencia:</t>
    </r>
    <r>
      <rPr>
        <sz val="12"/>
        <rFont val="Arial"/>
        <family val="2"/>
      </rPr>
      <t xml:space="preserve"> Llamado de atención</t>
    </r>
  </si>
  <si>
    <t xml:space="preserve">Es importante que tenga presente que si usted percibe inconvenientes o dificultades para cumplir con sus obligaciones deberá informar dicha situación a su superior inmediatamente; pues no hacerlo puede generar perjuicios económicos, comerciales, legales y/o reputacionales al Empleador. </t>
  </si>
  <si>
    <t>Le recordamos que el cumplimiento de las anteriores medidas es de carácter obligatorio y su incumplimiento es considerado como una falta grave calificada como tal en el Código Sustantivo del Trabajo, su contrato individual, en los reglamentos y políticas del Empleador.</t>
  </si>
  <si>
    <t>Lo invitamos a continuar trabajando con entusiasmo y dedicación dando cumplimiento a las normas establecidas.</t>
  </si>
  <si>
    <t>Esperamos comprenda la importancia de estos aspectos, lo cual no dudamos redundará en mayores beneficios para Usted y el Empleador.</t>
  </si>
  <si>
    <t xml:space="preserve">Cordialmente, </t>
  </si>
  <si>
    <t xml:space="preserve">Acepto, </t>
  </si>
  <si>
    <t>_______________________</t>
  </si>
  <si>
    <r>
      <t>Referencia:</t>
    </r>
    <r>
      <rPr>
        <sz val="12"/>
        <rFont val="Arial"/>
        <family val="2"/>
      </rPr>
      <t xml:space="preserve"> Recordatorio de funciones</t>
    </r>
  </si>
  <si>
    <t xml:space="preserve">Es importante que tenga presente que si usted percibe inconvenientes o dificultades para cumplir con sus obligaciones deberá informar dicha situación a su superior inmediatamente; pues no hacerlo podrá generar perjuicios económicos, comerciales, legales y/o reputacionales al Empleador. </t>
  </si>
  <si>
    <t xml:space="preserve">Por lo expuesto, sirva la presente comunicación para advertirle formalmente y por escrito con el fin de que actúe diligentemente, con la correcta planeación cuidado orden y responsabilidad que se requiere en su cargo. </t>
  </si>
  <si>
    <t>Lo invitamos a continuar trabajando con entusiasmo y dedicación dando cumplimiento a las normas establecidas por el Empleador.</t>
  </si>
  <si>
    <t>Esperamos comprenda la importancia de estos aspectos, lo cual no dudamos redundará en mayores beneficios para Usted y para el Empleador.</t>
  </si>
  <si>
    <t>CERTIFICA QUE:</t>
  </si>
  <si>
    <t>Cordialmente,</t>
  </si>
  <si>
    <t>_____________________________</t>
  </si>
  <si>
    <t>CONTRATO INDIVIDUAL DE TRABAJO</t>
  </si>
  <si>
    <t>Datos del Empleador</t>
  </si>
  <si>
    <t>Nombre apellidos/Razón social</t>
  </si>
  <si>
    <t>Representante legal</t>
  </si>
  <si>
    <t>Identificación representante</t>
  </si>
  <si>
    <t>Teléfono/ Celular</t>
  </si>
  <si>
    <t>Datos del Trabajador</t>
  </si>
  <si>
    <t>Nombre y apellidos</t>
  </si>
  <si>
    <t>Tipo de dentificación</t>
  </si>
  <si>
    <t>Dirección de residencia</t>
  </si>
  <si>
    <t>Teléfono/ celular</t>
  </si>
  <si>
    <t>Fecha de nacimiento</t>
  </si>
  <si>
    <t>Afiliación a entidades</t>
  </si>
  <si>
    <t>Salud (EPS)</t>
  </si>
  <si>
    <t>Pensiones (AFP)</t>
  </si>
  <si>
    <t>Cesantías (AFC)</t>
  </si>
  <si>
    <t>Medio de pago</t>
  </si>
  <si>
    <t>Tipo de cuenta</t>
  </si>
  <si>
    <t>No. de cuenta</t>
  </si>
  <si>
    <t>Condiciones particulares:</t>
  </si>
  <si>
    <t>Tipo de contrato</t>
  </si>
  <si>
    <t>Tipo de personal</t>
  </si>
  <si>
    <t>Fecha inicio</t>
  </si>
  <si>
    <t>Fecha terminación</t>
  </si>
  <si>
    <t>Lugar de trabajo</t>
  </si>
  <si>
    <t>Cargo que desempeñará</t>
  </si>
  <si>
    <t>Tipo salario</t>
  </si>
  <si>
    <t>Monto del salario</t>
  </si>
  <si>
    <t>Periodicidad</t>
  </si>
  <si>
    <t>Forma de pago</t>
  </si>
  <si>
    <t>Jornada</t>
  </si>
  <si>
    <t>Máxima legal vigente</t>
  </si>
  <si>
    <t xml:space="preserve">Las partes arriba identificadas hemos acordado celebrar el presente al Contrato Individual de Trabajo que se regirá por lo dispuesto en el Código Sustantivo del Trabajo, el Reglamentó de Trabajo y las condiciones del Contrato General de Trabajo vigente Versión 01 y sus anexos. Este contrato subroga y deja sin efecto cualquier otro acuerdo verbal o escrito de las partes con anterioridad e incorpora en lo que no se oponga, todas las políticas, códigos, manuales y/o reglamentos. </t>
  </si>
  <si>
    <t>El Trabajador declara que ha tenido acceso a un ejemplar de los reglamentos, manuales, códigos, políticas administrativas, laborales, de conducta o ética del Empleador, el Contrato General de Trabajo vigente Versión 01 y sus anexos, y, por lo tanto, estando de acuerdo con los mismos, se obliga a observarlos y cumplirlos. Su inobservancia, se califica desde ya como falta grave y puede conllevar la terminación del contrato de trabajo.</t>
  </si>
  <si>
    <t>El Empleador,</t>
  </si>
  <si>
    <t>El Trabajador,</t>
  </si>
  <si>
    <t>___________________________</t>
  </si>
  <si>
    <t>__________________________</t>
  </si>
  <si>
    <t>Señor(es)</t>
  </si>
  <si>
    <t>E.       S.     M.</t>
  </si>
  <si>
    <t>Por medio de la presente,declaro para todos los fines y efectos que, habiendo leído y comprendido, estoy totalmente de acuerdo y me comprometo a actuar conforme a los dispuesto en las políticas y reglamentos que se detallan a continuación:</t>
  </si>
  <si>
    <t>1. Protección de Datos Personales; 2. Reglamento de Trabajo; 3. Reglamento de Higiene y Seguridad Industrial; 4. Sistema de Gestión de Seguridad y Salud en el Trabajo; 5. Política Interna y de Servicio; 6. Acuerdo de Confidencialidad; 7. Manual de Funciones y/o perfil del cargo; 8. Plan Estratétigo de Seguridad Vial; 9. Plan de Emergencias; 10. Inducción al cargo; 11. Política de No Consumo de Alcohol, Tabaco y Sustancias Psicoactivas; 12. Contrato General de Trabajo y 13. Las demás políticas y reglamentos por el Empleador.</t>
  </si>
  <si>
    <t>Así mismo, declaro que he sido informado que el incumplimiento de cualquiera de las obligaciones y/o prohibiciones establecidas en dichos documentos se considera desde ya como una falta grave y podrá dar lugar a la imposición de sanciones disciplinarias establecidas en el Reglamento Interno de Trabajo; o a la terminación del vínculo laboral, si la gravedad de la falta así lo amerita según criterio del Empleador</t>
  </si>
  <si>
    <t>_________________________</t>
  </si>
  <si>
    <t>Fecha retiro</t>
  </si>
  <si>
    <t>Motivo</t>
  </si>
  <si>
    <t>Señores</t>
  </si>
  <si>
    <t>GEMA IPS</t>
  </si>
  <si>
    <r>
      <rPr>
        <b/>
        <sz val="12"/>
        <rFont val="Calibri"/>
        <family val="2"/>
        <scheme val="minor"/>
      </rPr>
      <t xml:space="preserve">REF.: </t>
    </r>
    <r>
      <rPr>
        <sz val="12"/>
        <rFont val="Calibri"/>
        <family val="2"/>
        <scheme val="minor"/>
      </rPr>
      <t>Autorización exámenes médicos de retiro</t>
    </r>
  </si>
  <si>
    <t>Tipo de documento</t>
  </si>
  <si>
    <t>No. de documento</t>
  </si>
  <si>
    <r>
      <rPr>
        <b/>
        <sz val="12"/>
        <rFont val="Calibri"/>
        <family val="2"/>
        <scheme val="minor"/>
      </rPr>
      <t>Horario de atención:</t>
    </r>
    <r>
      <rPr>
        <sz val="12"/>
        <rFont val="Calibri"/>
        <family val="2"/>
        <scheme val="minor"/>
      </rPr>
      <t xml:space="preserve"> lunes a viernes de 7:00 am a 11:00 md. 1:00 pm a 3:20pm - Sábados de 7:00 am a 10: 30 am.
</t>
    </r>
    <r>
      <rPr>
        <b/>
        <sz val="12"/>
        <rFont val="Calibri"/>
        <family val="2"/>
        <scheme val="minor"/>
      </rPr>
      <t>Teléfono:</t>
    </r>
    <r>
      <rPr>
        <sz val="12"/>
        <rFont val="Calibri"/>
        <family val="2"/>
        <scheme val="minor"/>
      </rPr>
      <t xml:space="preserve"> 606 736 2277 - 311 680 3353
</t>
    </r>
    <r>
      <rPr>
        <b/>
        <sz val="12"/>
        <rFont val="Calibri"/>
        <family val="2"/>
        <scheme val="minor"/>
      </rPr>
      <t xml:space="preserve">Dirección: </t>
    </r>
    <r>
      <rPr>
        <sz val="12"/>
        <rFont val="Calibri"/>
        <family val="2"/>
        <scheme val="minor"/>
      </rPr>
      <t>Calle 13 N # 13 - 57 Barrio la Castellana, Armenia, Q.
De conformidad con lo establecido en el numeral 7 del artículo 57 del Código Sustantivo del Trabajo, cuentan con un plazo de cinco días para la programación y realización del respectivo examen de retiro.</t>
    </r>
  </si>
  <si>
    <t>Señor(a)</t>
  </si>
  <si>
    <t>E.         S.      M.</t>
  </si>
  <si>
    <t>Asimismo, dando cumplimiento a lo previsto en la Resolución 2346 de 2007, adjunto encontrará la carta para que le sea practicado el examen médico de egreso.</t>
  </si>
  <si>
    <t>Agradecemos a usted los servicios prestados a la Compañía y le deseamos éxito en sus nuevas actividades.</t>
  </si>
  <si>
    <r>
      <rPr>
        <b/>
        <sz val="12"/>
        <rFont val="Calibri"/>
        <family val="2"/>
        <scheme val="minor"/>
      </rPr>
      <t xml:space="preserve">REF.: </t>
    </r>
    <r>
      <rPr>
        <sz val="12"/>
        <rFont val="Calibri"/>
        <family val="2"/>
        <scheme val="minor"/>
      </rPr>
      <t>Autorización retiro de cesantías</t>
    </r>
  </si>
  <si>
    <t>Contrato General de Trabajo</t>
  </si>
  <si>
    <t>El “Empleador”, reconoce la dedicación y esfuerzo de nuestros colaboradores, y por ello conscientes del impacto ambiental presentamos las Condiciones Generales del Contrato de Trabajo que regirá el vínculo laboral de los trabajadores con la Compañía, según las particularidades de cada caso. No obstante, se aclara que el presente contrato deberá interpretarse en su integridad con las normas generales del Código Sustantivo del Trabajo y las condiciones particulares indicadas en el contrato suscrito con cada trabajador.</t>
  </si>
  <si>
    <t xml:space="preserve">                                </t>
  </si>
  <si>
    <t>CLÁUSULAS</t>
  </si>
  <si>
    <r>
      <t xml:space="preserve">Primero.      </t>
    </r>
    <r>
      <rPr>
        <sz val="11"/>
        <rFont val="Arial"/>
        <family val="2"/>
      </rPr>
      <t>La Compañía contrata los servicios personales de los trabajadores para desempeñar en forma exclusiva las funciones inherentes al cargo, así como la ejecución de las tareas ordinarias, conexas y complementarias al mismo, de conformidad con los reglamentos, órdenes e instrucciones que le imparta la Compañía</t>
    </r>
    <r>
      <rPr>
        <b/>
        <sz val="11"/>
        <rFont val="Arial"/>
        <family val="2"/>
      </rPr>
      <t xml:space="preserve"> </t>
    </r>
    <r>
      <rPr>
        <sz val="11"/>
        <rFont val="Arial"/>
        <family val="2"/>
      </rPr>
      <t>o sus representantes, observando en su cumplimiento la diligencia y el cuidado necesario.</t>
    </r>
  </si>
  <si>
    <r>
      <t xml:space="preserve">Segundo.    </t>
    </r>
    <r>
      <rPr>
        <sz val="11"/>
        <rFont val="Arial"/>
        <family val="2"/>
      </rPr>
      <t>La duración del contrato dependerá de lo establecido en las Condiciones Particulares acordadas con cada trabajador. En todo caso, se tendrán en cuenta las siguientes precisiones:</t>
    </r>
  </si>
  <si>
    <r>
      <t>Término indefinido:</t>
    </r>
    <r>
      <rPr>
        <sz val="11"/>
        <rFont val="Arial"/>
        <family val="2"/>
      </rPr>
      <t xml:space="preserve"> Los (02) dos primeros meses del contrato se consideran como período de prueba y, por consiguiente, durante este período cualquiera de las partes podrá terminar el contrato unilateralmente. Vencido este término, la duración del contrato será indefinida, mientras subsistan las causas que le dieron origen. </t>
    </r>
  </si>
  <si>
    <r>
      <t>Término fijo inferior a un (01) año:</t>
    </r>
    <r>
      <rPr>
        <sz val="11"/>
        <rFont val="Arial"/>
        <family val="2"/>
      </rPr>
      <t xml:space="preserve"> El período de prueba será igual a la quinta parte del término inicialmente pactado, sin que exceda de (02) dos meses y, por consiguiente, durante este periodo cualquiera de las partes podrá terminar el contrato unilateralmente.</t>
    </r>
  </si>
  <si>
    <t>Si antes de la fecha de finalización señalada en las Condiciones Particulares de cada contrato o sus prorrogas, ninguna de las partes informa por escrito a la otra su decisión de no prorrogar el contrato con antelación no inferior a treinta (30) días, este se entenderá prorrogado por un periodo igual al inicialmente pactado. El contrato únicamente podrá prorrogarse sucesivamente hasta por tres (03) periodos adicionales al inicial, al cabo de los cuales, el término de renovación no podrá ser inferior a (01) un año y así sucesivamente.</t>
  </si>
  <si>
    <t>En los contratos a término fijo inferior a 30 días no existirá la obligación de dar el preaviso.</t>
  </si>
  <si>
    <r>
      <t xml:space="preserve">Obra o labor: </t>
    </r>
    <r>
      <rPr>
        <sz val="11"/>
        <rFont val="Arial"/>
        <family val="2"/>
      </rPr>
      <t>Sólo en la medida en que en el contrato por obra o labor se pueda establecer un periodo mínimo de duración del contrato, será posible pactar el periodo de prueba, el cual será igual a la quinta parte del término inicialmente pactado, sin que exceda de (02) dos meses y, por consiguiente, durante este periodo cualquiera de las partes podrá terminar el contrato unilateralmente.</t>
    </r>
  </si>
  <si>
    <r>
      <t xml:space="preserve">Parágrafo Primero:	  </t>
    </r>
    <r>
      <rPr>
        <sz val="11"/>
        <rFont val="Arial"/>
        <family val="2"/>
      </rPr>
      <t xml:space="preserve">En aplicación al principio de igualdad, los trabajadores podrán dar por terminado unilateralmente el contrato, preavisando al Empleador con treinta (15) días de anticipación. En caso de que los trabajadores den por terminado el contrato intempestivamente, deberán pagar al Empleador una indemnización equivalente a treinta (30) días de salario, más lo que corresponda por los perjuicios que se le ocasione. El Empleador podrá descontar el monto de la indemnización de la liquidación final de acreencias laborales. 
La Compañía queda en libertad en su momento de determinar si hace efectiva la indemnización o no, o si determina un menor valor. Los trabajadores autorizan desde ahora este descuento, entendiendo expresamente las partes que la presente autorización cumple las condiciones de orden escrita, previa y aplicable para cada caso.  
</t>
    </r>
  </si>
  <si>
    <r>
      <t xml:space="preserve">Tercero.       </t>
    </r>
    <r>
      <rPr>
        <sz val="11"/>
        <rFont val="Arial"/>
        <family val="2"/>
      </rPr>
      <t>Los trabajadores prestarán a la Compañía toda su capacidad normal de trabajo, la cual se desarrollará en los lugares que para tal efecto le asigne la Compañía de acuerdo con las necesidades del trabajo y la naturaleza de la labor contratada. Los trabajadores se obligan a prestar sus servicios en el lugar del territorio de Colombia que indicare la Compañía</t>
    </r>
    <r>
      <rPr>
        <b/>
        <sz val="11"/>
        <rFont val="Arial"/>
        <family val="2"/>
      </rPr>
      <t xml:space="preserve"> </t>
    </r>
    <r>
      <rPr>
        <sz val="11"/>
        <rFont val="Arial"/>
        <family val="2"/>
      </rPr>
      <t xml:space="preserve">y excepcionalmente fuera de dicho territorio si las necesidades del servicio así lo exigieren. El lugar u oficio asignado para la prestación del servicio podrá variar si se presentan razones objetivas que lo ameriten. </t>
    </r>
  </si>
  <si>
    <r>
      <t xml:space="preserve">Cuarto.          </t>
    </r>
    <r>
      <rPr>
        <sz val="11"/>
        <rFont val="Arial"/>
        <family val="2"/>
      </rPr>
      <t xml:space="preserve">Las Partes podrán acordar que la jornada semanal de 42 horas se realice mediante jornadas diarias flexibles de trabajo, distribuidas en máximo seis días a la semana con un día de descanso obligatorio, que podrá coincidir con el domingo. En este, el número de horas de trabajo diario podrá repartirse de manera variable durante la respectiva semana y podrá ser de mínimo 4 horas continuas y 10 horas diarias sin lugar a ningún recargo por trabajo suplementario, cuando el número de horas de trabajo no exceda el promedio de 42 horas semanales. </t>
    </r>
  </si>
  <si>
    <r>
      <t xml:space="preserve">Parágrafo 1.	</t>
    </r>
    <r>
      <rPr>
        <sz val="11"/>
        <rFont val="Arial"/>
        <family val="2"/>
      </rPr>
      <t xml:space="preserve">Teniendo en cuenta lo dispuesto en el artículo 3 de la Ley 2101 de 2021, la Compañía se acoge a la disminución de la jornada laboral en los términos allí establecidos. </t>
    </r>
  </si>
  <si>
    <r>
      <t>Parágrafo 2.</t>
    </r>
    <r>
      <rPr>
        <sz val="11"/>
        <rFont val="Arial"/>
        <family val="2"/>
      </rPr>
      <t xml:space="preserve">	Considerando las necesidades del servicio, la operación de la Compañía y la naturaleza de las funciones de los trabajadores, estos acuerdan expresamente una jornada flexible en los términos del artículo 161 del Código Sustantivo del Trabajo, modificado por la Ley 2101 de 202. Por lo anterior, las Partes de común acuerdo, pactan y aceptan que, para todos los efectos legales, el día de descanso obligatorio e institucionalizado de los trabajadores y los horarios de trabajo serán informados semanalmente con la debida antelación por la Compañía a través de los canales de comunicación establecidos para tal efecto. </t>
    </r>
  </si>
  <si>
    <r>
      <t xml:space="preserve">Parágrafo 3.	</t>
    </r>
    <r>
      <rPr>
        <sz val="11"/>
        <rFont val="Arial"/>
        <family val="2"/>
      </rPr>
      <t>Los trabajadores reconocen y aceptan que el trabajo realizado en los domingos no causará el recargo establecido en el artículo 26 de la Ley 789 de 2002, salvo que este fuere el día de descanso obligatorio que le corresponde; y que en caso de que labore el día de su descanso obligatorio institucionalizado, la Compañía reconocerá y pagará el correspondiente recargo dominical y los eventuales compensatorios, según lo previsto y ordenado en la ley.</t>
    </r>
  </si>
  <si>
    <r>
      <t xml:space="preserve">Parágrafo 4.	</t>
    </r>
    <r>
      <rPr>
        <sz val="11"/>
        <rFont val="Arial"/>
        <family val="2"/>
      </rPr>
      <t xml:space="preserve">Las horas de trabajo diarias estarán divididas en dos secciones con lapsos de descanso que se adaptan a la naturaleza de la labor que desempeñan los trabajadores. Los tiempos de descanso y/o de almuerzo no se computan dentro de la jornada ordinaria de trabajo. </t>
    </r>
  </si>
  <si>
    <r>
      <t xml:space="preserve">Parágrafo 5.	</t>
    </r>
    <r>
      <rPr>
        <sz val="11"/>
        <rFont val="Arial"/>
        <family val="2"/>
      </rPr>
      <t xml:space="preserve">La jornada de trabajo inicia en el sitio de trabajo o de la labor fijado por sus superiores jerárquicos y no en otro lugar o sitio dentro de las instalaciones de la Compañía. </t>
    </r>
  </si>
  <si>
    <r>
      <t xml:space="preserve">Parágrafo 6.	</t>
    </r>
    <r>
      <rPr>
        <sz val="11"/>
        <rFont val="Arial"/>
        <family val="2"/>
      </rPr>
      <t>La Compañía no reconocerá horas extras, recargos nocturnos, en días dominicales o festivos, si los trabajadores no han sido autorizados previamente y por escrito por un superior jerárquico para ejecutar tales labores, salvo cuando la necesidad de ejecutarlas se presente de manera imprevista, caso en el cual los trabajadores deberán ejecutarlas y darle aviso, a la mayor brevedad y por escrito a la Compañía, para su aprobación.</t>
    </r>
  </si>
  <si>
    <r>
      <t xml:space="preserve">Quinto.          </t>
    </r>
    <r>
      <rPr>
        <sz val="11"/>
        <rFont val="Arial"/>
        <family val="2"/>
      </rPr>
      <t>La clasificación del personal dependerá de lo establecido en las Condiciones Particulares acordadas con cada trabajador. En todo caso, se tendrán en cuenta las siguientes precisiones:</t>
    </r>
  </si>
  <si>
    <r>
      <t xml:space="preserve">Trabajadores ordinarios: </t>
    </r>
    <r>
      <rPr>
        <sz val="11"/>
        <rFont val="Arial"/>
        <family val="2"/>
      </rPr>
      <t>Se obligarán a laborar la jornada ordinaria de trabajo, en los turnos y dentro de los horarios que le indique la Compañía</t>
    </r>
    <r>
      <rPr>
        <b/>
        <sz val="11"/>
        <rFont val="Arial"/>
        <family val="2"/>
      </rPr>
      <t xml:space="preserve">. </t>
    </r>
    <r>
      <rPr>
        <sz val="11"/>
        <rFont val="Arial"/>
        <family val="2"/>
      </rPr>
      <t xml:space="preserve">Para el reconocimiento y pago del trabajo suplementario, recargos nocturnos, dominicales o festivos, la Compañía o sus representantes deberán haberlo autorizado previamente y por escrito. Cuando la necesidad de este trabajo se presente de manera imprevista o inaplazable, deberá ejecutarse y darse cuenta de él por escrito a la mayor brevedad a la Compañía o a sus representantes para su aprobación. En consecuencia, la Compañía no reconocerá ningún trabajo suplementario, o recargos por trabajo nocturno o en días de descanso obligatorio que no haya sido autorizado previamente o que, habiendo sido avisado inmediatamente, no haya sido aprobado por la Compañía. La Compañía, fijará las jornadas laborales de acuerdo con las necesidades del servicio, pudiendo estas variar durante la ejecución del presente contrato. </t>
    </r>
  </si>
  <si>
    <r>
      <t>Trabajadores de dirección, confianza o manejo:</t>
    </r>
    <r>
      <rPr>
        <sz val="11"/>
        <rFont val="Arial"/>
        <family val="2"/>
      </rPr>
      <t xml:space="preserve"> Estarán excluidos de la regulación sobre jornada máxima legal y, por lo tanto, deberán laborar todo el tiempo necesario para la ejecución de sus funciones y el cumplimiento de sus obligaciones, sin perjuicio de tener que cumplir los horarios mínimos señalados por la Compañía.</t>
    </r>
  </si>
  <si>
    <r>
      <t xml:space="preserve">Sexto.             </t>
    </r>
    <r>
      <rPr>
        <sz val="11"/>
        <rFont val="Arial"/>
        <family val="2"/>
      </rPr>
      <t xml:space="preserve">Los Trabajadores, desde ahora, aceptan expresamente que la Compañía, en virtud de su poder subordinante, realice todas las modificaciones de sus condiciones laborales, tales como jornada de trabajo, el lugar o sitio de la prestación del servicio, el cargo, oficio y/o responsabilidades y la forma de remuneración, siempre que tales modificaciones no afecten su honor, dignidad o sus derechos mínimos ni impliquen desmejoras sustanciales o graves perjuicios para aquellos, de conformidad con lo dispuesto en la ley laboral colombiana. </t>
    </r>
  </si>
  <si>
    <r>
      <t>De igual manera, se aclara y se conviene que los casos en los que los trabajadores</t>
    </r>
    <r>
      <rPr>
        <b/>
        <sz val="11"/>
        <rFont val="Arial"/>
        <family val="2"/>
      </rPr>
      <t xml:space="preserve"> </t>
    </r>
    <r>
      <rPr>
        <sz val="11"/>
        <rFont val="Arial"/>
        <family val="2"/>
      </rPr>
      <t>lleguen a devengar comisiones o cualquier otra modalidad de salario variable, el 82.5% de dichos ingresos se constituye como remuneración de la labor realizada y el 17.5% restante está destinado a remunerar el descanso de los días dominicales y festivos de que tratan los capítulos I y II del título VII del Código Sustantivo del Trabajo.</t>
    </r>
  </si>
  <si>
    <t>El salario pactado remunera las actividades que los trabajadores tengan que cumplir eventualmente en otras ciudades o en el exterior. La incidencia prestacional de los gastos que se ocasionen con motivo de la prestación de los servicios en otras ciudades o países, en el evento de que sean viáticos constitutivos de salario, está incluida dentro de la suma señalada como remuneración y, en caso de que se presente algún suministro en especie, las partes acuerdan que no constituye salario ni factor prestacional para ningún efecto laboral según lo establecido en el artículo 15 de la Ley 50 de 1990.</t>
  </si>
  <si>
    <r>
      <t>Salario ordinario:</t>
    </r>
    <r>
      <rPr>
        <sz val="11"/>
        <rFont val="Arial"/>
        <family val="2"/>
      </rPr>
      <t xml:space="preserve"> Dentro de este pago se encuentra incluida la remuneración de los descansos dominicales y festivos contemplados en los Capítulos I, II y III del Título VII del Código Sustantivo del Trabajo. </t>
    </r>
  </si>
  <si>
    <r>
      <t xml:space="preserve">Salario integral: </t>
    </r>
    <r>
      <rPr>
        <sz val="11"/>
        <rFont val="Arial"/>
        <family val="2"/>
      </rPr>
      <t>De acuerdo con lo señalado en el artículo 132 del Código Sustantivo del Trabajo, modificado por el artículo 18 de la Ley 50 de 1990, el salario integral está compuesto de la siguiente manera: a) Un componente remunerativo equivalente al 70% y b) Un componente o factor prestacional equivalente al 30%, el cual ya se encuentra incluido en la cifra identificada arriba, y además de retribuir el trabajo ordinario, compensa de antemano el valor de las prestaciones sociales, los recargos de cualquier clase (incluyendo pero sin limitarse a los recargos por trabajo nocturno, extraordinario o de horas extras, en días de descanso obligatorio, descansos dominicales y festivos), los beneficios, subsidios o suministros en dinero o en especie y, en general, todos los conceptos que conforme a la ley o por concesión extralegal recibiría si no tuviere salario integral, salvo las vacaciones.</t>
    </r>
  </si>
  <si>
    <r>
      <t xml:space="preserve">Octavo.         </t>
    </r>
    <r>
      <rPr>
        <sz val="11"/>
        <rFont val="Arial"/>
        <family val="2"/>
      </rPr>
      <t>Todos los beneficios o auxilios individuales, institucionales o extralegales, ocasionales o permanentes, que la Compañía le conceda a los trabajadores (si estos cumplen con los requisitos y condiciones para acceder a ellos) así como todo pago, beneficio o auxilio, incluidos auxilios por alimentación, salud, educación o vivienda o el pago de premios, primas o vacaciones extralegales o bonificaciones por cualquier concepto, ya sea en dinero o en especie, permisos, medios de transporte, cobertura en pólizas colectivas de automóviles, de vida o de medicina pre-pagada, uso personal de las herramientas de trabajo, cobertura en servicios de emergencias médicas, seguros de viajes, entre otros que lleguen a recibir los trabajadores que exceda en cualquier forma o por cualquier causa el salario acordado en sus respectivos contratos, no constituyen salario y en consecuencia no serán considerados para efectos de calcular el pago de descansos remunerados, indemnizaciones, contribuciones al sistema de protección social, y en general para el pago de cualquier otro concepto de carácter laboral que tenga como referencia el salario.</t>
    </r>
  </si>
  <si>
    <r>
      <t xml:space="preserve">Noveno.       </t>
    </r>
    <r>
      <rPr>
        <sz val="11"/>
        <rFont val="Arial"/>
        <family val="2"/>
      </rPr>
      <t>Las partes</t>
    </r>
    <r>
      <rPr>
        <b/>
        <sz val="11"/>
        <rFont val="Arial"/>
        <family val="2"/>
      </rPr>
      <t xml:space="preserve"> </t>
    </r>
    <r>
      <rPr>
        <sz val="11"/>
        <rFont val="Arial"/>
        <family val="2"/>
      </rPr>
      <t>tendrán las obligaciones y prohibiciones establecidas en los artículos 57 y 58 del Código Sustantivo del Trabajo y las que imponga el Reglamento Interno de Trabajo de</t>
    </r>
    <r>
      <rPr>
        <b/>
        <sz val="11"/>
        <rFont val="Arial"/>
        <family val="2"/>
      </rPr>
      <t xml:space="preserve"> </t>
    </r>
    <r>
      <rPr>
        <sz val="11"/>
        <rFont val="Arial"/>
        <family val="2"/>
      </rPr>
      <t>la Compañía, el presente Contrato y las políticas, códigos o demás reglamentos de</t>
    </r>
    <r>
      <rPr>
        <b/>
        <sz val="11"/>
        <rFont val="Arial"/>
        <family val="2"/>
      </rPr>
      <t xml:space="preserve"> </t>
    </r>
    <r>
      <rPr>
        <sz val="11"/>
        <rFont val="Arial"/>
        <family val="2"/>
      </rPr>
      <t>la Compañía. Así mismo, las partes</t>
    </r>
    <r>
      <rPr>
        <b/>
        <sz val="11"/>
        <rFont val="Arial"/>
        <family val="2"/>
      </rPr>
      <t xml:space="preserve"> </t>
    </r>
    <r>
      <rPr>
        <sz val="11"/>
        <rFont val="Arial"/>
        <family val="2"/>
      </rPr>
      <t>están sujetas a las prohibiciones establecidas en los artículos 59 y 60 del Código Sustantivo del Trabajo y las que imponga el Reglamento de Trabajo de</t>
    </r>
    <r>
      <rPr>
        <b/>
        <sz val="11"/>
        <rFont val="Arial"/>
        <family val="2"/>
      </rPr>
      <t xml:space="preserve"> </t>
    </r>
    <r>
      <rPr>
        <sz val="11"/>
        <rFont val="Arial"/>
        <family val="2"/>
      </rPr>
      <t>la Compañía, el presente Contrato y las políticas, códigos o demás reglamentos de</t>
    </r>
    <r>
      <rPr>
        <b/>
        <sz val="11"/>
        <rFont val="Arial"/>
        <family val="2"/>
      </rPr>
      <t xml:space="preserve"> </t>
    </r>
    <r>
      <rPr>
        <sz val="11"/>
        <rFont val="Arial"/>
        <family val="2"/>
      </rPr>
      <t>la Compañía. El incumplimiento total o parcial de cualquiera de estas obligaciones se considera, de ahora en adelante, como una falta grave y podrá dar lugar a la imposición de sanciones, tales como: amonestaciones; llamados de atención; y suspensiones del contrato de trabajo. Si la gravedad de la falta así lo amerita, podrá procederse con la terminación del vínculo laboral.</t>
    </r>
  </si>
  <si>
    <r>
      <t xml:space="preserve">Décimo.       </t>
    </r>
    <r>
      <rPr>
        <sz val="11"/>
        <rFont val="Arial"/>
        <family val="2"/>
      </rPr>
      <t>Como herramientas de trabajo los trabajadores podrán utilizar equipos de computador u otros según corresponda con software instalado por la Compañía. Está prohibido instalar cualquier clase de software sin autorización de la Compañía. Los trabajadores podrán ser los únicos responsables frente al titular de los derechos sobre el software, de la instalación sin autorización de software que realicen por su propia iniciativa; igualmente podrán ser responsables ante cualquier autoridad que por cualquier razón llegare a inspeccionar los equipos en uso. El software desarrollado o licenciado por la Compañía</t>
    </r>
    <r>
      <rPr>
        <b/>
        <sz val="11"/>
        <rFont val="Arial"/>
        <family val="2"/>
      </rPr>
      <t xml:space="preserve"> </t>
    </r>
    <r>
      <rPr>
        <sz val="11"/>
        <rFont val="Arial"/>
        <family val="2"/>
      </rPr>
      <t>sólo puede ser instalado en equipos de la Compañía. Si hay software instalado sin la autorización de la Compañía</t>
    </r>
    <r>
      <rPr>
        <b/>
        <sz val="11"/>
        <rFont val="Arial"/>
        <family val="2"/>
      </rPr>
      <t xml:space="preserve"> </t>
    </r>
    <r>
      <rPr>
        <sz val="11"/>
        <rFont val="Arial"/>
        <family val="2"/>
      </rPr>
      <t>en los equipos de cómputo que utilicen los trabajadores, estos son y serán los únicos responsables frente a las autoridades.</t>
    </r>
  </si>
  <si>
    <r>
      <t>Las herramientas de trabajo que reciban los trabajadores</t>
    </r>
    <r>
      <rPr>
        <b/>
        <sz val="11"/>
        <rFont val="Arial"/>
        <family val="2"/>
      </rPr>
      <t xml:space="preserve"> </t>
    </r>
    <r>
      <rPr>
        <sz val="11"/>
        <rFont val="Arial"/>
        <family val="2"/>
      </rPr>
      <t>para el desempeño de su cargo se entregarán a título de comodato y su uso y tenencia solo es permitida para el personal vinculado a la Compañía. Los trabajadores</t>
    </r>
    <r>
      <rPr>
        <b/>
        <sz val="11"/>
        <rFont val="Arial"/>
        <family val="2"/>
      </rPr>
      <t xml:space="preserve"> </t>
    </r>
    <r>
      <rPr>
        <sz val="11"/>
        <rFont val="Arial"/>
        <family val="2"/>
      </rPr>
      <t>se comprometen a emplear las herramientas de trabajo entregadas exclusivamente para la debida ejecución de sus funciones y a conservarlas en buen estado, salvo por su deterioro normal y natural, y a no prestarlos o permitir que sean usados por terceros no autorizados, por cuanto la custodia y tenencia de estos son su responsabilidad</t>
    </r>
    <r>
      <rPr>
        <b/>
        <sz val="11"/>
        <rFont val="Arial"/>
        <family val="2"/>
      </rPr>
      <t xml:space="preserve">. </t>
    </r>
    <r>
      <rPr>
        <sz val="11"/>
        <rFont val="Arial"/>
        <family val="2"/>
      </rPr>
      <t>Los trabajadores</t>
    </r>
    <r>
      <rPr>
        <b/>
        <sz val="11"/>
        <rFont val="Arial"/>
        <family val="2"/>
      </rPr>
      <t xml:space="preserve"> </t>
    </r>
    <r>
      <rPr>
        <sz val="11"/>
        <rFont val="Arial"/>
        <family val="2"/>
      </rPr>
      <t>tienen la obligación de notificar por escrito a la Compañía</t>
    </r>
    <r>
      <rPr>
        <b/>
        <sz val="11"/>
        <rFont val="Arial"/>
        <family val="2"/>
      </rPr>
      <t xml:space="preserve"> </t>
    </r>
    <r>
      <rPr>
        <sz val="11"/>
        <rFont val="Arial"/>
        <family val="2"/>
      </rPr>
      <t>inmediatamente cualquier daño o pérdida de los bienes entregados y de regresarlos a la Compañía</t>
    </r>
    <r>
      <rPr>
        <b/>
        <sz val="11"/>
        <rFont val="Arial"/>
        <family val="2"/>
      </rPr>
      <t xml:space="preserve"> </t>
    </r>
    <r>
      <rPr>
        <sz val="11"/>
        <rFont val="Arial"/>
        <family val="2"/>
      </rPr>
      <t>en las fechas que ésta les indique o a la terminación del contrato de trabajo por cualquier causa.</t>
    </r>
  </si>
  <si>
    <r>
      <t>En caso de pérdida o daño de los elementos de trabajo y bienes o mercancías de la Compañía</t>
    </r>
    <r>
      <rPr>
        <b/>
        <sz val="11"/>
        <rFont val="Arial"/>
        <family val="2"/>
      </rPr>
      <t xml:space="preserve">, </t>
    </r>
    <r>
      <rPr>
        <sz val="11"/>
        <rFont val="Arial"/>
        <family val="2"/>
      </rPr>
      <t>los trabajadores</t>
    </r>
    <r>
      <rPr>
        <b/>
        <sz val="11"/>
        <rFont val="Arial"/>
        <family val="2"/>
      </rPr>
      <t xml:space="preserve"> </t>
    </r>
    <r>
      <rPr>
        <sz val="11"/>
        <rFont val="Arial"/>
        <family val="2"/>
      </rPr>
      <t>de forma irrevocable, con la suscripción del presente contrato, autorizan a la Compañía</t>
    </r>
    <r>
      <rPr>
        <b/>
        <sz val="11"/>
        <rFont val="Arial"/>
        <family val="2"/>
      </rPr>
      <t xml:space="preserve"> </t>
    </r>
    <r>
      <rPr>
        <sz val="11"/>
        <rFont val="Arial"/>
        <family val="2"/>
      </rPr>
      <t>para que del valor de cualquier acreencia de carácter laboral que se puedan causar a su favor, durante la vigencia de la relación laboral o a su terminación de índole legal o extralegal, descuente el valor de reparación o reposición de los elementos de trabajo y bienes o mercancías, siempre que el daño o la pérdida se origine en la responsabilidad de los trabajadores</t>
    </r>
    <r>
      <rPr>
        <b/>
        <sz val="11"/>
        <rFont val="Arial"/>
        <family val="2"/>
      </rPr>
      <t xml:space="preserve"> </t>
    </r>
    <r>
      <rPr>
        <sz val="11"/>
        <rFont val="Arial"/>
        <family val="2"/>
      </rPr>
      <t>y se haya comprobado la culpa, aún sea levísima, o negligencia de estos</t>
    </r>
    <r>
      <rPr>
        <b/>
        <sz val="11"/>
        <rFont val="Arial"/>
        <family val="2"/>
      </rPr>
      <t xml:space="preserve"> </t>
    </r>
    <r>
      <rPr>
        <sz val="11"/>
        <rFont val="Arial"/>
        <family val="2"/>
      </rPr>
      <t>en el cuidado y custodia de los elementos de trabajo y bienes o mercancías de propiedad de la Compañía. Este mismo descuento lo autorizan los trabajadores</t>
    </r>
    <r>
      <rPr>
        <b/>
        <sz val="11"/>
        <rFont val="Arial"/>
        <family val="2"/>
      </rPr>
      <t xml:space="preserve"> </t>
    </r>
    <r>
      <rPr>
        <sz val="11"/>
        <rFont val="Arial"/>
        <family val="2"/>
      </rPr>
      <t>para el caso de que en cualquier circunstancia no devuelvan los elementos de trabajo y bienes o mercancías, ya sea a petición de la Compañía</t>
    </r>
    <r>
      <rPr>
        <b/>
        <sz val="11"/>
        <rFont val="Arial"/>
        <family val="2"/>
      </rPr>
      <t xml:space="preserve"> </t>
    </r>
    <r>
      <rPr>
        <sz val="11"/>
        <rFont val="Arial"/>
        <family val="2"/>
      </rPr>
      <t>o en el momento de la terminación del contrato de trabajo por cualquier causa.</t>
    </r>
  </si>
  <si>
    <r>
      <t xml:space="preserve">Undécimo. </t>
    </r>
    <r>
      <rPr>
        <sz val="11"/>
        <rFont val="Arial"/>
        <family val="2"/>
      </rPr>
      <t>Convienen las partes que todo lo que creen, inventen, descubran, desarrollen o mejoren los trabajadores</t>
    </r>
    <r>
      <rPr>
        <b/>
        <sz val="11"/>
        <rFont val="Arial"/>
        <family val="2"/>
      </rPr>
      <t xml:space="preserve"> </t>
    </r>
    <r>
      <rPr>
        <sz val="11"/>
        <rFont val="Arial"/>
        <family val="2"/>
      </rPr>
      <t>que se realice u origine durante la relación laboral son propiedad exclusiva, irrevocable, incondicional y por la máxima duración permitida por la ley de la Compañía</t>
    </r>
    <r>
      <rPr>
        <b/>
        <sz val="11"/>
        <rFont val="Arial"/>
        <family val="2"/>
      </rPr>
      <t xml:space="preserve"> </t>
    </r>
    <r>
      <rPr>
        <sz val="11"/>
        <rFont val="Arial"/>
        <family val="2"/>
      </rPr>
      <t>sin necesidad de autorización alguna, de conformidad con lo dispuesto por el artículo 8º de la Decisión 85 del Acuerdo de Cartagena, incorporado a la legislación colombiana mediante el Decreto 1190 de 1978. En consecuencia, la Compañía</t>
    </r>
    <r>
      <rPr>
        <b/>
        <sz val="11"/>
        <rFont val="Arial"/>
        <family val="2"/>
      </rPr>
      <t xml:space="preserve"> </t>
    </r>
    <r>
      <rPr>
        <sz val="11"/>
        <rFont val="Arial"/>
        <family val="2"/>
      </rPr>
      <t>tendrá el derecho de patentar a su nombre o a nombre de terceros esas invenciones, mejoras, o descubrimientos respetándose el derecho de los trabajadores</t>
    </r>
    <r>
      <rPr>
        <b/>
        <sz val="11"/>
        <rFont val="Arial"/>
        <family val="2"/>
      </rPr>
      <t xml:space="preserve"> </t>
    </r>
    <r>
      <rPr>
        <sz val="11"/>
        <rFont val="Arial"/>
        <family val="2"/>
      </rPr>
      <t>de ser mencionados como inventores o descubridores, si así lo desean. Los trabajadores</t>
    </r>
    <r>
      <rPr>
        <b/>
        <sz val="11"/>
        <rFont val="Arial"/>
        <family val="2"/>
      </rPr>
      <t xml:space="preserve"> </t>
    </r>
    <r>
      <rPr>
        <sz val="11"/>
        <rFont val="Arial"/>
        <family val="2"/>
      </rPr>
      <t>adquieren la obligación de celebrar los contratos que se requieran y llevar a cabo todos los actos necesarios para formalizar la cesión de derechos patrimoniales sobre dichas creaciones intelectuales o know-how ante las oficinas gubernamentales competentes.</t>
    </r>
  </si>
  <si>
    <r>
      <t xml:space="preserve">Duodécimo.    </t>
    </r>
    <r>
      <rPr>
        <sz val="11"/>
        <rFont val="Arial"/>
        <family val="2"/>
      </rPr>
      <t>Los trabajadores</t>
    </r>
    <r>
      <rPr>
        <b/>
        <sz val="11"/>
        <rFont val="Arial"/>
        <family val="2"/>
      </rPr>
      <t xml:space="preserve"> </t>
    </r>
    <r>
      <rPr>
        <sz val="11"/>
        <rFont val="Arial"/>
        <family val="2"/>
      </rPr>
      <t>se obligan a desempeñar las labores del cargo para los cuales fueron contratados con lealtad, buena fe, fidelidad, con pleno sentido ético y con completa transparencia con la Compañía y, por lo tanto, adquieren la obligación de que todos los asuntos que conozcan directa o indirectamente por razón de su cargo o por estar vinculados con la Compañía tendrán el carácter de reservados. Por tal motivo, no podrán copiar, transferir, duplicar, modificar, difundir, compartir, remitir, enviar, prestar o realizar cualquier acción con la cual pongan en riesgo o vulnere las políticas de confidencialidad de la Compañía cualquiera sea el medio a terceros o al personal vinculado con la Compañía que no deban conocerlos por razón de sus funciones. Tiene especial carácter de confidencial todo lo que tenga que ver con la situación financiera de la Compañía, su producción, procesos, operaciones comerciales, financieras, bancarias, administrativas, técnicas, Know-how (entendido como conocimiento no patentado), base de datos de toda clase, de recursos humanos, de clientes, contratistas o proveedores (incluyendo pero sin limitarse a información sobre el número de seguro social, tarjetas de crédito y/o direcciones de los clientes), software desarrollado o licenciado por la Compañía, fórmulas y procedimientos industriales, técnicos y comerciales. Igualmente, le está prohibido a los trabajadores</t>
    </r>
    <r>
      <rPr>
        <b/>
        <sz val="11"/>
        <rFont val="Arial"/>
        <family val="2"/>
      </rPr>
      <t xml:space="preserve"> </t>
    </r>
    <r>
      <rPr>
        <sz val="11"/>
        <rFont val="Arial"/>
        <family val="2"/>
      </rPr>
      <t>sacar, extraer o enviar por cualquier medio documentos, datos, informes, software por fuera de la Compañía con destino a terceros. Tampoco podrán permitir que otras personas, aún fuera de la Sociedad, lo hagan u omitir esa información a</t>
    </r>
    <r>
      <rPr>
        <b/>
        <sz val="11"/>
        <rFont val="Arial"/>
        <family val="2"/>
      </rPr>
      <t xml:space="preserve"> </t>
    </r>
    <r>
      <rPr>
        <sz val="11"/>
        <rFont val="Arial"/>
        <family val="2"/>
      </rPr>
      <t>la Compañía cuando tengan conocimiento. Los trabajadores</t>
    </r>
    <r>
      <rPr>
        <b/>
        <sz val="11"/>
        <rFont val="Arial"/>
        <family val="2"/>
      </rPr>
      <t xml:space="preserve"> </t>
    </r>
    <r>
      <rPr>
        <sz val="11"/>
        <rFont val="Arial"/>
        <family val="2"/>
      </rPr>
      <t>tienen la obligación de usar todas las precauciones razonables para garantizar que dicha información no sea revelada a personas no autorizadas o usada de manera fraudulenta.</t>
    </r>
    <r>
      <rPr>
        <b/>
        <sz val="11"/>
        <rFont val="Arial"/>
        <family val="2"/>
      </rPr>
      <t xml:space="preserve"> </t>
    </r>
    <r>
      <rPr>
        <sz val="11"/>
        <rFont val="Arial"/>
        <family val="2"/>
      </rPr>
      <t>La obligación de guardar la confidencialidad a la que se han comprometido los trabajadores perdurará aún después de terminado el contrato de trabajo cualquiera que sea su causa.</t>
    </r>
  </si>
  <si>
    <t>La anterior información tiene el carácter de propiedad intelectual y/o de secreto industrial y su divulgación o uso no autorizado están sujetos a sanciones, en virtud de lo dispuesto por la ley 44 de 1993 y el artículo 238 del Código Penal, y demás normas concordantes. Por lo anterior los trabajadores adquieren el compromiso de usar toda la información, especialmente la referente a Datos de Clientes o Prospectos de Clientes, únicamente para el desarrollo de las labores contempladas por la Compañía para la operación del proyecto al cual sea asignado</t>
  </si>
  <si>
    <t>Todos los originales y copias de dibujos, planos, manuales, correspondencia, notas, informes, cuadernos, fotografías, diseños y cualquier otro material grabado, impreso o escrito en cualquier forma relacionados con el negocio o con las operaciones de la Compañía y/o sus subsidiarias, filiales, vinculadas, subordinadas y/o cualquier otra compañía con la que tenga algún vínculo jurídico, hechos o recibidos por los trabajadores durante la vigencia del contrato de trabajo, son propiedad de la Compañía, y los trabajadores se obligan a entregarle a la Compañía los que se encuentren en su poder al terminar el contrato, o antes, si la Compañía lo requiere. Así mismo, los trabajadores devolverán a la Compañía cualquier otro artículo de propiedad de la Compañía y/o de sus subsidiarias, filiales, vinculadas, subordinadas y/o cualquier otra compañía con la que tenga algún vínculo jurídico que se encuentre en su poder a título de herramientas laborales, como, por ejemplo, teléfonos celulares, computadores portátiles, etc.</t>
  </si>
  <si>
    <t>Excepto en aquellos casos en que sea necesario por razón del trabajo, o en el caso en que la Compañía lo autorice previamente por escrito, los trabajadores no divulgarán a nadie, ni usará fuera del trabajo ni después de terminado el mismo, información confidencial de tipo técnico o de negocios de la Compañía y/o de sus subsidiarias, filiales, vinculadas, subordinadas y/o cualquier otra compañía que tenga algún vínculo jurídico. Esta misma obligación se extenderá a cualquier información proveniente de terceras personas que la Compañía y/o sus subsidiarias, filiales, vinculadas, subordinadas y/o cualquier otra compañía con la que tenga algún vínculo jurídico tengan la obligación de mantener confidencialmente, y de la cual tenga conocimiento los trabajadores en el curso de su trabajo. Los trabajadores se obligan a que las informaciones técnicas o de negocios conocidos por él de un anterior empleador o de terceras personas que comunique a la Compañía y/o a sus subsidiarias, filiales, vinculadas, subordinadas y/o cualquier otra compañía con la que tenga algún vínculo jurídico, estarán limitadas a aquellas que hubiere obtenido legalmente, sin restricción alguna de reserva.</t>
  </si>
  <si>
    <r>
      <t>Parágrafo primero</t>
    </r>
    <r>
      <rPr>
        <sz val="11"/>
        <rFont val="Arial"/>
        <family val="2"/>
      </rPr>
      <t>. – Para efectos de interpretar la presente cláusula se considera como secreto empresarial, y así lo aceptan expresamente los trabajadores; toda aquella información que reúna alguna de las siguientes condiciones: 1. Información que por su configuración no sea generalmente conocida ni fácilmente accesible por quienes se encuentran en los círculos que normalmente maneja la información respectiva; 2. Información que verse sobre cosas, procedimientos, hechos o actividades que tenga un valor comercial o competitivo; 3. Información que recaiga sobre procedimientos o experiencias industriales o comerciales, o que esté relacionada con la actividad de la empresa o su parte organizativa;4. En especial, la Compañía considera como secreto industrial o comercial: toda aquella información relacionada con el desarrollo de las operaciones. Conforme a lo establecido por la Decisión 486 de 2000, relativa al régimen de Propiedad Industrial, la Ley 256 de 1996 sobre Competencia Desleal y demás normas relacionadas, los trabajadores, cualquiera que sea la forma de vinculación que posean, que con ocasión a su trabajo, empleo, cargo, puesto, desempeño de su profesión o relación de negocios, que tenga acceso a un secreto empresarial, deberán abstenerse de usarla total o parcialmente, reproducirla, o divulgarla con el ánimo de obtener un provecho propio o de un tercero y/o de perjudicar al titular o poseedor legítimo de la información, prohibición ésta que perdurará durante la vigencia del presente contrato individual de trabajo o relación laboral y también con posterioridad a su terminación, a menos que exista el consentimiento previo, expreso y escrito de la Compañía para el efecto. Así mismo, los trabajadores</t>
    </r>
    <r>
      <rPr>
        <b/>
        <sz val="11"/>
        <rFont val="Arial"/>
        <family val="2"/>
      </rPr>
      <t xml:space="preserve"> </t>
    </r>
    <r>
      <rPr>
        <sz val="11"/>
        <rFont val="Arial"/>
        <family val="2"/>
      </rPr>
      <t>se obligan durante la vigencia de este contrato, y con posterioridad a su terminación, a abstenerse íntegramente de servirse de la información relacionada anteriormente con el fin de direccionar mercados.</t>
    </r>
  </si>
  <si>
    <r>
      <t>Parágrafo segundo</t>
    </r>
    <r>
      <rPr>
        <sz val="11"/>
        <rFont val="Arial"/>
        <family val="2"/>
      </rPr>
      <t>. –Debido a la naturaleza sensible de nuestra industria se considera como fraude, todo acto deshonesto donde sea claro el intento por parte de los trabajadores de obtener beneficio personal o de tercero al utilizar la información concerniente a números de tarjetas de crédito y débito, dígitos de verificación y claves obtenidos por el cliente o el ingresar, escribir o transmitir por cualquier medio los datos de tarjetas de crédito o débito de los clientes, dígitos de verificación o claves en un lugar distinto a los aplicativos o medios establecidos por la Compañía para tal fin.</t>
    </r>
  </si>
  <si>
    <r>
      <t>Parágrafo tercero</t>
    </r>
    <r>
      <rPr>
        <sz val="11"/>
        <rFont val="Arial"/>
        <family val="2"/>
      </rPr>
      <t>. – Los trabajadores se obligan a notificar a la Compañía, inmediatamente, cuando descubra cualquier uso o divulgación no autorizados de Información o Materiales Confidenciales o cualquier otra acción que afecte directa o indirectamente a la Compañía.</t>
    </r>
  </si>
  <si>
    <r>
      <t>Parágrafo cuarto</t>
    </r>
    <r>
      <rPr>
        <sz val="11"/>
        <rFont val="Arial"/>
        <family val="2"/>
      </rPr>
      <t>. – En caso de comprobarse un fraude o cualquier acción ilegal resultante de una alguna acción mal intencionada por parte de los trabajadores, la Compañía quedará plenamente facultado para adelantar en todo momento las acciones que se estimen convenientes ante las autoridades competentes de conformidad con las disposiciones y las leyes colombianas.</t>
    </r>
  </si>
  <si>
    <r>
      <t>Parágrafo quinto</t>
    </r>
    <r>
      <rPr>
        <sz val="11"/>
        <rFont val="Arial"/>
        <family val="2"/>
      </rPr>
      <t>. – El efecto de la presente cláusula será supletorio a todos los derechos que las partes puedan tener bajo la legislación vigente o cualquier otro convenio similar previamente firmado por los trabajadores. En caso de que alguna parte de lo pactado en las cláusulas anteriores sea declarada nula y sin efecto, el resto del contrato continuará en vigor.</t>
    </r>
  </si>
  <si>
    <r>
      <t xml:space="preserve">Parágrafo sexto. – </t>
    </r>
    <r>
      <rPr>
        <sz val="11"/>
        <rFont val="Arial"/>
        <family val="2"/>
      </rPr>
      <t>Los trabajadores</t>
    </r>
    <r>
      <rPr>
        <b/>
        <sz val="11"/>
        <rFont val="Arial"/>
        <family val="2"/>
      </rPr>
      <t xml:space="preserve"> </t>
    </r>
    <r>
      <rPr>
        <sz val="11"/>
        <rFont val="Arial"/>
        <family val="2"/>
      </rPr>
      <t xml:space="preserve">deberán indemnizar a la Compañía todos los perjuicios causados por la violación e incumplimiento de la obligación de reserva de que trata la cláusula anterior. El pago de la indemnización no excluye el cumplimiento de la obligación principal de reserva como tampoco desvirtúa la configuración de la justa causa para que la Compañía pueda dar por terminado el contrato individual de trabajo. </t>
    </r>
  </si>
  <si>
    <r>
      <t xml:space="preserve">Decimotercero.   </t>
    </r>
    <r>
      <rPr>
        <sz val="11"/>
        <rFont val="Arial"/>
        <family val="2"/>
      </rPr>
      <t>Los trabajadores están de acuerdo en cumplir con todas las leyes, regulaciones y órdenes gubernamentales aplicables en Colombia, vigentes o futuras, derivadas de su relación laboral con la Compañía junto con las políticas y regulaciones establecidas por esta.</t>
    </r>
  </si>
  <si>
    <r>
      <t>Los trabajadores confirman que han leído y entendido los términos de la Ley 1474 de 2011 (“Estatuto Anticorrupción”) y la Ley 1778 de 2016 (Soborno Transnacional), y se obliga a cumplir con las estipulaciones de esta. Por lo anterior, sin limitar las generalidades de lo anterior, los trabajadores se obligan a cumplir con la regulación aplicable en materia de anticorrupción, en especial con lo dispuesto por la Ley 1778 de 2016 (Soborno Transnacional) y la Ley 1474 de 2011 (Estatuto Anticorrupción) y en esta medida se compromete a que no realizará entrega, oferta o promesa de cualquier cosa de valor, directa o indirectamente en favor de: (i) cualquier funcionario público, oficial gubernamental, partido político, candidato a puesto oficial dentro del gobierno u organización pública internacional; o de (ii) cualquier otra persona, firma, corporación o sociedad, con conocimiento de que el total de la cantidad o bien el pago en especie sería entregado, pagado, ofrecido o prometido a algún funcionario público, oficial gubernamental, partido político, candidato a puesto oficial u organización pública internacional, con el propósito de obtener o retener cualquier negocio, o bien para obtener cualquier otra forma de ventaja desleal en relación con el negocio de</t>
    </r>
    <r>
      <rPr>
        <b/>
        <sz val="11"/>
        <rFont val="Arial"/>
        <family val="2"/>
      </rPr>
      <t xml:space="preserve"> </t>
    </r>
    <r>
      <rPr>
        <sz val="11"/>
        <rFont val="Arial"/>
        <family val="2"/>
      </rPr>
      <t>la Compañía.</t>
    </r>
  </si>
  <si>
    <r>
      <t xml:space="preserve">Decimocuarto.     </t>
    </r>
    <r>
      <rPr>
        <sz val="11"/>
        <rFont val="Arial"/>
        <family val="2"/>
      </rPr>
      <t>Cuando por cualquier causa emanada directa o indirectamente de la relación contractual existan obligaciones de tipo económico a cargo de los trabajadores</t>
    </r>
    <r>
      <rPr>
        <b/>
        <sz val="11"/>
        <rFont val="Arial"/>
        <family val="2"/>
      </rPr>
      <t xml:space="preserve"> </t>
    </r>
    <r>
      <rPr>
        <sz val="11"/>
        <rFont val="Arial"/>
        <family val="2"/>
      </rPr>
      <t xml:space="preserve">y a favor de la Compañía, ésta última procederá a efectuar las deducciones a que hubiere lugar en cualquier tiempo y; más concretamente, a la terminación del presente contrato, así lo autorizan desde ahora los trabajadores, entendiendo expresamente las partes que la presente autorización cumple las condiciones, de orden escrita, previa y aplicable para cada caso.  </t>
    </r>
  </si>
  <si>
    <r>
      <t xml:space="preserve">Decimoquinto.     </t>
    </r>
    <r>
      <rPr>
        <sz val="11"/>
        <rFont val="Arial"/>
        <family val="2"/>
      </rPr>
      <t>Las partes</t>
    </r>
    <r>
      <rPr>
        <b/>
        <sz val="11"/>
        <rFont val="Arial"/>
        <family val="2"/>
      </rPr>
      <t xml:space="preserve"> </t>
    </r>
    <r>
      <rPr>
        <sz val="11"/>
        <rFont val="Arial"/>
        <family val="2"/>
      </rPr>
      <t>convienen</t>
    </r>
    <r>
      <rPr>
        <b/>
        <sz val="11"/>
        <rFont val="Arial"/>
        <family val="2"/>
      </rPr>
      <t xml:space="preserve"> </t>
    </r>
    <r>
      <rPr>
        <sz val="11"/>
        <rFont val="Arial"/>
        <family val="2"/>
      </rPr>
      <t>que las notificaciones para los trabajadores</t>
    </r>
    <r>
      <rPr>
        <b/>
        <sz val="11"/>
        <rFont val="Arial"/>
        <family val="2"/>
      </rPr>
      <t xml:space="preserve"> </t>
    </r>
    <r>
      <rPr>
        <sz val="11"/>
        <rFont val="Arial"/>
        <family val="2"/>
      </rPr>
      <t>se surtirán a través de medios electrónicos y en consecuencia tendrán plena validez para todos los efectos legales de acuerdo con los parámetros establecidos en la Ley 527 de 1999, y demás normas concordantes.</t>
    </r>
  </si>
  <si>
    <r>
      <t xml:space="preserve">Decimosexto.       </t>
    </r>
    <r>
      <rPr>
        <sz val="11"/>
        <rFont val="Arial"/>
        <family val="2"/>
      </rPr>
      <t>Los trabajadores, para los efectos legales, se comprometen a informar por escrito y de manera inmediata a la Compañía</t>
    </r>
    <r>
      <rPr>
        <b/>
        <sz val="11"/>
        <rFont val="Arial"/>
        <family val="2"/>
      </rPr>
      <t xml:space="preserve"> </t>
    </r>
    <r>
      <rPr>
        <sz val="11"/>
        <rFont val="Arial"/>
        <family val="2"/>
      </rPr>
      <t>cualquier cambio en su dirección de residencia o de correo electrónico teniéndose en todo caso como suya, la última dirección registrada en su hoja de vida o en el respectivo contrato.</t>
    </r>
  </si>
  <si>
    <r>
      <t>Decimoséptimo.</t>
    </r>
    <r>
      <rPr>
        <sz val="11"/>
        <rFont val="Arial"/>
        <family val="2"/>
      </rPr>
      <t>Es claro para las partes que el presente contrato subroga y deja sin efecto cualquier otro contrato o acuerdo verbal o escrito de las partes con anterioridad e incorpora en lo que no se oponga al presente, todas las políticas administrativas y/o laborales, códigos de conducta o ética, manuales y reglamentos de</t>
    </r>
    <r>
      <rPr>
        <b/>
        <sz val="11"/>
        <rFont val="Arial"/>
        <family val="2"/>
      </rPr>
      <t xml:space="preserve"> </t>
    </r>
    <r>
      <rPr>
        <sz val="11"/>
        <rFont val="Arial"/>
        <family val="2"/>
      </rPr>
      <t xml:space="preserve">la Compañía. </t>
    </r>
  </si>
  <si>
    <r>
      <t xml:space="preserve">Decimoctavo.       </t>
    </r>
    <r>
      <rPr>
        <sz val="11"/>
        <rFont val="Arial"/>
        <family val="2"/>
      </rPr>
      <t xml:space="preserve">El presente contrato y los correspondientes anexos constituye el entendimiento y acuerdo total entre las partes, con respecto a las condiciones generales que regirán la relación laboral con los trabajadores, y por lo tanto sustituye y deja sin efecto cualquier instrucción, política o acuerdo que se hubiere comunicado a los trabajadores con anterioridad y que contradiga lo aquí establecido. </t>
    </r>
  </si>
  <si>
    <t>La Compañía,</t>
  </si>
  <si>
    <t>ANEXO 1 – PROTECCIÓN DE DATOS PERSONALES</t>
  </si>
  <si>
    <r>
      <t>A continuación se relaciona el acuerdo al que han llegado las partes respecto de la recopilación y el procesamiento de información de los trabajadores</t>
    </r>
    <r>
      <rPr>
        <b/>
        <sz val="11"/>
        <rFont val="Arial"/>
        <family val="2"/>
      </rPr>
      <t xml:space="preserve"> </t>
    </r>
    <r>
      <rPr>
        <sz val="11"/>
        <rFont val="Arial"/>
        <family val="2"/>
      </rPr>
      <t>por parte de la Compañía, así como todos los temas relacionados con la protección de los datos personales de los trabajadores</t>
    </r>
    <r>
      <rPr>
        <b/>
        <sz val="11"/>
        <rFont val="Arial"/>
        <family val="2"/>
      </rPr>
      <t xml:space="preserve"> </t>
    </r>
    <r>
      <rPr>
        <sz val="11"/>
        <rFont val="Arial"/>
        <family val="2"/>
      </rPr>
      <t>en vigencia de su relación laboral</t>
    </r>
    <r>
      <rPr>
        <b/>
        <sz val="11"/>
        <rFont val="Arial"/>
        <family val="2"/>
      </rPr>
      <t>.</t>
    </r>
  </si>
  <si>
    <r>
      <t>CONSIDERACIONES</t>
    </r>
    <r>
      <rPr>
        <sz val="11"/>
        <rFont val="Arial"/>
        <family val="2"/>
      </rPr>
      <t>:</t>
    </r>
  </si>
  <si>
    <t>1. En vigencia del contrato de trabajo suscrito entre las partes, la Compañía recopilará y procesará información identificable de los trabajadores, incluyendo pero sin limitarse a información general de los trabajadores (nombre, número de identificación, número de identificación profesional, teléfono, teléfono personal, dirección particular, títulos académicos), afiliaciones al Sistema de Protección Social y caja de compensación familiar, situación laboral, permisos de trabajo, información salarial, beneficios extralegales y, en general, información requerida por el área de nómina y de recursos humanos relacionada con los trabajadores (en adelante, los “Datos Personales”).</t>
  </si>
  <si>
    <t>2. La Compañía declara que los Datos Personales de los trabajadores se procesarán para fines relacionados con: la administración de contrataciones, administración del personal activo, administración de nóminas y otros pagos, afiliaciones al Sistema Integral de Seguridad Social y cajas de compensación familiar, pago de aportes parafiscales, afiliación al seguro de vida colectivo, afiliación a pólizas colectivas de salud, manejo de embargos judiciales a través de nómina, administración de salarios y beneficios extralegales, llevar a cabo evaluaciones de desempeño de los empleados, coordinar el desarrollo profesional de los empleados, permitir el acceso de los empleados a los recursos informáticos de la Compañía y prestarles asistencia en su utilización, planificar actividades empresariales y, en general, para el cumplimiento de obligaciones legales y, en especial, de las obligaciones que le asisten a la Compañía en su condición de empleador de sus trabajadores en Colombia.</t>
  </si>
  <si>
    <t>3. Los trabajadores declaran que son conscientes que la ejecución del contrato de trabajo y el cumplimiento de los fines relacionados en la Consideración 2 inmediatamente anterior no sería viable si la Compañía no pudiera recolectar y procesar sus Datos Personales.</t>
  </si>
  <si>
    <t>4. En virtud de lo anterior, las partes han acordado expresamente establecer con claridad las condiciones que van a regir la relación laboral que los vincula en lo relacionado con el procesamiento y administración de los Datos Personales de los trabajadores. Por lo tanto, las partes acuerdan lo previsto en las siguientes</t>
  </si>
  <si>
    <r>
      <t>CLÁUSULAS</t>
    </r>
    <r>
      <rPr>
        <sz val="11"/>
        <rFont val="Arial"/>
        <family val="2"/>
      </rPr>
      <t>:</t>
    </r>
  </si>
  <si>
    <t>1.- Con la firma del contrato de trabajo, cuya lectura se da en armonía con el contrato general de trabajo, los trabajadores declaran que el procesamiento de sus Datos Personales para los fines descritos en la Consideración 2 de este anexo, por parte de la Compañía, ha sido autorizado y así mismo acuerda y autoriza el procesamiento de los Datos Personales para los fines descritos en la Consideración 2 del este anexo, por parte de la Compañía que, para los efectos de este documento, siempre se considerará como el Responsable de los Datos Personales (en adelante "El Encargado"). El Encargado es una empresa domiciliada en Colombia e informará su participación en el procesamiento. El Encargado procesará los Datos Personales conforme al consentimiento otorgado por los trabajadores y cumpliendo con las obligaciones de la Ley 1581 de 2012, el Decreto 1377 de 2013 y demás normatividad que sea aplicable. Los trabajadores reconocen que la negativa a que el Encargado procese sus Datos Personales para los fines descritos en la Consideración 2 de este anexo, imposibilitaría la ejecución de su contrato de trabajo.</t>
  </si>
  <si>
    <t>2.- Los trabajadores autorizan a la Compañía y a otras compañías de la Organización informadas a estos, para que el procesamiento de los Datos Personales se realice en Colombia.</t>
  </si>
  <si>
    <t>3.- Los trabajadores así mismo declara conocer y aceptar que la Compañía puede requerir poner los Datos Personales o parte de ellos a disposición de las autoridades judiciales y administrativas ubicadas en Colombia.</t>
  </si>
  <si>
    <t>4.- Por último, en relación con los Datos Personales recolectados y tratados y de acuerdo con la Ley 1581 de 2012 y el Decreto 1377 de 2013, el Empleado declara que ha sido informado que tiene los siguientes derechos:</t>
  </si>
  <si>
    <t>a.   Conocer, actualizar y corregir sus Datos Personales. Los trabajadores pueden ejercer este derecho, entre otros, en relación con la información, parcial, inexacta, incompleta, dividida, información engañosa o cuyo tratamiento sea prohibido o no autorizado.</t>
  </si>
  <si>
    <t>b.   Requerir prueba del consentimiento otorgado para la recolección y el tratamiento de sus Datos Personales.</t>
  </si>
  <si>
    <t xml:space="preserve">c.   Ser informado por la Compañía del uso que se le han dado a sus Datos Personales. </t>
  </si>
  <si>
    <t>d.   Presentar quejas ante la Superintendencia de Industria y Comercio en el caso en que haya una violación por parte del Empleador, de las disposiciones de la Ley 1581 de 2012, el Decreto 1377 de 2013 y otras normas que los modifiquen, adicionen o complementen, de conformidad con las disposiciones sobre el requisito de procedibilidad establecido en el artículo 16 Ley 1581 de 2012.</t>
  </si>
  <si>
    <t>e.   Revocar la autorización otorgada para el tratamiento de sus Datos Personales.</t>
  </si>
  <si>
    <t>f.    Solicitar ser eliminado de su base de datos.</t>
  </si>
  <si>
    <t>g.   Tener acceso a sus Datos Personales que el Empleador haya recolectado y tratado.</t>
  </si>
  <si>
    <t>CONTRATO DE APRENDIZAJE</t>
  </si>
  <si>
    <t>Servicio Nacional de Aprendizaje SENA</t>
  </si>
  <si>
    <t>899.999034-1</t>
  </si>
  <si>
    <t>etapaproductivacyt@sena.edu.co</t>
  </si>
  <si>
    <t>Cra. 18 #7-58, Armenia, Quindío</t>
  </si>
  <si>
    <t>Datos de la Empresa Patrocinadora</t>
  </si>
  <si>
    <t>Datos del Aprendiz</t>
  </si>
  <si>
    <t xml:space="preserve">Medio de pago del apoyo del sostenimiento </t>
  </si>
  <si>
    <t>Contrato de Aprendizaje</t>
  </si>
  <si>
    <t>Programa de formación</t>
  </si>
  <si>
    <t>Tecnólogo en análisis y desarrollo de software</t>
  </si>
  <si>
    <t>Tipo de remuneración</t>
  </si>
  <si>
    <t xml:space="preserve">Apoyo de sostenimiento </t>
  </si>
  <si>
    <t>Monto del apoyo de sostenimiento</t>
  </si>
  <si>
    <t>Entre la empresa patrocinadora y el aprendiz hemos acordado celebrar el presente al Contrato de aprendizaje que se regirá por lo dispuesto en la Ley 789 de 2002 y demás normas concordantes y por lo previsto en las siguientes:</t>
  </si>
  <si>
    <r>
      <rPr>
        <b/>
        <sz val="11"/>
        <rFont val="Calibri"/>
        <family val="2"/>
        <scheme val="minor"/>
      </rPr>
      <t xml:space="preserve">Segundo. </t>
    </r>
    <r>
      <rPr>
        <sz val="11"/>
        <rFont val="Calibri"/>
        <family val="2"/>
        <scheme val="minor"/>
      </rPr>
      <t>Este contrato desarrollará la etapa practica descrita en las condiciones particulares, dentro de los términos de duración allí establecidos.</t>
    </r>
  </si>
  <si>
    <r>
      <t>Tercero. </t>
    </r>
    <r>
      <rPr>
        <sz val="11"/>
        <rFont val="Calibri"/>
        <family val="2"/>
        <scheme val="minor"/>
      </rPr>
      <t>Obligaciones de las Partes.</t>
    </r>
  </si>
  <si>
    <r>
      <rPr>
        <b/>
        <sz val="11"/>
        <rFont val="Calibri"/>
        <family val="2"/>
        <scheme val="minor"/>
      </rPr>
      <t>A.</t>
    </r>
    <r>
      <rPr>
        <sz val="11"/>
        <rFont val="Calibri"/>
        <family val="2"/>
        <scheme val="minor"/>
      </rPr>
      <t xml:space="preserve"> Por parte de la empresa patrocinadora:</t>
    </r>
  </si>
  <si>
    <r>
      <rPr>
        <b/>
        <sz val="11"/>
        <rFont val="Calibri"/>
        <family val="2"/>
        <scheme val="minor"/>
      </rPr>
      <t xml:space="preserve">1. </t>
    </r>
    <r>
      <rPr>
        <sz val="11"/>
        <rFont val="Calibri"/>
        <family val="2"/>
        <scheme val="minor"/>
      </rPr>
      <t>Facilitar al aprendiz los medios para que en la fase practica reciba formación profesional integral, metódica y completa en la ocupación u oficio materia del presente contrato.</t>
    </r>
  </si>
  <si>
    <r>
      <rPr>
        <b/>
        <sz val="11"/>
        <rFont val="Calibri"/>
        <family val="2"/>
        <scheme val="minor"/>
      </rPr>
      <t xml:space="preserve">3. </t>
    </r>
    <r>
      <rPr>
        <sz val="11"/>
        <rFont val="Calibri"/>
        <family val="2"/>
        <scheme val="minor"/>
      </rPr>
      <t>Reconocer mensualmente al aprendiz, por concepto de apoyo de sostenimiento mensual para el aprendizaje según corresponda:</t>
    </r>
  </si>
  <si>
    <t>3.1. Durante la etapa lectiva: El equivalente al 50% de un (1) salario mínimo mensual vigente.
3.2. Durante la etapa practica: El equivalente al 75% de un (1) salario mínimo mensual vigente.
3.3. El apoyo de sostenimiento durante la etapa practica será el 100% de un (1) salario mínimo mensual vigente cuando la tasa de          desempleo nacional promedio del año inmediatamente anterior sea menor del diez por ciento (10%).
3.4 Si el aprendiz es estudiante universitario el apoyo de sostenimiento mensual será equivalente al 100% de un (1) salario                     mínimo mensual vigente.</t>
  </si>
  <si>
    <r>
      <rPr>
        <b/>
        <sz val="11"/>
        <color rgb="FF000000"/>
        <rFont val="Calibri"/>
        <family val="2"/>
        <scheme val="minor"/>
      </rPr>
      <t xml:space="preserve">Parágrafo. </t>
    </r>
    <r>
      <rPr>
        <sz val="11"/>
        <color rgb="FF000000"/>
        <rFont val="Calibri"/>
        <family val="2"/>
        <scheme val="minor"/>
      </rPr>
      <t>El apoyo sostenimiento no constituye salario en forma alguna, ni podrá ser regulado a través de convenios o contratos colectivos o fallos arbitrales que recaigan sobre estos últimos.</t>
    </r>
  </si>
  <si>
    <r>
      <rPr>
        <b/>
        <sz val="11"/>
        <rFont val="Calibri"/>
        <family val="2"/>
        <scheme val="minor"/>
      </rPr>
      <t>4.</t>
    </r>
    <r>
      <rPr>
        <sz val="11"/>
        <rFont val="Calibri"/>
        <family val="2"/>
        <scheme val="minor"/>
      </rPr>
      <t xml:space="preserve"> Afiliar al aprendiz durante la etapa practica de su formación a la administradora de riesgos laborales.</t>
    </r>
  </si>
  <si>
    <r>
      <rPr>
        <b/>
        <sz val="11"/>
        <color rgb="FF000000"/>
        <rFont val="Calibri"/>
        <family val="2"/>
        <scheme val="minor"/>
      </rPr>
      <t xml:space="preserve">5. </t>
    </r>
    <r>
      <rPr>
        <sz val="11"/>
        <color rgb="FF000000"/>
        <rFont val="Calibri"/>
        <family val="2"/>
        <scheme val="minor"/>
      </rPr>
      <t>Afiliar al aprendiz y efectuar, durante las fases lectiva y/o practica de la formación, el pago de los aportes al sistema de seguridad social en salud a la EPS relacionada en el encabezado de este contrato, conforme al régimen de trabajadores independientes.</t>
    </r>
  </si>
  <si>
    <r>
      <rPr>
        <b/>
        <sz val="11"/>
        <color rgb="FF000000"/>
        <rFont val="Calibri"/>
        <family val="2"/>
        <scheme val="minor"/>
      </rPr>
      <t xml:space="preserve">6. </t>
    </r>
    <r>
      <rPr>
        <sz val="11"/>
        <color rgb="FF000000"/>
        <rFont val="Calibri"/>
        <family val="2"/>
        <scheme val="minor"/>
      </rPr>
      <t>Dar al aprendiz la dotación de seguridad industrial, cuando el desarrollo de la etapa practica así lo requiera, para la protección contra accidentes y enfermedades profesionales.</t>
    </r>
  </si>
  <si>
    <r>
      <rPr>
        <b/>
        <sz val="11"/>
        <color rgb="FF000000"/>
        <rFont val="Calibri"/>
        <family val="2"/>
        <scheme val="minor"/>
      </rPr>
      <t xml:space="preserve">B. </t>
    </r>
    <r>
      <rPr>
        <sz val="11"/>
        <color rgb="FF000000"/>
        <rFont val="Calibri"/>
        <family val="2"/>
        <scheme val="minor"/>
      </rPr>
      <t>Por parte del aprendiz:</t>
    </r>
  </si>
  <si>
    <r>
      <rPr>
        <b/>
        <sz val="11"/>
        <color rgb="FF000000"/>
        <rFont val="Calibri"/>
        <family val="2"/>
        <scheme val="minor"/>
      </rPr>
      <t>2.</t>
    </r>
    <r>
      <rPr>
        <sz val="11"/>
        <color rgb="FF000000"/>
        <rFont val="Calibri"/>
        <family val="2"/>
        <scheme val="minor"/>
      </rPr>
      <t xml:space="preserve"> Concurrir puntualmente al lugar asignado por la empresa patrocinadora para desarrollar su formación en la fase práctica, durante el periodo establecido para el mismo, en las actividades que se le encomiende y que guarde relación con la formación, cumpliendo con las indicaciones que le señale la empresa patrocinadora.</t>
    </r>
  </si>
  <si>
    <r>
      <rPr>
        <b/>
        <sz val="11"/>
        <rFont val="Calibri"/>
        <family val="2"/>
        <scheme val="minor"/>
      </rPr>
      <t xml:space="preserve">3. </t>
    </r>
    <r>
      <rPr>
        <sz val="11"/>
        <rFont val="Calibri"/>
        <family val="2"/>
        <scheme val="minor"/>
      </rPr>
      <t>Proporcionar la información necesaria para que la empresa patrocinadora lo afilie como trabajador aprendiz al sistema de seguridad social en salud en la Entidades Promotoras de Salud (EPS), que elija.</t>
    </r>
  </si>
  <si>
    <r>
      <rPr>
        <b/>
        <sz val="11"/>
        <rFont val="Calibri"/>
        <family val="2"/>
        <scheme val="minor"/>
      </rPr>
      <t xml:space="preserve">4. </t>
    </r>
    <r>
      <rPr>
        <sz val="11"/>
        <rFont val="Calibri"/>
        <family val="2"/>
        <scheme val="minor"/>
      </rPr>
      <t>Cumplir con las tareas y labores que les sean encomendadas de acuerdo con las instrucciones entregadas por la empresa patrocinadora.</t>
    </r>
  </si>
  <si>
    <r>
      <rPr>
        <b/>
        <sz val="11"/>
        <color rgb="FF000000"/>
        <rFont val="Calibri"/>
        <family val="2"/>
        <scheme val="minor"/>
      </rPr>
      <t xml:space="preserve">5. </t>
    </r>
    <r>
      <rPr>
        <sz val="11"/>
        <color rgb="FF000000"/>
        <rFont val="Calibri"/>
        <family val="2"/>
        <scheme val="minor"/>
      </rPr>
      <t>Informar oportunamente las solicitudes o novedades (Traslados, Aplazamiento, Retiro o Reingreso, incapacidades, entre otras)</t>
    </r>
  </si>
  <si>
    <r>
      <rPr>
        <b/>
        <sz val="11"/>
        <rFont val="Calibri"/>
        <family val="2"/>
        <scheme val="minor"/>
      </rPr>
      <t xml:space="preserve">6. </t>
    </r>
    <r>
      <rPr>
        <sz val="11"/>
        <rFont val="Calibri"/>
        <family val="2"/>
        <scheme val="minor"/>
      </rPr>
      <t>Conservar y mantener en buen estado, orden y aseo, las instalaciones físicas, equipos y herramientas de la empresa patrocinadora.</t>
    </r>
  </si>
  <si>
    <r>
      <rPr>
        <b/>
        <sz val="11"/>
        <color rgb="FF000000"/>
        <rFont val="Calibri"/>
        <family val="2"/>
        <scheme val="minor"/>
      </rPr>
      <t xml:space="preserve">7. </t>
    </r>
    <r>
      <rPr>
        <sz val="11"/>
        <color rgb="FF000000"/>
        <rFont val="Calibri"/>
        <family val="2"/>
        <scheme val="minor"/>
      </rPr>
      <t>Hacer uso apropiado de los equipos y/o herramientas que la empresa patrocinadora ponga a su disposición para su proceso de aprendizaje, asumiendo responsabilidad legal.</t>
    </r>
  </si>
  <si>
    <r>
      <rPr>
        <b/>
        <sz val="11"/>
        <color rgb="FF000000"/>
        <rFont val="Calibri"/>
        <family val="2"/>
        <scheme val="minor"/>
      </rPr>
      <t xml:space="preserve">9. </t>
    </r>
    <r>
      <rPr>
        <sz val="11"/>
        <color rgb="FF000000"/>
        <rFont val="Calibri"/>
        <family val="2"/>
        <scheme val="minor"/>
      </rPr>
      <t>Portar permanentemente y en lugar visible el carnet que lo identifica como Aprendiz.</t>
    </r>
  </si>
  <si>
    <r>
      <rPr>
        <b/>
        <sz val="11"/>
        <color rgb="FF000000"/>
        <rFont val="Calibri"/>
        <family val="2"/>
        <scheme val="minor"/>
      </rPr>
      <t xml:space="preserve">10. </t>
    </r>
    <r>
      <rPr>
        <sz val="11"/>
        <color rgb="FF000000"/>
        <rFont val="Calibri"/>
        <family val="2"/>
        <scheme val="minor"/>
      </rPr>
      <t>Verificar el registro de su contrato de aprendizaje.</t>
    </r>
  </si>
  <si>
    <r>
      <rPr>
        <b/>
        <sz val="11"/>
        <color rgb="FF000000"/>
        <rFont val="Calibri"/>
        <family val="2"/>
        <scheme val="minor"/>
      </rPr>
      <t xml:space="preserve">11. </t>
    </r>
    <r>
      <rPr>
        <sz val="11"/>
        <color rgb="FF000000"/>
        <rFont val="Calibri"/>
        <family val="2"/>
        <scheme val="minor"/>
      </rPr>
      <t xml:space="preserve">Informar a la empresa patrocinadora cuando se consignen valores superiores en la nómina, respecto a lo correspondiente según la asignación mensual  </t>
    </r>
  </si>
  <si>
    <r>
      <rPr>
        <b/>
        <sz val="11"/>
        <color rgb="FF000000"/>
        <rFont val="Calibri"/>
        <family val="2"/>
        <scheme val="minor"/>
      </rPr>
      <t xml:space="preserve">Quinto. </t>
    </r>
    <r>
      <rPr>
        <sz val="11"/>
        <color rgb="FF000000"/>
        <rFont val="Calibri"/>
        <family val="2"/>
        <scheme val="minor"/>
      </rPr>
      <t xml:space="preserve">El presente contrato se podrá suspender temporalmente en los siguientes casos: a) Licencia de maternidad. b) Incapacidades medicas expedidas o transcritas por la Entidades Promotoras de Salud (EPS) relacionada en las condiciones particulares del presente contrato. c) Caso fortuito o fuerza mayor debidamente certificada o constatada, d) Vacaciones por parte de la empresa patrocinadora, siempre y cuando el aprendiz se encuentre desarrollando la etapa práctica. </t>
    </r>
  </si>
  <si>
    <r>
      <rPr>
        <b/>
        <sz val="11"/>
        <color rgb="FF000000"/>
        <rFont val="Calibri"/>
        <family val="2"/>
        <scheme val="minor"/>
      </rPr>
      <t>parágrafo.</t>
    </r>
    <r>
      <rPr>
        <sz val="11"/>
        <color rgb="FF000000"/>
        <rFont val="Calibri"/>
        <family val="2"/>
        <scheme val="minor"/>
      </rPr>
      <t xml:space="preserve"> Durante la suspensión, el contrato se encontrará vigente, pero la empresa patrocinadora no tendrá la obligación de seguir pagando el valor del apoyo de sostenimiento, pero si deberá seguir pagando lo relacionado con la seguridad social.</t>
    </r>
  </si>
  <si>
    <r>
      <rPr>
        <b/>
        <sz val="11"/>
        <color rgb="FF010101"/>
        <rFont val="Calibri"/>
        <family val="2"/>
        <scheme val="minor"/>
      </rPr>
      <t xml:space="preserve">séptimo. </t>
    </r>
    <r>
      <rPr>
        <sz val="11"/>
        <color rgb="FF000000"/>
        <rFont val="Calibri"/>
        <family val="2"/>
        <scheme val="minor"/>
      </rPr>
      <t>El presente contrato no implica relación laboral alguna entre las partes, y se regirá en todas sus partes por el articulo 30 y siguientes de la ley 789 de 2002 y demás normas concordantes.</t>
    </r>
  </si>
  <si>
    <t>Por medio de la presente, declaro para todos los fines y efectos que, habiendo leído y comprendido, estoy totalmente de acuerdo y me comprometo a actuar conforme a los dispuesto en las políticas y reglamentos que se detallan a continuación:</t>
  </si>
  <si>
    <t>Nombre y apellidos/ Razón social:</t>
  </si>
  <si>
    <t xml:space="preserve">Tipo de documento </t>
  </si>
  <si>
    <t>Número de documento</t>
  </si>
  <si>
    <t xml:space="preserve">Representante: </t>
  </si>
  <si>
    <t>Tipo de documento representante:</t>
  </si>
  <si>
    <t xml:space="preserve">Identificación Representante: </t>
  </si>
  <si>
    <t xml:space="preserve">Teléfono: </t>
  </si>
  <si>
    <t>Correo electrónico:</t>
  </si>
  <si>
    <t>Dirección:</t>
  </si>
  <si>
    <t>Ciudad</t>
  </si>
  <si>
    <t>Periodicidad de pago</t>
  </si>
  <si>
    <t>NIT.</t>
  </si>
  <si>
    <t>901588861-7</t>
  </si>
  <si>
    <t>Sandra Carolina Gutierrez B</t>
  </si>
  <si>
    <t>carolina.gutierrez@agenciaalquimia.com</t>
  </si>
  <si>
    <t>Cr 14 No. 01 -13, Ed. Baleares Of 22</t>
  </si>
  <si>
    <t>Armenia, Quindío</t>
  </si>
  <si>
    <t>Quincenal</t>
  </si>
  <si>
    <t>901573353-4</t>
  </si>
  <si>
    <t>Alberto Montoya F</t>
  </si>
  <si>
    <t>amontoya@ameragrubs.com</t>
  </si>
  <si>
    <t>Km 1 Vía Jardines</t>
  </si>
  <si>
    <t>Cédula de extranjería</t>
  </si>
  <si>
    <t>Cll 16 A Sur No. 34-85</t>
  </si>
  <si>
    <t>Medellín, Antioquía</t>
  </si>
  <si>
    <t>901540633-7</t>
  </si>
  <si>
    <t>Maria Gomez M</t>
  </si>
  <si>
    <t>familiagomezmontoya07@gmail.ocm</t>
  </si>
  <si>
    <t>Cr 14 No. 35 Norte-18, Ed Ícono, Of 703</t>
  </si>
  <si>
    <t>Tebaida, Quindío</t>
  </si>
  <si>
    <t>901596692-2</t>
  </si>
  <si>
    <t>Juan Daniel Valencia E</t>
  </si>
  <si>
    <t>cevicheriaelsolar@gmail.com</t>
  </si>
  <si>
    <t>Cr 10 No. 11 Norte-40</t>
  </si>
  <si>
    <t>Eunice Ramirez de Agudelo</t>
  </si>
  <si>
    <t>Cedula de ciudadania</t>
  </si>
  <si>
    <t>Av el Eden Km 4 la Cabaña</t>
  </si>
  <si>
    <t>901540546-4</t>
  </si>
  <si>
    <t>Maria Gomez Montoya</t>
  </si>
  <si>
    <t>gomezvalencia2022@gmail.com</t>
  </si>
  <si>
    <t>700047488-2</t>
  </si>
  <si>
    <t>regorio313@hotmail.com</t>
  </si>
  <si>
    <t>901375741-7</t>
  </si>
  <si>
    <t>Gabriel Buendía G</t>
  </si>
  <si>
    <t>contacto@baronesa.co</t>
  </si>
  <si>
    <t>Km 10 Vía El Eden, Mall Paraíso, Local 7</t>
  </si>
  <si>
    <t>901597602-4</t>
  </si>
  <si>
    <t>David García Montoya</t>
  </si>
  <si>
    <t>FCA LOS ALAMOS VRD MURILLO</t>
  </si>
  <si>
    <t>901586586-7</t>
  </si>
  <si>
    <t>Luis Fernando García A</t>
  </si>
  <si>
    <t>Cr 22 No. 21-50</t>
  </si>
  <si>
    <t>901065633-1</t>
  </si>
  <si>
    <t>Monica Beatriz Giraldo O</t>
  </si>
  <si>
    <t>admonmoempa@gmail.com</t>
  </si>
  <si>
    <t>Calle 3 Norte No. 13-100, Ed Torre 100, Local 7</t>
  </si>
  <si>
    <t>ivanguti53@hotmail.com</t>
  </si>
  <si>
    <t xml:space="preserve">Finca el Sinu Montenegro  </t>
  </si>
  <si>
    <t>901763554 - 0</t>
  </si>
  <si>
    <t>Juan Pablo López Palacio</t>
  </si>
  <si>
    <t>gerencia@lacava.com.co</t>
  </si>
  <si>
    <t>Km 12 via armenia el caimo, Iraka Mall</t>
  </si>
  <si>
    <t>901099084-2</t>
  </si>
  <si>
    <t>Carolina Lederer</t>
  </si>
  <si>
    <t>administrative@lederer-group.org</t>
  </si>
  <si>
    <t>Condominio Pontevedra Casa 18</t>
  </si>
  <si>
    <t>dianla8078@gmail.com</t>
  </si>
  <si>
    <t>Finca Rancho Largo, La Tebaida</t>
  </si>
  <si>
    <t xml:space="preserve">Calle 13 Norte 10 149 </t>
  </si>
  <si>
    <t>700034761 - 2</t>
  </si>
  <si>
    <t>mariajosearistizabalr@gmail.com</t>
  </si>
  <si>
    <t xml:space="preserve">Vereda Calle Larga Finca las Delicias Botanikal Casa de Campo - Montenegro Quindío </t>
  </si>
  <si>
    <t>Montenegro, Quindío</t>
  </si>
  <si>
    <t>guairita308@hotmail.com</t>
  </si>
  <si>
    <t>Cll 11 Norte No. 9-55, Casa 14</t>
  </si>
  <si>
    <t>900545648 - 6</t>
  </si>
  <si>
    <t>901.633.075 - 7</t>
  </si>
  <si>
    <t>Cl 27 No. 5 A 12</t>
  </si>
  <si>
    <t>O4 GT Sudamerica S.A.S.</t>
  </si>
  <si>
    <t>901380962-8</t>
  </si>
  <si>
    <t>Ana Maria Alvarez Jaramillo</t>
  </si>
  <si>
    <t>amalvarez@garoe.com.co</t>
  </si>
  <si>
    <t>Cr 42 No. 3 Sur-81, Of 617</t>
  </si>
  <si>
    <t>901145571-5</t>
  </si>
  <si>
    <t>Alejandra Garzón S</t>
  </si>
  <si>
    <t>supertintasgerencia@gmail.com</t>
  </si>
  <si>
    <t>Cll 22 No. 16-54, Ed Cervantes, Of 208</t>
  </si>
  <si>
    <t>901252224-2</t>
  </si>
  <si>
    <t>Marcela Echeverry P</t>
  </si>
  <si>
    <t>Km 2 Vía Armenia Circasia</t>
  </si>
  <si>
    <t>valentinagrhsas@gmail.com</t>
  </si>
  <si>
    <t>Cr 5 No. 23-63</t>
  </si>
  <si>
    <t>Cali, Valle del Cauca</t>
  </si>
  <si>
    <t>901708834-4</t>
  </si>
  <si>
    <t xml:space="preserve">María Cristina Gonzalez Restrepo </t>
  </si>
  <si>
    <t>reservas@paltahotel.com</t>
  </si>
  <si>
    <t>Km. 5 vía Montenegro</t>
  </si>
  <si>
    <t>Nit.</t>
  </si>
  <si>
    <t xml:space="preserve">900.714.355 - 9 </t>
  </si>
  <si>
    <t>Paola Obando Rua</t>
  </si>
  <si>
    <t>mocawaplazaph@gmail.com</t>
  </si>
  <si>
    <t>Avenida Bolívar 9 N 40</t>
  </si>
  <si>
    <t>901.371.867 - 8</t>
  </si>
  <si>
    <t xml:space="preserve">Angélica María Ariza Velasquez </t>
  </si>
  <si>
    <t>facturacion@zebragroup.com.co</t>
  </si>
  <si>
    <t>CL 144 7 C 24 IN 1</t>
  </si>
  <si>
    <t>Bogotá, DC</t>
  </si>
  <si>
    <t>901517775-8</t>
  </si>
  <si>
    <t xml:space="preserve">María Carolina Gómez Hermida </t>
  </si>
  <si>
    <t>contabilidad@ng-zf.com</t>
  </si>
  <si>
    <t>Km. 13 vía Armenia - Valle Zn Franca Bodega 41</t>
  </si>
  <si>
    <t>900843168-0</t>
  </si>
  <si>
    <t>Jose Julián Giraldo Giraldo</t>
  </si>
  <si>
    <t>Km. 7 vía El Caimo El Portugalito Finca Santa Clara</t>
  </si>
  <si>
    <t>Cédula de ciudadania</t>
  </si>
  <si>
    <t>nataliamontoyam@hotmail.com</t>
  </si>
  <si>
    <t xml:space="preserve">Av 6 B Norte 35 35 AP 904 TO B </t>
  </si>
  <si>
    <t xml:space="preserve">Cédula de ciudadanía </t>
  </si>
  <si>
    <t>goyoya46@hotmail.com</t>
  </si>
  <si>
    <t>Condominio Campestre El Bosque Casa 3</t>
  </si>
  <si>
    <t>Calarcá, Quindío</t>
  </si>
  <si>
    <t>901597309-0</t>
  </si>
  <si>
    <t>Km. 7 vía El Caimo El Portugalito Finca Sanra Clara</t>
  </si>
  <si>
    <t>800249483-6</t>
  </si>
  <si>
    <t>edificioclinicacentralq@gmail.com</t>
  </si>
  <si>
    <t>Cr. 13 1 Norte 35</t>
  </si>
  <si>
    <t xml:space="preserve">Daniela Salazar Cárdenas </t>
  </si>
  <si>
    <t>danielasalazar1903@gmail.com</t>
  </si>
  <si>
    <t>Circasia, Quindío</t>
  </si>
  <si>
    <t>Concepto</t>
  </si>
  <si>
    <t>Auxilio de alimentación, movilización y vivienda</t>
  </si>
  <si>
    <t>OTROSÍ AL CONTRATO INDIVIDUAL DE TRABAJO</t>
  </si>
  <si>
    <t>Nombre apellidos/Razón social:</t>
  </si>
  <si>
    <t>Identificación NIT:</t>
  </si>
  <si>
    <t xml:space="preserve">Representante legal: </t>
  </si>
  <si>
    <t xml:space="preserve">Identificación representante: </t>
  </si>
  <si>
    <t>Nombre y apellidos:</t>
  </si>
  <si>
    <t>Identificación:</t>
  </si>
  <si>
    <t>Concepto suma no constitutiva de salario</t>
  </si>
  <si>
    <t>Fecha de inicio de reconocimiento</t>
  </si>
  <si>
    <t>Periodicidad y forma de pago:</t>
  </si>
  <si>
    <t>Quincenal / Mensual en la cuenta de nómina</t>
  </si>
  <si>
    <t xml:space="preserve">Las partes arriba identificadas hemos acordado celebrar el presente Otrosí al Contrato Individual de Trabajo.
Primero. Las Partes de común acuerdo, pactan y aceptan que, el Empleador reconocerá a el Trabajador una suma extralegal no constitutiva de salario en las condiciones arriba indicadas. 
Parágrafo: La suma no constitutiva de salario a que se refiere la presente cláusula no constituye salario y, en consecuencia, no será considerada para efectos de calcular y efectuar el pago de prestaciones sociales, descansos remunerados, indemnizaciones, contribuciones en seguridad social, aportes parafiscales y en general, para el pago de cualquier otro concepto de carácter laboral que tenga como referencia el cálculo del salario, según lo establecido en el artículo 15 de la Ley 50 de 1990, y el artículo 17 de la Ley 344 de 1996.
Segundo. La suma extralegal no constitutiva de salario a que se refiere la cláusula anterior no se causará durante periodos de incapacidad, vacaciones, suspensión del contrato de trabajo por cualquier causa y/o en general durante los periodos en que el Trabajador no preste sus servicios, cualquiera sea la causa.
Tercero. El Empleador se reserva el derecho de ajustar, modificar o eliminar los beneficios acá establecidos conforme a las condiciones dadas por las dinámicas del mercado que son evaluadas por el Empleador.
Cuarto. El Trabajador declara, para todos los fines y efectos legales que lo consignado en el presente documento no constituye una desmejora a las condiciones laborales inicialmente acordadas.
Quinto. Las partes dejan constancia que el presente otrosí modifica o adiciona solamente aquellas disposiciones contractuales que se han señalado expresamente, y aquellas que le fueren contrarias; las demás disposiciones contenidas en el contrato inicialmente celebrado por las partes continúan vigentes y produciendo todos sus efectos.
Sexto. El Trabajador acusa recibo de un ejemplar original de este Otrosí a su contrato de trabajo, el cual hace parte integrante de su contrato de trabajo, y declara, para todos los fines y efectos legales que, habiendo leído y comprendido el mismo, está totalmente de acuerdo con lo establecido; por lo que reitera la naturaleza no salarial de la mencionada suma. </t>
  </si>
  <si>
    <t>_______________________________</t>
  </si>
  <si>
    <t>Fecha de inicio del periodo</t>
  </si>
  <si>
    <t>Fecha de finalización del periodo</t>
  </si>
  <si>
    <t xml:space="preserve">Las partes arriba identificadas hemos acordado celebrar el presente Otrosí al Contrato Individual de Trabajo que se regirá por lo dispuesto en el Código Sustantivo del Trabajo, el Reglamentó de Trabajo y las condiciones del Contrato General de Trabajo vigente Versión 01 y sus anexos. Este Otrosí al contrato subroga y deja sin efecto cualquier otro acuerdo verbal o escrito de las partes con anterioridad e incorpora en lo que no se oponga, todas las políticas, códigos, manuales y/o reglamentos. </t>
  </si>
  <si>
    <t>CONCEPTO</t>
  </si>
  <si>
    <t>VALOR</t>
  </si>
  <si>
    <t>MES</t>
  </si>
  <si>
    <t>EVENTO</t>
  </si>
  <si>
    <t>MES2</t>
  </si>
  <si>
    <t>Bancamia</t>
  </si>
  <si>
    <t>ADRES (antes Fosyga)</t>
  </si>
  <si>
    <t>Banco Agrario</t>
  </si>
  <si>
    <t>Valoración general</t>
  </si>
  <si>
    <t>Listado de faltas</t>
  </si>
  <si>
    <t>Prestacion de servicios</t>
  </si>
  <si>
    <t>Cédula extranjería (Exento de pension)</t>
  </si>
  <si>
    <t>Aliansalud EPS (Antes Colmédica)</t>
  </si>
  <si>
    <t>Ameragrubs S.A.S</t>
  </si>
  <si>
    <t>Visiometría</t>
  </si>
  <si>
    <t>se retiró del puesto de trabajo sin autorización</t>
  </si>
  <si>
    <t>Pasaporte</t>
  </si>
  <si>
    <t>Ambuq</t>
  </si>
  <si>
    <t>Audiometría</t>
  </si>
  <si>
    <t>Inasistenció totalmente a su jornada de trabajo</t>
  </si>
  <si>
    <t>Permiso especial de permanencia</t>
  </si>
  <si>
    <t>Anas Wayuu</t>
  </si>
  <si>
    <t>Osteomuscular</t>
  </si>
  <si>
    <t>llegó tarde a su jornada de trabajo</t>
  </si>
  <si>
    <t>Estudiante universitario (Aprendiz)</t>
  </si>
  <si>
    <t>Permiso especial de permanencia (Exento de pension)</t>
  </si>
  <si>
    <t>Banco Cooperativo Coopcentral</t>
  </si>
  <si>
    <t>Anas Wayuu movilidad</t>
  </si>
  <si>
    <t>Espirometría</t>
  </si>
  <si>
    <t>usó inadecuadamente las herramientas de trabajo</t>
  </si>
  <si>
    <t>Estudiante (Régimen especial Ley 789 de 2002)</t>
  </si>
  <si>
    <t>Banco Credifinanciera</t>
  </si>
  <si>
    <t>Prueba psico-sensométrica</t>
  </si>
  <si>
    <t>violó las políticas de seguridad y/o confidencialidad</t>
  </si>
  <si>
    <t>Estudiante pasantia (Decreto 055 de 2015)</t>
  </si>
  <si>
    <t>Permiso de protección  temporal ( Exento de pension)</t>
  </si>
  <si>
    <t>Prueba sustancias sicoactivas: marihuana, cocaína</t>
  </si>
  <si>
    <t>tuvo un lenguaje irrespetuoso con compañeros de trabajo</t>
  </si>
  <si>
    <t>Registro civil</t>
  </si>
  <si>
    <t>Asociación Indígena del Cauca - AIC -CM</t>
  </si>
  <si>
    <t>durmió durante su jornada laboral</t>
  </si>
  <si>
    <t>Tarjeta de identidad</t>
  </si>
  <si>
    <t>Banco de Occidente</t>
  </si>
  <si>
    <t>Cafam</t>
  </si>
  <si>
    <t>Inversiones MEP II S.A.S.</t>
  </si>
  <si>
    <t>Banco Falabella</t>
  </si>
  <si>
    <t>Cajacopi Atlántico</t>
  </si>
  <si>
    <t xml:space="preserve">Inversora Fercementos S.A.S. </t>
  </si>
  <si>
    <t>Banco Finandina</t>
  </si>
  <si>
    <t>Capital Salud</t>
  </si>
  <si>
    <t>Banco Itau</t>
  </si>
  <si>
    <t>Capresoca</t>
  </si>
  <si>
    <t>Auxilio de alimentación</t>
  </si>
  <si>
    <t>Colsubsidio</t>
  </si>
  <si>
    <t>Auxilio de movilización</t>
  </si>
  <si>
    <t>Obra o labor</t>
  </si>
  <si>
    <t>Bancoomeva</t>
  </si>
  <si>
    <t>Comfachoco</t>
  </si>
  <si>
    <t>Auxilio de vivienda</t>
  </si>
  <si>
    <t>Banco Pichincha</t>
  </si>
  <si>
    <t>Comfacor</t>
  </si>
  <si>
    <t>Auxilio de educación</t>
  </si>
  <si>
    <t>Banco Popular</t>
  </si>
  <si>
    <t>Comfacundi</t>
  </si>
  <si>
    <t>Banco Santander de Negocios Colombia</t>
  </si>
  <si>
    <t>Comfamiliar Cartagena</t>
  </si>
  <si>
    <t>Supertintas y Suministros  SAS</t>
  </si>
  <si>
    <t>Bonificación mera liberalidad</t>
  </si>
  <si>
    <t>Comfamiliar de Nariño</t>
  </si>
  <si>
    <t>Support Solutions S.A.S.</t>
  </si>
  <si>
    <t>Auxilio de alimentación y movilización</t>
  </si>
  <si>
    <t>Coltefinanciera</t>
  </si>
  <si>
    <t>Comfamiliar Guajira</t>
  </si>
  <si>
    <t>Auxilio de comunicación</t>
  </si>
  <si>
    <t>Confiar Cooperativa Financiera</t>
  </si>
  <si>
    <t>Comfamiliar Huila</t>
  </si>
  <si>
    <t>Cooperativa Financiera de Antioquia</t>
  </si>
  <si>
    <t>COMFAORIENTE EPS</t>
  </si>
  <si>
    <t>Cootrafa Cooperativa Financiera</t>
  </si>
  <si>
    <t>Comfasucre</t>
  </si>
  <si>
    <t>Comfenalco Antioquia</t>
  </si>
  <si>
    <t>Efecty</t>
  </si>
  <si>
    <t>Financiera Juriscoop Compañía de Financiamiento</t>
  </si>
  <si>
    <t>Comparta</t>
  </si>
  <si>
    <t>Giros y Finanzas</t>
  </si>
  <si>
    <t>Compensar</t>
  </si>
  <si>
    <t>ITAU antes Corpbanca</t>
  </si>
  <si>
    <t>Convida</t>
  </si>
  <si>
    <t>Lulo Bank</t>
  </si>
  <si>
    <t>Coomeva</t>
  </si>
  <si>
    <t>Ualá</t>
  </si>
  <si>
    <t>Coperativa Coosalud</t>
  </si>
  <si>
    <t>Cruz Blanca</t>
  </si>
  <si>
    <t>Dusakawi</t>
  </si>
  <si>
    <t>Ecoopsos</t>
  </si>
  <si>
    <t>Empresas Públicas de Medellín Departamento Médico</t>
  </si>
  <si>
    <t>EPS Mutual Ser</t>
  </si>
  <si>
    <t>Fondo de Ferrocarriles Nacionales de Colombia (EPS)</t>
  </si>
  <si>
    <t>Fundación Salud Mia EPS</t>
  </si>
  <si>
    <t>Golden Cross S.A. EPS</t>
  </si>
  <si>
    <t>FOMAG</t>
  </si>
  <si>
    <t>Mallamas (contributivo)</t>
  </si>
  <si>
    <t>Mallamas (subsidiado)</t>
  </si>
  <si>
    <t>Manexka</t>
  </si>
  <si>
    <t>Medimás movilidad</t>
  </si>
  <si>
    <t>Medimás (subsidiado)</t>
  </si>
  <si>
    <t>Pijaosalud</t>
  </si>
  <si>
    <t>Saludcoop</t>
  </si>
  <si>
    <t>Saludvida</t>
  </si>
  <si>
    <t>Solsalud</t>
  </si>
  <si>
    <t>Unidad De Servicios De Salud UNISALUD De La Universidad Nacional De Colombia</t>
  </si>
  <si>
    <t>Unidad De Servicios De Salud Unisalud (UPTC)</t>
  </si>
  <si>
    <t>Cecilia Ramirez de Velásquez</t>
  </si>
  <si>
    <t>Alvaro</t>
  </si>
  <si>
    <t>Finca La Islandia</t>
  </si>
  <si>
    <t>Rodriguez Beusaquillo</t>
  </si>
  <si>
    <t>Fumigador</t>
  </si>
  <si>
    <t>Jose Libardo</t>
  </si>
  <si>
    <t>Valencia Valencia</t>
  </si>
  <si>
    <t>Jardinero y oficios varios</t>
  </si>
  <si>
    <t>Libardo Antonio</t>
  </si>
  <si>
    <t>Parra Cuartas</t>
  </si>
  <si>
    <t>Cesar Augusto</t>
  </si>
  <si>
    <t>Lopez Montilla</t>
  </si>
  <si>
    <t>Finca El Cancel</t>
  </si>
  <si>
    <t>Fincas La Islandia y El Cancel</t>
  </si>
  <si>
    <t>luciafer2022@gmail.com</t>
  </si>
  <si>
    <t>Brr Congal 2 Calle 4 #10-11 Barcelona</t>
  </si>
  <si>
    <t>Sede principal Ameragrubs S.A.S</t>
  </si>
  <si>
    <t>Fecha de inicio - Etapa practica</t>
  </si>
  <si>
    <r>
      <t xml:space="preserve">Octavo. </t>
    </r>
    <r>
      <rPr>
        <sz val="11"/>
        <color rgb="FF010101"/>
        <rFont val="Calibri"/>
        <family val="2"/>
        <scheme val="minor"/>
      </rPr>
      <t>El aprendiz declara bajo la gravedad de juramento que no se encuentra ni ha estado vinculado con la empresa patrocinadora o con otras empresas en una relación de aprendizaje.</t>
    </r>
  </si>
  <si>
    <t>Entidad de Formación</t>
  </si>
  <si>
    <r>
      <rPr>
        <b/>
        <sz val="11"/>
        <color rgb="FF000000"/>
        <rFont val="Calibri"/>
        <family val="2"/>
        <scheme val="minor"/>
      </rPr>
      <t>Primero. </t>
    </r>
    <r>
      <rPr>
        <sz val="11"/>
        <color rgb="FF000000"/>
        <rFont val="Calibri"/>
        <family val="2"/>
        <scheme val="minor"/>
      </rPr>
      <t xml:space="preserve">El presente contrato tiene como objetivo la garantía por parte de la empresa patrocinadora de proporcionar al aprendiz los medios para adquirir formación profesional integral en el programa de formación mencionado en las condiciones particulares, el cual fue impartido en la etapa lectiva por la entidad de formación.
</t>
    </r>
  </si>
  <si>
    <r>
      <rPr>
        <b/>
        <sz val="11"/>
        <color rgb="FF000000"/>
        <rFont val="Calibri"/>
        <family val="2"/>
        <scheme val="minor"/>
      </rPr>
      <t xml:space="preserve">2. </t>
    </r>
    <r>
      <rPr>
        <sz val="11"/>
        <color rgb="FF000000"/>
        <rFont val="Calibri"/>
        <family val="2"/>
        <scheme val="minor"/>
      </rPr>
      <t>Diligenciar y reportar a la entidad de formación las evaluaciones y certificaciones del aprendiz en su fase productiva del aprendizaje.</t>
    </r>
  </si>
  <si>
    <r>
      <rPr>
        <b/>
        <sz val="11"/>
        <color rgb="FF000000"/>
        <rFont val="Calibri"/>
        <family val="2"/>
        <scheme val="minor"/>
      </rPr>
      <t xml:space="preserve">1. </t>
    </r>
    <r>
      <rPr>
        <sz val="11"/>
        <color rgb="FF000000"/>
        <rFont val="Calibri"/>
        <family val="2"/>
        <scheme val="minor"/>
      </rPr>
      <t>Durante la etapa lectiva el aprendiz deberá concurrir puntualmente a las clases durante los periodos de enseñanza para así recibir la formación profesional integral a que se refiere el presente contrato, someterse a los reglamentos y normas establecidas por la respectiva entidad de formación, y poner toda diligencia y aplicación para lograr el mayor rendimiento en su formación.</t>
    </r>
  </si>
  <si>
    <r>
      <rPr>
        <b/>
        <sz val="11"/>
        <color rgb="FF000000"/>
        <rFont val="Calibri"/>
        <family val="2"/>
        <scheme val="minor"/>
      </rPr>
      <t xml:space="preserve">8. </t>
    </r>
    <r>
      <rPr>
        <sz val="11"/>
        <color rgb="FF000000"/>
        <rFont val="Calibri"/>
        <family val="2"/>
        <scheme val="minor"/>
      </rPr>
      <t>Asistir a las reuniones de seguimiento que se programen con la entidad de formación y la empresa patrocinadora.</t>
    </r>
  </si>
  <si>
    <r>
      <rPr>
        <b/>
        <sz val="11"/>
        <color rgb="FF000000"/>
        <rFont val="Calibri"/>
        <family val="2"/>
        <scheme val="minor"/>
      </rPr>
      <t>Cuarto.</t>
    </r>
    <r>
      <rPr>
        <sz val="11"/>
        <color rgb="FF000000"/>
        <rFont val="Calibri"/>
        <family val="2"/>
        <scheme val="minor"/>
      </rPr>
      <t xml:space="preserve"> La empresa patrocinadora podrá supervisar al aprendiz en la entidad de formación, la asistencia, como el rendimiento académico, a efectos de verificar y asegurar la real y efectiva utilización del tiempo en la etapa lectiva por parte de este. La entidad de formación, supervisara al aprendiz en la empresa patrocinadora para que sus actividades en cada periodo practico correspondan al programa de la especialidad para la cual se está formando. </t>
    </r>
  </si>
  <si>
    <r>
      <rPr>
        <b/>
        <sz val="11"/>
        <color rgb="FF000000"/>
        <rFont val="Calibri"/>
        <family val="2"/>
        <scheme val="minor"/>
      </rPr>
      <t xml:space="preserve">Sexto. </t>
    </r>
    <r>
      <rPr>
        <sz val="11"/>
        <color rgb="FF010101"/>
        <rFont val="Calibri"/>
        <family val="2"/>
        <scheme val="minor"/>
      </rPr>
      <t>Terminación</t>
    </r>
    <r>
      <rPr>
        <sz val="11"/>
        <color rgb="FF333333"/>
        <rFont val="Calibri"/>
        <family val="2"/>
        <scheme val="minor"/>
      </rPr>
      <t xml:space="preserve">. </t>
    </r>
    <r>
      <rPr>
        <sz val="11"/>
        <color rgb="FF010101"/>
        <rFont val="Calibri"/>
        <family val="2"/>
        <scheme val="minor"/>
      </rPr>
      <t>El presente contrato podrá darse por terminado en los siguientes casos</t>
    </r>
    <r>
      <rPr>
        <sz val="11"/>
        <color rgb="FF333333"/>
        <rFont val="Calibri"/>
        <family val="2"/>
        <scheme val="minor"/>
      </rPr>
      <t xml:space="preserve">: </t>
    </r>
    <r>
      <rPr>
        <sz val="11"/>
        <color rgb="FF010101"/>
        <rFont val="Calibri"/>
        <family val="2"/>
        <scheme val="minor"/>
      </rPr>
      <t>a) Por mutuo acuerdo entre a empresa patrocinadora y el aprendiz</t>
    </r>
    <r>
      <rPr>
        <sz val="11"/>
        <color rgb="FF333333"/>
        <rFont val="Calibri"/>
        <family val="2"/>
        <scheme val="minor"/>
      </rPr>
      <t xml:space="preserve">. </t>
    </r>
    <r>
      <rPr>
        <sz val="11"/>
        <color rgb="FF010101"/>
        <rFont val="Calibri"/>
        <family val="2"/>
        <scheme val="minor"/>
      </rPr>
      <t>b) Por el vencimiento del término de duración del presente contrato. c) La cancelación de la matricula por parte de la entidad de formación de acuerdo con el reglamento previsto para los alumnos</t>
    </r>
    <r>
      <rPr>
        <sz val="11"/>
        <color rgb="FF4B4B4B"/>
        <rFont val="Calibri"/>
        <family val="2"/>
        <scheme val="minor"/>
      </rPr>
      <t xml:space="preserve">. </t>
    </r>
    <r>
      <rPr>
        <sz val="11"/>
        <color rgb="FF010101"/>
        <rFont val="Calibri"/>
        <family val="2"/>
        <scheme val="minor"/>
      </rPr>
      <t>d) Por el bajo rendimiento o las faltas disciplinarias cometidas en los periodos de formación o en la empresa patrocinadora, cuando a pesar de los requerimientos de la entidad de formación no se corrijan en un plazo razonable</t>
    </r>
    <r>
      <rPr>
        <sz val="11"/>
        <color rgb="FF4B4B4B"/>
        <rFont val="Calibri"/>
        <family val="2"/>
        <scheme val="minor"/>
      </rPr>
      <t xml:space="preserve">. </t>
    </r>
    <r>
      <rPr>
        <sz val="11"/>
        <color rgb="FF010101"/>
        <rFont val="Calibri"/>
        <family val="2"/>
        <scheme val="minor"/>
      </rPr>
      <t>Cuando la decisión la tome la empresa patrocinadora, esta deberá obtener previo concepto favorable de la entidad de formación</t>
    </r>
    <r>
      <rPr>
        <sz val="11"/>
        <color rgb="FF4B4B4B"/>
        <rFont val="Calibri"/>
        <family val="2"/>
        <scheme val="minor"/>
      </rPr>
      <t xml:space="preserve">. </t>
    </r>
    <r>
      <rPr>
        <sz val="11"/>
        <color rgb="FF010101"/>
        <rFont val="Calibri"/>
        <family val="2"/>
        <scheme val="minor"/>
      </rPr>
      <t>e) El incumplimiento de las obligaciones previstas para cada una de las partes</t>
    </r>
    <r>
      <rPr>
        <sz val="11"/>
        <color rgb="FF4B4B4B"/>
        <rFont val="Calibri"/>
        <family val="2"/>
        <scheme val="minor"/>
      </rPr>
      <t>.</t>
    </r>
  </si>
  <si>
    <r>
      <t xml:space="preserve">
Noveno. </t>
    </r>
    <r>
      <rPr>
        <sz val="11"/>
        <color rgb="FF010101"/>
        <rFont val="Calibri"/>
        <family val="2"/>
        <scheme val="minor"/>
      </rPr>
      <t xml:space="preserve">El aprendiz se obliga a desempeñar las labores del cargo para el cual fue contratado con lealtad, buena fe, fidelidad, con pleno sentido ético y con completa transparencia con la empresa patrocinadora y, por lo tanto, adquiere la obligación de que todos los asuntos que conozcan directa o indirectamente por razón de su cargo o por estar vinculados con la empresa patrocinadora tendrá el carácter de reservados. Por tal motivo, no podrán copiar, transferir, duplicar, modificar, difundir, compartir, remitir, enviar, prestar o realizar cualquier acción con la cual pongan en riesgo o vulnere las políticas de confidencialidad de la empresa patrocinadora cualquiera sea el medio a terceros o al personal vinculado con la empresa patrocinadora que no deban conocerlos por razón de sus funciones. Tiene especial carácter de confidencial todo lo que tenga que ver con la situación financiera de la empresa patrocinadora, su producción, procesos, operaciones comerciales, financieras, bancarias, administrativas, técnicas, Know-how (entendido como conocimiento no patentado), base de datos de toda clase, de recursos humanos, de clientes, contratistas o proveedores (incluyendo pero sin limitarse a información sobre el número de seguro social, tarjetas de crédito y/o direcciones de los clientes), software desarrollado o licenciado por la empresa patrocinadora, fórmulas y procedimientos industriales, técnicos y comerciales. Igualmente, le está prohibido al aprendiz sacar, extraer o enviar por cualquier medio documentos, datos, informes, software por fuera de la empresa patrocinadora con destino a terceros. Tampoco podrá permitir que otras personas, aún fuera de la Sociedad, lo hagan u omitir esa información a la Compañía cuando tengan conocimiento. El aprendiz tiene la obligación de usar todas las precauciones razonables para garantizar que dicha información no sea revelada a personas no autorizadas o usada de manera fraudulenta. La obligación de guardar la confidencialidad a la que se han comprometido el aprendiz perdurará aún después de terminado el contrato de trabajo cualquiera que sea su causa.
La anterior información tiene el carácter de propiedad intelectual y/o de secreto industrial y su divulgación o uso no autorizado están sujetos a sanciones, en virtud de lo dispuesto por la Ley 44 de 1993 y los artículos 258, 269A al 272 y 306 al 308 del Código Penal, y demás normas concordantes. Por lo anterior el aprendiz adquiere el compromiso de usar toda la información, especialmente la referente a Datos de Clientes o Prospectos de Clientes, únicamente para el desarrollo de las labores contempladas por la empresa patrocinadora para la operación del proyecto al cual sea asignado.
Todos los originales y copias de dibujos, planos, manuales, correspondencia, software, sistemas informáticos, mensajes de datos,  notas, informes, cuadernos, fotografías, diseños y cualquier otro material grabado, impreso o escrito en cualquier forma relacionados con el negocio o con las operaciones de la empresa patrocinadora y/o sus subsidiarias, filiales, vinculadas, subordinadas y/o cualquier otra compañía con la que tenga algún vínculo jurídico, hechos o recibidos por el aprendiz durante la vigencia del contrato de aprendizaje, son propiedad de la empresa patrocinadora, y el aprendiz se obliga a entregarle a la empresa patrocinadora los que se encuentren en su poder al terminar el contrato, o antes, si la empresa patrocinadora lo requiere. Así mismo, el aprendiz devolverá a la empresa patrocinadora cualquier otro artículo de propiedad de la Compañía y/o de sus subsidiarias, filiales, vinculadas, subordinadas y/o cualquier otra compañía con la que tenga algún vínculo jurídico que se encuentre en su poder a título de herramientas laborales, como, por ejemplo, teléfonos celulares, computadores portátiles, etc.
Excepto en aquellos casos en que sea necesario por razón del contrato de aprendizaje, o en el caso en que la empresa patrocinadora lo autorice previamente por escrito, el aprendiz no divulgará a nadie, ni usarán fuera de su contrato de aprendizaje ni después de terminado el mismo, información confidencial de tipo técnico o de negocios de la empresa patrocinadora y/o de sus subsidiarias, filiales, vinculadas, subordinadas y/o cualquier otra compañía que tenga algún vínculo jurídico. Esta misma obligación se extenderá a cualquier información proveniente de terceras personas que la empresa patrocinadora y/o sus subsidiarias, filiales, vinculadas, subordinadas y/o cualquier otra compañía con la que tenga algún vínculo jurídico tengan la obligación de mantener confidencialmente, y de la cual tenga conocimiento el aprendiz en el curso de su contrato de aprendizaje. El aprendiz se obliga a que la información técnica o de negocios conocidos por él de terceras personas que comunique a la empresa patrocinadora y/o a sus subsidiarias, filiales, vinculadas, subordinadas y/o cualquier otra compañía con la que tenga algún vínculo jurídico, estarán limitadas a aquellas que hubiere obtenido legalmente, sin restricción alguna de reserva.
</t>
    </r>
  </si>
  <si>
    <t>Todos los originales y copias de dibujos, planos, manuales, correspondencia, software, sistemas informáticos, mensajes de datos,  notas, informes, cuadernos, fotografías, diseños y cualquier otro material grabado, impreso o escrito en cualquier forma relacionados con el negocio o con las operaciones de la empresa patrocinadora y/o sus subsidiarias, filiales, vinculadas, subordinadas y/o cualquier otra compañía con la que tenga algún vínculo jurídico, hechos o recibidos por el aprendiz durante la vigencia del contrato de aprendizaje, son propiedad de la empresa patrocinadora, y el aprendiz se obliga a entregarle a la empresa patrocinadora los que se encuentren en su poder al terminar el contrato, o antes, si la empresa patrocinadora lo requiere. Así mismo, el aprendiz devolverá a la empresa patrocinadora cualquier otro artículo de propiedad de la Compañía y/o de sus subsidiarias, filiales, vinculadas, subordinadas y/o cualquier otra compañía con la que tenga algún vínculo jurídico que se encuentre en su poder a título de herramientas laborales, como, por ejemplo, teléfonos celulares, computadores portátiles, etc.
Excepto en aquellos casos en que sea necesario por razón del contrato de aprendizaje, o en el caso en que la empresa patrocinadora lo autorice previamente por escrito, el aprendiz no divulgará a nadie, ni usarán fuera de su contrato de aprendizaje ni después de terminado el mismo, información confidencial de tipo técnico o de negocios de la empresa patrocinadora y/o de sus subsidiarias, filiales, vinculadas, subordinadas y/o cualquier otra compañía que tenga algún vínculo jurídico. Esta misma obligación se extenderá a cualquier información proveniente de terceras personas que la empresa patrocinadora y/o sus subsidiarias, filiales, vinculadas, subordinadas y/o cualquier otra compañía con la que tenga algún vínculo jurídico tengan la obligación de mantener confidencialmente, y de la cual tenga conocimiento el aprendiz en el curso de su contrato de aprendizaje. El aprendiz se obliga a que la información técnica o de negocios conocidos por él de terceras personas que comunique a la empresa patrocinadora y/o a sus subsidiarias, filiales, vinculadas, subordinadas y/o cualquier otra compañía con la que tenga algún vínculo jurídico, estarán limitadas a aquellas que hubiere obtenido legalmente, sin restricción alguna de reserva.</t>
  </si>
  <si>
    <r>
      <rPr>
        <b/>
        <sz val="11"/>
        <color rgb="FF010101"/>
        <rFont val="Calibri"/>
        <family val="2"/>
        <scheme val="minor"/>
      </rPr>
      <t>Parágrafo.</t>
    </r>
    <r>
      <rPr>
        <sz val="11"/>
        <color rgb="FF010101"/>
        <rFont val="Calibri"/>
        <family val="2"/>
        <scheme val="minor"/>
      </rPr>
      <t xml:space="preserve"> Para efectos de interpretar la presente cláusula se considera como secreto empresarial, y así lo aceptan expresamente el aprendiz; toda aquella información que reúna alguna de las siguientes condiciones: 1. Información que por su configuración no sea generalmente conocida ni fácilmente accesible por quienes se encuentran en los círculos que normalmente maneja la información respectiva; 2. Información que verse sobre cosas, procedimientos, hechos o actividades que tenga un valor comercial o competitivo; 3. Información que recaiga sobre procedimientos o experiencias industriales o comerciales, o que esté relacionada con la actividad de la empresa o su parte organizativa;4. En especial, la empresa patrocinadora considera como secreto industrial o comercial: toda aquella información relacionada con el desarrollo de las operaciones. Conforme a lo establecido por la Decisión 486 de 2000, relativa al régimen de Propiedad Industrial, la Ley 256 de 1996 sobre Competencia Desleal y demás normas relacionadas, el aprendiz, que con ocasión a su contrato de aprendizaje, cargo, puesto, desempeño de su profesión o relación de negocios, que tenga acceso a un secreto empresarial, deberá abstenerse de usarlo total o parcialmente, reproducirla, o divulgarla con el ánimo de obtener un provecho propio o de un tercero y/o de perjudicar al titular o poseedor legítimo de la información, prohibición ésta que perdurará durante la vigencia del presente contrato de aprendizaje y también con posterioridad a su terminación, a menos que exista el consentimiento previo, expreso y escrito de la empresa patrocinadora. Así mismo, el aprendiz se obliga durante la vigencia de este contrato, y con posterioridad a su terminación, a abstenerse íntegramente de servirse de la información relacionada anteriormente con el fin de direccionar mercados.</t>
    </r>
  </si>
  <si>
    <t xml:space="preserve">Jonathan Harlen </t>
  </si>
  <si>
    <t>Pineda Salazar</t>
  </si>
  <si>
    <t>harlenpsalazar1@gmail.com</t>
  </si>
  <si>
    <t>Conjunto Ocaso Oro Negro Torre B apto 904 Armenia, Q</t>
  </si>
  <si>
    <t>Director de Calidades Latam</t>
  </si>
  <si>
    <t xml:space="preserve">Eduard Andres </t>
  </si>
  <si>
    <t>Naranjo Ospina</t>
  </si>
  <si>
    <t>andres.naranjo.419@gmail.com</t>
  </si>
  <si>
    <t>Barrio Arrayanes Manzana 2 Casa 10 primer piso Armenia, Q.</t>
  </si>
  <si>
    <t>Analista de Calidades</t>
  </si>
  <si>
    <t xml:space="preserve">Jose Ariel </t>
  </si>
  <si>
    <t xml:space="preserve">Londoño Cifuentes </t>
  </si>
  <si>
    <t>Alcalá</t>
  </si>
  <si>
    <t>cerralo30@hotmail.com</t>
  </si>
  <si>
    <t>Km 4 Vía El Caimo El Edén, Finca La Islandia</t>
  </si>
  <si>
    <t>1. Protección de Datos Personales; 2. Reglamento de Trabajo; 3. Reglamento de Higiene y Seguridad Industrial; 4. Sistema de Gestión de Seguridad y Salud en el Trabajo; 5. Política Interna y de Servicio; 6. Acuerdo de Confidencialidad; 7. Manual de Funciones y/o perfil del cargo; 8. Plan Estratétigo de Seguridad Vial; 9. Plan de Emergencias; 10. Inducción al cargo; 11. Política de No Consumo de Alcohol, Tabaco y Sustancias Psicoactivas; y 12. Las demás políticas y reglamentos por la empresa patrocinadora.</t>
  </si>
  <si>
    <t>Así mismo, declaro que he sido informado que el incumplimiento de cualquiera de las obligaciones y/o prohibiciones establecidas en dichos documentos se considera desde ya como una falta grave y podrá dar lugar a la terminación del contrato de aprendizaje, si la gravedad de la falta así lo amerita según criterio de la la empresa patrocinadora.</t>
  </si>
  <si>
    <t>Fecha de terminación</t>
  </si>
  <si>
    <t>Fecha del presente Otrosí</t>
  </si>
  <si>
    <t xml:space="preserve">Jose Omar </t>
  </si>
  <si>
    <t>Salgado Gonzalez</t>
  </si>
  <si>
    <t>Jaiver Lubin</t>
  </si>
  <si>
    <t>Hector Faber</t>
  </si>
  <si>
    <t>Palomino Gomez</t>
  </si>
  <si>
    <t>Weimar Adolfo</t>
  </si>
  <si>
    <t xml:space="preserve">Echavarria Agudelo </t>
  </si>
  <si>
    <t xml:space="preserve">Fabio Nelson </t>
  </si>
  <si>
    <t>Gonzalez Cardenas</t>
  </si>
  <si>
    <t>Quebrada nueva barrio la estación</t>
  </si>
  <si>
    <t>Quebrada nueva barrio sector el matadero</t>
  </si>
  <si>
    <t>Quebrada nueva barrio la zona</t>
  </si>
  <si>
    <t>Quebrada nueva sector puesto de salud</t>
  </si>
  <si>
    <t>fabionelsongonzalez563@gmail.com</t>
  </si>
  <si>
    <t>Ospina</t>
  </si>
  <si>
    <t>Ospinajaiver04@gmail.com</t>
  </si>
  <si>
    <t>w35661937@gmail.com</t>
  </si>
  <si>
    <t>Fecha inicial del contrato a término fijo</t>
  </si>
  <si>
    <r>
      <t xml:space="preserve">Séptimo.      </t>
    </r>
    <r>
      <rPr>
        <sz val="11"/>
        <rFont val="Arial"/>
        <family val="2"/>
      </rPr>
      <t>El salario o cualquier acreencia laboral a que tengan derecho los trabajadores dependerá de lo establecido en las Condiciones Particulares acordadas con cada trabajador. En todo caso, se tendrán en cuenta las siguientes precisiones:</t>
    </r>
  </si>
  <si>
    <r>
      <t>Los trabajadores</t>
    </r>
    <r>
      <rPr>
        <b/>
        <sz val="11"/>
        <rFont val="Arial"/>
        <family val="2"/>
      </rPr>
      <t xml:space="preserve"> </t>
    </r>
    <r>
      <rPr>
        <sz val="11"/>
        <rFont val="Arial"/>
        <family val="2"/>
      </rPr>
      <t>autorizan a la Compañía</t>
    </r>
    <r>
      <rPr>
        <b/>
        <sz val="11"/>
        <rFont val="Arial"/>
        <family val="2"/>
      </rPr>
      <t xml:space="preserve"> </t>
    </r>
    <r>
      <rPr>
        <sz val="11"/>
        <rFont val="Arial"/>
        <family val="2"/>
      </rPr>
      <t>para que el salario o cualquier acreencia laboral a que tengan derecho les sea consignado en una entidad del sistema financiero o pagado mediante cualquier otro sistema usado por la misma, aclarando que los primeros pagarán directamente a la entidad financiera los gastos de operación de su cuenta personal.</t>
    </r>
  </si>
  <si>
    <t>Alvaro Daladier</t>
  </si>
  <si>
    <t>Barrio la Clarita Manzana 26 numero 06</t>
  </si>
  <si>
    <t>alvamontora1970@gmail.com</t>
  </si>
  <si>
    <t>Montoya Yarce</t>
  </si>
  <si>
    <t>Angelica Mayerly</t>
  </si>
  <si>
    <t>Arrubla Hernandez</t>
  </si>
  <si>
    <t>ange.arrubla@gmail.com</t>
  </si>
  <si>
    <t>Condominio Monte Azul Torre 1 apto 208 Armenia</t>
  </si>
  <si>
    <t>CRM</t>
  </si>
  <si>
    <t>Julio Cesar</t>
  </si>
  <si>
    <t>Cortes Castellanos</t>
  </si>
  <si>
    <t xml:space="preserve"> calle 27 norte # 5-00 torre 1 apto 605 arboretum</t>
  </si>
  <si>
    <t>incumplir con las funciones de acuerdo con el cargo desempeñado, particularmente en lo que respecta a no tener el mise en place correspondiente</t>
  </si>
  <si>
    <t xml:space="preserve">Gestor Comercial </t>
  </si>
  <si>
    <t>Juliocortes63.jccc@gmail.com</t>
  </si>
  <si>
    <t>003870076100</t>
  </si>
  <si>
    <t>Fecha inicial del contrato a término indefinido</t>
  </si>
  <si>
    <t>Barrio Palmares del Recreo, Mz C casa 29</t>
  </si>
  <si>
    <t>606 7384838</t>
  </si>
  <si>
    <t>312 865 4290</t>
  </si>
  <si>
    <t>williamgiraldocardona0612@hotmail.com</t>
  </si>
  <si>
    <t>Barrio Puerto Espejo, Mz 2 casa 12</t>
  </si>
  <si>
    <t>Teléfono/ fijo</t>
  </si>
  <si>
    <t>Por último, le recordamos que Usted deberá hacer entrega de todos los equipos, documentos y en general de todas las herramientas que le fueron entregadas por parte de la compañia para el cabal desempeño de sus funciones.</t>
  </si>
  <si>
    <t>0550488445157511</t>
  </si>
  <si>
    <t>0550488445112334</t>
  </si>
  <si>
    <t>notificacionfercementos@gmail.com</t>
  </si>
  <si>
    <t>Josegonzalez751@gmail.com</t>
  </si>
  <si>
    <t>La Terraza de la Cava S.A.S.</t>
  </si>
  <si>
    <t>Llamado de atención</t>
  </si>
  <si>
    <t>no cumplir con las ordenes impartidas por los superiores jerárquicos conforme a los lineamentos y directrices requeridos, afectar la prestación del servicio encomendado, llegar tarde a trabajar y no portar buena presentación personal.</t>
  </si>
  <si>
    <t>Jonathan Alexander</t>
  </si>
  <si>
    <t>Capera</t>
  </si>
  <si>
    <t>jonathanamartinez58@gmail.com</t>
  </si>
  <si>
    <t>bosques de Gibraltar,bloque 5 apartamento 107</t>
  </si>
  <si>
    <t>3234048578</t>
  </si>
  <si>
    <t>Gilberto Andres</t>
  </si>
  <si>
    <t>Mora Salazar</t>
  </si>
  <si>
    <t>gmora57@gmail.com</t>
  </si>
  <si>
    <t>Calle 97 número 15 - 70 Bloque 3 Apto 101 Pereira</t>
  </si>
  <si>
    <t>Pereira</t>
  </si>
  <si>
    <t>Responsable de logística y abastecimiento</t>
  </si>
  <si>
    <t>0550013300112813</t>
  </si>
  <si>
    <t>0550013300112888</t>
  </si>
  <si>
    <t>0550013300117598</t>
  </si>
  <si>
    <t>0550488445236539</t>
  </si>
  <si>
    <t xml:space="preserve">En los próximos días, la Compañía realizará el pago de su liquidación final de acreencias laborales a su cuenta bancaria registrada. </t>
  </si>
  <si>
    <t>Bedoya Ballesteros</t>
  </si>
  <si>
    <t xml:space="preserve">bedoyamauricio436@gmail.com </t>
  </si>
  <si>
    <t xml:space="preserve">Diego Ernesto </t>
  </si>
  <si>
    <t>Guerrero Estupiñan</t>
  </si>
  <si>
    <t>degelarr@gmail.com</t>
  </si>
  <si>
    <t xml:space="preserve">Calle 13 # 79 C 11 - Bogotá </t>
  </si>
  <si>
    <t>Finca el arquito</t>
  </si>
  <si>
    <t>0550488445293837</t>
  </si>
  <si>
    <t>afectar la prestación del servicio encomendado, cumplir deficientemente las funciones asignadas, descuidar el punto asignado para la prestación del servicio y utilizar frecuentemente el dispositivo móvil en horario laboral</t>
  </si>
  <si>
    <t>Nit. Nro.901375741-7</t>
  </si>
  <si>
    <t>Columna1</t>
  </si>
  <si>
    <t xml:space="preserve">Mensual </t>
  </si>
  <si>
    <t>Stiven Eduardo</t>
  </si>
  <si>
    <t>Herrera Silva</t>
  </si>
  <si>
    <t xml:space="preserve">Barrio Berlín Carrera 18 a número 37 - 04 Calarcá </t>
  </si>
  <si>
    <t>Sti69.sil99@gmail.com</t>
  </si>
  <si>
    <t>Atrás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</si>
</sst>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0">
    <numFmt numFmtId="41" formatCode="_-* #,##0_-;\-* #,##0_-;_-* &quot;-&quot;_-;_-@_-"/>
    <numFmt numFmtId="43" formatCode="_-* #,##0.00_-;\-* #,##0.00_-;_-* &quot;-&quot;??_-;_-@_-"/>
    <numFmt numFmtId="164" formatCode="_-&quot;$&quot;\ * #,##0.00_-;\-&quot;$&quot;\ * #,##0.00_-;_-&quot;$&quot;\ * &quot;-&quot;??_-;_-@_-"/>
    <numFmt numFmtId="165" formatCode="&quot;$&quot;#,##0;\-&quot;$&quot;#,##0"/>
    <numFmt numFmtId="166" formatCode="_-&quot;$&quot;* #,##0_-;\-&quot;$&quot;* #,##0_-;_-&quot;$&quot;* &quot;-&quot;_-;_-@_-"/>
    <numFmt numFmtId="167" formatCode="[$-F800]dddd\,\ mmmm\ dd\,\ yyyy"/>
    <numFmt numFmtId="168" formatCode="[$$-240A]#,##0.00;[Red]\([$$-240A]#,##0.00\)"/>
    <numFmt numFmtId="169" formatCode="&quot;$&quot;#,##0"/>
    <numFmt numFmtId="170" formatCode="000\-000\-0000"/>
    <numFmt numFmtId="171" formatCode="[$-240A]d&quot; de &quot;mmmm&quot; de &quot;yyyy;@"/>
    <numFmt numFmtId="172" formatCode="&quot;$&quot;\ #,##0"/>
    <numFmt numFmtId="173" formatCode="_-* #,##0_-;\-* #,##0_-;_-* &quot;-&quot;??_-;_-@_-"/>
    <numFmt numFmtId="174" formatCode="[$$-240A]\ #,##0"/>
    <numFmt numFmtId="175" formatCode="dd/mm/yyyy;@"/>
    <numFmt numFmtId="176" formatCode="#,##0_ ;\-#,##0\ "/>
    <numFmt numFmtId="177" formatCode="[$-240A]dddd\,\ dd&quot; de &quot;mmmm&quot; de &quot;yyyy;@"/>
    <numFmt numFmtId="178" formatCode="[$-409]m/d/yyyy"/>
    <numFmt numFmtId="179" formatCode="[$$-240A]\ #,##0.00"/>
    <numFmt numFmtId="180" formatCode="[$$-240A]\ ###,###"/>
    <numFmt numFmtId="181" formatCode="dd/mm/yyyy"/>
  </numFmts>
  <fonts count="87"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b/>
      <sz val="12"/>
      <color theme="1"/>
      <name val="Calibri"/>
      <family val="2"/>
      <scheme val="minor"/>
    </font>
    <font>
      <sz val="12"/>
      <color theme="0"/>
      <name val="Calibri"/>
      <family val="2"/>
      <scheme val="minor"/>
    </font>
    <font>
      <u/>
      <sz val="12"/>
      <color theme="10"/>
      <name val="Calibri"/>
      <family val="2"/>
      <scheme val="minor"/>
    </font>
    <font>
      <sz val="11"/>
      <color theme="1"/>
      <name val="Calibri"/>
      <family val="2"/>
      <scheme val="minor"/>
    </font>
    <font>
      <b/>
      <sz val="12"/>
      <color rgb="FF404040"/>
      <name val="Calibri"/>
      <family val="2"/>
    </font>
    <font>
      <b/>
      <sz val="12"/>
      <color rgb="FF000000"/>
      <name val="Arial"/>
      <family val="2"/>
    </font>
    <font>
      <sz val="12"/>
      <color theme="1"/>
      <name val="Arial"/>
      <family val="2"/>
    </font>
    <font>
      <sz val="10.5"/>
      <color theme="1"/>
      <name val="Calibri"/>
      <family val="2"/>
      <scheme val="minor"/>
    </font>
    <font>
      <b/>
      <sz val="10"/>
      <color theme="0"/>
      <name val="Arial"/>
      <family val="2"/>
    </font>
    <font>
      <b/>
      <sz val="10.5"/>
      <color theme="0"/>
      <name val="Arial"/>
      <family val="2"/>
    </font>
    <font>
      <sz val="11"/>
      <color theme="1"/>
      <name val="Arial"/>
      <family val="2"/>
    </font>
    <font>
      <sz val="8"/>
      <name val="Calibri"/>
      <family val="2"/>
      <scheme val="minor"/>
    </font>
    <font>
      <b/>
      <sz val="12"/>
      <color rgb="FF404040"/>
      <name val="Calibri"/>
      <family val="2"/>
      <scheme val="minor"/>
    </font>
    <font>
      <sz val="12"/>
      <name val="Calibri"/>
      <family val="2"/>
      <scheme val="minor"/>
    </font>
    <font>
      <b/>
      <sz val="11"/>
      <color theme="1"/>
      <name val="Calibri"/>
      <family val="2"/>
      <scheme val="minor"/>
    </font>
    <font>
      <sz val="11"/>
      <name val="Calibri"/>
      <family val="2"/>
      <scheme val="minor"/>
    </font>
    <font>
      <b/>
      <sz val="36"/>
      <color theme="0"/>
      <name val="Arial"/>
      <family val="2"/>
    </font>
    <font>
      <sz val="12"/>
      <color theme="0"/>
      <name val="Arial"/>
      <family val="2"/>
    </font>
    <font>
      <b/>
      <sz val="12"/>
      <color theme="0"/>
      <name val="Arial"/>
      <family val="2"/>
    </font>
    <font>
      <sz val="14"/>
      <color theme="0"/>
      <name val="Arial"/>
      <family val="2"/>
    </font>
    <font>
      <b/>
      <sz val="12"/>
      <color theme="1"/>
      <name val="Arial"/>
      <family val="2"/>
    </font>
    <font>
      <sz val="26"/>
      <color theme="0"/>
      <name val="Arial"/>
      <family val="2"/>
    </font>
    <font>
      <b/>
      <sz val="16"/>
      <color theme="0"/>
      <name val="Arial"/>
      <family val="2"/>
    </font>
    <font>
      <b/>
      <sz val="18"/>
      <color theme="0"/>
      <name val="Arial"/>
      <family val="2"/>
    </font>
    <font>
      <sz val="24"/>
      <color theme="0"/>
      <name val="Arial"/>
      <family val="2"/>
    </font>
    <font>
      <b/>
      <sz val="20"/>
      <color theme="0"/>
      <name val="Arial"/>
      <family val="2"/>
    </font>
    <font>
      <sz val="16"/>
      <color theme="0"/>
      <name val="Arial"/>
      <family val="2"/>
    </font>
    <font>
      <sz val="18"/>
      <color theme="0"/>
      <name val="Arial"/>
      <family val="2"/>
    </font>
    <font>
      <b/>
      <sz val="12"/>
      <name val="Calibri"/>
      <family val="2"/>
      <scheme val="minor"/>
    </font>
    <font>
      <sz val="16"/>
      <color theme="1"/>
      <name val="Calibri"/>
      <family val="2"/>
      <scheme val="minor"/>
    </font>
    <font>
      <sz val="16"/>
      <color theme="1"/>
      <name val="Arial"/>
      <family val="2"/>
    </font>
    <font>
      <sz val="26"/>
      <color rgb="FFC00000"/>
      <name val="Arial"/>
      <family val="2"/>
    </font>
    <font>
      <sz val="20"/>
      <color theme="0"/>
      <name val="Arial"/>
      <family val="2"/>
    </font>
    <font>
      <b/>
      <sz val="26"/>
      <color rgb="FF5B9765"/>
      <name val="Arial"/>
      <family val="2"/>
    </font>
    <font>
      <b/>
      <sz val="26"/>
      <color theme="1"/>
      <name val="Arial"/>
      <family val="2"/>
    </font>
    <font>
      <b/>
      <sz val="36"/>
      <color theme="5"/>
      <name val="Arial"/>
      <family val="2"/>
    </font>
    <font>
      <b/>
      <sz val="36"/>
      <color theme="7"/>
      <name val="Arial"/>
      <family val="2"/>
    </font>
    <font>
      <b/>
      <sz val="48"/>
      <color theme="0"/>
      <name val="Arial"/>
      <family val="2"/>
    </font>
    <font>
      <b/>
      <sz val="26"/>
      <color theme="0"/>
      <name val="Arial"/>
      <family val="2"/>
    </font>
    <font>
      <b/>
      <sz val="10.5"/>
      <name val="Calibri"/>
      <family val="2"/>
      <scheme val="minor"/>
    </font>
    <font>
      <sz val="10.5"/>
      <name val="Calibri"/>
      <family val="2"/>
      <scheme val="minor"/>
    </font>
    <font>
      <b/>
      <sz val="16"/>
      <name val="Calibri"/>
      <family val="2"/>
      <scheme val="minor"/>
    </font>
    <font>
      <sz val="11"/>
      <name val="Arial"/>
      <family val="2"/>
    </font>
    <font>
      <b/>
      <sz val="11"/>
      <name val="Arial"/>
      <family val="2"/>
    </font>
    <font>
      <u/>
      <sz val="12"/>
      <name val="Calibri"/>
      <family val="2"/>
      <scheme val="minor"/>
    </font>
    <font>
      <sz val="12"/>
      <color rgb="FFFF0000"/>
      <name val="Calibri"/>
      <family val="2"/>
      <scheme val="minor"/>
    </font>
    <font>
      <b/>
      <sz val="17"/>
      <color theme="0"/>
      <name val="Arial"/>
      <family val="2"/>
    </font>
    <font>
      <sz val="11"/>
      <color rgb="FFFF0000"/>
      <name val="Calibri"/>
      <family val="2"/>
      <scheme val="minor"/>
    </font>
    <font>
      <b/>
      <sz val="12"/>
      <color rgb="FFFF0000"/>
      <name val="Arial"/>
      <family val="2"/>
    </font>
    <font>
      <b/>
      <sz val="20"/>
      <color rgb="FFFF0000"/>
      <name val="Arial"/>
      <family val="2"/>
    </font>
    <font>
      <sz val="11"/>
      <color rgb="FFFF0000"/>
      <name val="Arial"/>
      <family val="2"/>
    </font>
    <font>
      <sz val="10"/>
      <name val="Montserrat"/>
    </font>
    <font>
      <sz val="12"/>
      <name val="Arial"/>
      <family val="2"/>
    </font>
    <font>
      <b/>
      <sz val="12"/>
      <name val="Arial"/>
      <family val="2"/>
    </font>
    <font>
      <b/>
      <sz val="16"/>
      <name val="Arial"/>
      <family val="2"/>
    </font>
    <font>
      <sz val="12"/>
      <color rgb="FF000000"/>
      <name val="Calibri"/>
      <family val="2"/>
      <scheme val="minor"/>
    </font>
    <font>
      <b/>
      <sz val="12"/>
      <color rgb="FF000000"/>
      <name val="Calibri"/>
      <family val="2"/>
      <scheme val="minor"/>
    </font>
    <font>
      <b/>
      <sz val="11"/>
      <name val="Calibri"/>
      <family val="2"/>
      <scheme val="minor"/>
    </font>
    <font>
      <b/>
      <sz val="11"/>
      <color rgb="FF798D98"/>
      <name val="Calibri"/>
      <family val="2"/>
      <scheme val="minor"/>
    </font>
    <font>
      <sz val="11"/>
      <color rgb="FF798D98"/>
      <name val="Calibri"/>
      <family val="2"/>
      <scheme val="minor"/>
    </font>
    <font>
      <sz val="10.5"/>
      <color rgb="FF798D98"/>
      <name val="Calibri"/>
      <family val="2"/>
      <scheme val="minor"/>
    </font>
    <font>
      <b/>
      <sz val="16"/>
      <color rgb="FF798D98"/>
      <name val="Calibri"/>
      <family val="2"/>
      <scheme val="minor"/>
    </font>
    <font>
      <b/>
      <sz val="18"/>
      <color rgb="FF798D98"/>
      <name val="Calibri"/>
      <family val="2"/>
      <scheme val="minor"/>
    </font>
    <font>
      <sz val="12"/>
      <color rgb="FF798D98"/>
      <name val="Arial"/>
      <family val="2"/>
    </font>
    <font>
      <b/>
      <sz val="14"/>
      <color rgb="FF798D98"/>
      <name val="Calibri"/>
      <family val="2"/>
      <scheme val="minor"/>
    </font>
    <font>
      <sz val="12"/>
      <color rgb="FF798D98"/>
      <name val="Calibri"/>
      <family val="2"/>
      <scheme val="minor"/>
    </font>
    <font>
      <sz val="10"/>
      <color rgb="FF000000"/>
      <name val="Arial"/>
      <family val="2"/>
    </font>
    <font>
      <b/>
      <sz val="12"/>
      <name val="Calibri"/>
      <family val="2"/>
    </font>
    <font>
      <b/>
      <sz val="11"/>
      <color theme="1"/>
      <name val="Aptos"/>
      <family val="2"/>
    </font>
    <font>
      <b/>
      <sz val="11"/>
      <color rgb="FF000000"/>
      <name val="Calibri"/>
      <family val="2"/>
      <scheme val="minor"/>
    </font>
    <font>
      <sz val="11"/>
      <color rgb="FF000000"/>
      <name val="Calibri"/>
      <family val="2"/>
      <scheme val="minor"/>
    </font>
    <font>
      <sz val="12"/>
      <color theme="1"/>
      <name val="Calibri"/>
      <family val="2"/>
      <scheme val="minor"/>
    </font>
    <font>
      <sz val="11"/>
      <name val="Calibri"/>
      <family val="2"/>
      <scheme val="minor"/>
    </font>
    <font>
      <b/>
      <sz val="11"/>
      <name val="Calibri"/>
      <family val="2"/>
      <scheme val="minor"/>
    </font>
    <font>
      <b/>
      <sz val="11"/>
      <color rgb="FF010101"/>
      <name val="Calibri"/>
      <family val="2"/>
      <scheme val="minor"/>
    </font>
    <font>
      <sz val="11"/>
      <color rgb="FF010101"/>
      <name val="Calibri"/>
      <family val="2"/>
      <scheme val="minor"/>
    </font>
    <font>
      <sz val="11"/>
      <color rgb="FF333333"/>
      <name val="Calibri"/>
      <family val="2"/>
      <scheme val="minor"/>
    </font>
    <font>
      <sz val="11"/>
      <color rgb="FF4B4B4B"/>
      <name val="Calibri"/>
      <family val="2"/>
      <scheme val="minor"/>
    </font>
    <font>
      <sz val="11"/>
      <color rgb="FF0070C0"/>
      <name val="Calibri"/>
      <family val="2"/>
      <scheme val="minor"/>
    </font>
    <font>
      <b/>
      <u/>
      <sz val="22"/>
      <color rgb="FF0070C0"/>
      <name val="Calibri"/>
      <family val="2"/>
      <scheme val="minor"/>
    </font>
  </fonts>
  <fills count="28">
    <fill>
      <patternFill patternType="none"/>
    </fill>
    <fill>
      <patternFill patternType="gray125"/>
    </fill>
    <fill>
      <patternFill patternType="solid">
        <fgColor rgb="FFF6F2FF"/>
        <bgColor rgb="FFF6F2FF"/>
      </patternFill>
    </fill>
    <fill>
      <patternFill patternType="solid">
        <fgColor rgb="FFFFFFFF"/>
        <bgColor rgb="FFFFFFCC"/>
      </patternFill>
    </fill>
    <fill>
      <patternFill patternType="solid">
        <fgColor rgb="FF6AA84F"/>
        <bgColor rgb="FF6AA84F"/>
      </patternFill>
    </fill>
    <fill>
      <patternFill patternType="solid">
        <fgColor rgb="FFC0C0C0"/>
        <bgColor rgb="FFC0C0C0"/>
      </patternFill>
    </fill>
    <fill>
      <patternFill patternType="solid">
        <fgColor rgb="FFDADADA"/>
        <bgColor indexed="64"/>
      </patternFill>
    </fill>
    <fill>
      <patternFill patternType="solid">
        <fgColor rgb="FFF6F2FF"/>
        <bgColor indexed="64"/>
      </patternFill>
    </fill>
    <fill>
      <patternFill patternType="solid">
        <fgColor rgb="FFFFFFFF"/>
        <bgColor indexed="64"/>
      </patternFill>
    </fill>
    <fill>
      <patternFill patternType="solid">
        <fgColor rgb="FFFFFF00"/>
        <bgColor indexed="64"/>
      </patternFill>
    </fill>
    <fill>
      <patternFill patternType="solid">
        <fgColor theme="0"/>
        <bgColor indexed="64"/>
      </patternFill>
    </fill>
    <fill>
      <patternFill patternType="solid">
        <fgColor theme="5" tint="0.39997558519241921"/>
        <bgColor indexed="64"/>
      </patternFill>
    </fill>
    <fill>
      <patternFill patternType="solid">
        <fgColor theme="7"/>
        <bgColor indexed="64"/>
      </patternFill>
    </fill>
    <fill>
      <patternFill patternType="solid">
        <fgColor theme="3" tint="0.59999389629810485"/>
        <bgColor indexed="64"/>
      </patternFill>
    </fill>
    <fill>
      <patternFill patternType="solid">
        <fgColor theme="0" tint="-4.9989318521683403E-2"/>
        <bgColor indexed="64"/>
      </patternFill>
    </fill>
    <fill>
      <patternFill patternType="solid">
        <fgColor theme="3"/>
        <bgColor indexed="64"/>
      </patternFill>
    </fill>
    <fill>
      <patternFill patternType="solid">
        <fgColor theme="4"/>
        <bgColor indexed="64"/>
      </patternFill>
    </fill>
    <fill>
      <patternFill patternType="solid">
        <fgColor theme="0" tint="-9.9978637043366805E-2"/>
        <bgColor indexed="64"/>
      </patternFill>
    </fill>
    <fill>
      <patternFill patternType="solid">
        <fgColor theme="1" tint="0.39997558519241921"/>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rgb="FFDFBE7B"/>
        <bgColor indexed="64"/>
      </patternFill>
    </fill>
    <fill>
      <patternFill patternType="solid">
        <fgColor rgb="FFDFBE7B"/>
        <bgColor rgb="FFFFFFCC"/>
      </patternFill>
    </fill>
    <fill>
      <patternFill patternType="solid">
        <fgColor rgb="FFF6F2FF"/>
        <bgColor rgb="FFFFFFCC"/>
      </patternFill>
    </fill>
    <fill>
      <patternFill patternType="solid">
        <fgColor rgb="FFFF0000"/>
        <bgColor rgb="FFFFFFCC"/>
      </patternFill>
    </fill>
    <fill>
      <patternFill patternType="solid">
        <fgColor rgb="FF0070C0"/>
        <bgColor rgb="FFFFFFCC"/>
      </patternFill>
    </fill>
    <fill>
      <patternFill patternType="solid">
        <fgColor theme="9"/>
        <bgColor rgb="FFFFFFCC"/>
      </patternFill>
    </fill>
    <fill>
      <patternFill patternType="solid">
        <fgColor theme="0" tint="-0.14999847407452621"/>
        <bgColor indexed="64"/>
      </patternFill>
    </fill>
  </fills>
  <borders count="6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medium">
        <color indexed="64"/>
      </left>
      <right style="medium">
        <color indexed="64"/>
      </right>
      <top style="medium">
        <color indexed="64"/>
      </top>
      <bottom style="medium">
        <color indexed="64"/>
      </bottom>
      <diagonal/>
    </border>
    <border>
      <left style="medium">
        <color theme="0" tint="-0.14999847407452621"/>
      </left>
      <right/>
      <top style="medium">
        <color theme="0" tint="-0.14999847407452621"/>
      </top>
      <bottom/>
      <diagonal/>
    </border>
    <border>
      <left/>
      <right/>
      <top style="medium">
        <color theme="0" tint="-0.14999847407452621"/>
      </top>
      <bottom/>
      <diagonal/>
    </border>
    <border>
      <left/>
      <right style="medium">
        <color theme="0" tint="-0.14999847407452621"/>
      </right>
      <top style="medium">
        <color theme="0" tint="-0.14999847407452621"/>
      </top>
      <bottom/>
      <diagonal/>
    </border>
    <border>
      <left style="medium">
        <color theme="0" tint="-0.14999847407452621"/>
      </left>
      <right/>
      <top/>
      <bottom style="medium">
        <color theme="0" tint="-0.14999847407452621"/>
      </bottom>
      <diagonal/>
    </border>
    <border>
      <left/>
      <right/>
      <top/>
      <bottom style="medium">
        <color theme="0" tint="-0.14999847407452621"/>
      </bottom>
      <diagonal/>
    </border>
    <border>
      <left/>
      <right style="medium">
        <color theme="0" tint="-0.14999847407452621"/>
      </right>
      <top/>
      <bottom style="medium">
        <color theme="0" tint="-0.14999847407452621"/>
      </bottom>
      <diagonal/>
    </border>
    <border>
      <left style="medium">
        <color theme="0" tint="-0.14999847407452621"/>
      </left>
      <right/>
      <top/>
      <bottom/>
      <diagonal/>
    </border>
    <border>
      <left/>
      <right style="medium">
        <color theme="0" tint="-0.14999847407452621"/>
      </right>
      <top/>
      <bottom/>
      <diagonal/>
    </border>
    <border>
      <left style="medium">
        <color theme="0" tint="-0.14999847407452621"/>
      </left>
      <right style="medium">
        <color theme="0" tint="-0.14999847407452621"/>
      </right>
      <top style="medium">
        <color theme="0" tint="-0.14999847407452621"/>
      </top>
      <bottom/>
      <diagonal/>
    </border>
    <border>
      <left style="medium">
        <color theme="0" tint="-0.14999847407452621"/>
      </left>
      <right style="medium">
        <color theme="0" tint="-0.14999847407452621"/>
      </right>
      <top/>
      <bottom/>
      <diagonal/>
    </border>
    <border>
      <left style="medium">
        <color theme="0" tint="-0.14999847407452621"/>
      </left>
      <right style="medium">
        <color theme="0" tint="-0.14999847407452621"/>
      </right>
      <top/>
      <bottom style="medium">
        <color theme="0" tint="-0.14999847407452621"/>
      </bottom>
      <diagonal/>
    </border>
    <border>
      <left style="thin">
        <color rgb="FF798D98"/>
      </left>
      <right style="thin">
        <color rgb="FF798D98"/>
      </right>
      <top style="thin">
        <color rgb="FF798D98"/>
      </top>
      <bottom style="thin">
        <color rgb="FF798D98"/>
      </bottom>
      <diagonal/>
    </border>
    <border>
      <left/>
      <right/>
      <top style="thin">
        <color rgb="FF798D98"/>
      </top>
      <bottom/>
      <diagonal/>
    </border>
    <border>
      <left style="thin">
        <color rgb="FF798D98"/>
      </left>
      <right style="thin">
        <color rgb="FF798D98"/>
      </right>
      <top style="thin">
        <color rgb="FF798D98"/>
      </top>
      <bottom/>
      <diagonal/>
    </border>
    <border>
      <left style="thin">
        <color rgb="FF798D98"/>
      </left>
      <right style="thin">
        <color rgb="FF798D98"/>
      </right>
      <top/>
      <bottom style="thin">
        <color rgb="FF798D98"/>
      </bottom>
      <diagonal/>
    </border>
    <border>
      <left style="thin">
        <color rgb="FF798D98"/>
      </left>
      <right style="thin">
        <color rgb="FF798D98"/>
      </right>
      <top/>
      <bottom/>
      <diagonal/>
    </border>
    <border>
      <left style="thin">
        <color rgb="FF798D98"/>
      </left>
      <right/>
      <top style="thin">
        <color rgb="FF798D98"/>
      </top>
      <bottom/>
      <diagonal/>
    </border>
    <border>
      <left/>
      <right style="thin">
        <color rgb="FF798D98"/>
      </right>
      <top style="thin">
        <color rgb="FF798D98"/>
      </top>
      <bottom/>
      <diagonal/>
    </border>
    <border>
      <left style="thin">
        <color rgb="FF798D98"/>
      </left>
      <right/>
      <top/>
      <bottom/>
      <diagonal/>
    </border>
    <border>
      <left/>
      <right style="thin">
        <color rgb="FF798D98"/>
      </right>
      <top/>
      <bottom/>
      <diagonal/>
    </border>
    <border>
      <left style="thin">
        <color rgb="FF798D98"/>
      </left>
      <right/>
      <top/>
      <bottom style="thin">
        <color rgb="FF798D98"/>
      </bottom>
      <diagonal/>
    </border>
    <border>
      <left/>
      <right style="thin">
        <color rgb="FF798D98"/>
      </right>
      <top/>
      <bottom style="thin">
        <color rgb="FF798D98"/>
      </bottom>
      <diagonal/>
    </border>
    <border>
      <left style="medium">
        <color rgb="FF798D98"/>
      </left>
      <right/>
      <top style="medium">
        <color rgb="FF798D98"/>
      </top>
      <bottom/>
      <diagonal/>
    </border>
    <border>
      <left/>
      <right/>
      <top style="medium">
        <color rgb="FF798D98"/>
      </top>
      <bottom/>
      <diagonal/>
    </border>
    <border>
      <left/>
      <right style="medium">
        <color rgb="FF798D98"/>
      </right>
      <top style="medium">
        <color rgb="FF798D98"/>
      </top>
      <bottom/>
      <diagonal/>
    </border>
    <border>
      <left style="medium">
        <color rgb="FF798D98"/>
      </left>
      <right/>
      <top/>
      <bottom/>
      <diagonal/>
    </border>
    <border>
      <left/>
      <right style="medium">
        <color rgb="FF798D98"/>
      </right>
      <top/>
      <bottom/>
      <diagonal/>
    </border>
    <border>
      <left style="medium">
        <color rgb="FF798D98"/>
      </left>
      <right/>
      <top/>
      <bottom style="medium">
        <color rgb="FF798D98"/>
      </bottom>
      <diagonal/>
    </border>
    <border>
      <left/>
      <right/>
      <top/>
      <bottom style="medium">
        <color rgb="FF798D98"/>
      </bottom>
      <diagonal/>
    </border>
    <border>
      <left/>
      <right style="medium">
        <color rgb="FF798D98"/>
      </right>
      <top/>
      <bottom style="medium">
        <color rgb="FF798D98"/>
      </bottom>
      <diagonal/>
    </border>
    <border>
      <left style="medium">
        <color rgb="FF798D98"/>
      </left>
      <right style="thin">
        <color rgb="FF798D98"/>
      </right>
      <top style="medium">
        <color rgb="FF798D98"/>
      </top>
      <bottom style="thin">
        <color rgb="FF798D98"/>
      </bottom>
      <diagonal/>
    </border>
    <border>
      <left style="thin">
        <color rgb="FF798D98"/>
      </left>
      <right style="medium">
        <color rgb="FF798D98"/>
      </right>
      <top style="medium">
        <color rgb="FF798D98"/>
      </top>
      <bottom style="thin">
        <color rgb="FF798D98"/>
      </bottom>
      <diagonal/>
    </border>
    <border>
      <left style="medium">
        <color rgb="FF798D98"/>
      </left>
      <right style="thin">
        <color rgb="FF798D98"/>
      </right>
      <top style="thin">
        <color rgb="FF798D98"/>
      </top>
      <bottom style="medium">
        <color rgb="FF798D98"/>
      </bottom>
      <diagonal/>
    </border>
    <border>
      <left style="thin">
        <color rgb="FF798D98"/>
      </left>
      <right style="medium">
        <color rgb="FF798D98"/>
      </right>
      <top style="thin">
        <color rgb="FF798D98"/>
      </top>
      <bottom style="medium">
        <color rgb="FF798D98"/>
      </bottom>
      <diagonal/>
    </border>
    <border>
      <left style="thin">
        <color rgb="FF798D98"/>
      </left>
      <right/>
      <top style="thin">
        <color rgb="FF798D98"/>
      </top>
      <bottom style="thin">
        <color rgb="FF798D98"/>
      </bottom>
      <diagonal/>
    </border>
    <border>
      <left/>
      <right/>
      <top style="thin">
        <color rgb="FF798D98"/>
      </top>
      <bottom style="thin">
        <color rgb="FF798D98"/>
      </bottom>
      <diagonal/>
    </border>
    <border>
      <left/>
      <right style="thin">
        <color rgb="FF798D98"/>
      </right>
      <top style="thin">
        <color rgb="FF798D98"/>
      </top>
      <bottom style="thin">
        <color rgb="FF798D98"/>
      </bottom>
      <diagonal/>
    </border>
    <border>
      <left/>
      <right/>
      <top style="thin">
        <color indexed="64"/>
      </top>
      <bottom/>
      <diagonal/>
    </border>
    <border>
      <left style="thin">
        <color theme="4" tint="0.39997558519241921"/>
      </left>
      <right/>
      <top style="thin">
        <color indexed="64"/>
      </top>
      <bottom/>
      <diagonal/>
    </border>
    <border>
      <left/>
      <right/>
      <top style="thin">
        <color rgb="FF98A7BC"/>
      </top>
      <bottom style="thin">
        <color rgb="FF98A7BC"/>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style="medium">
        <color theme="1"/>
      </left>
      <right/>
      <top/>
      <bottom/>
      <diagonal/>
    </border>
    <border>
      <left/>
      <right style="medium">
        <color theme="1"/>
      </right>
      <top/>
      <bottom/>
      <diagonal/>
    </border>
    <border>
      <left/>
      <right/>
      <top style="medium">
        <color theme="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0">
    <xf numFmtId="0" fontId="0" fillId="0" borderId="0"/>
    <xf numFmtId="166" fontId="6" fillId="0" borderId="0" applyFont="0" applyFill="0" applyBorder="0" applyAlignment="0" applyProtection="0"/>
    <xf numFmtId="0" fontId="9" fillId="0" borderId="0" applyNumberFormat="0" applyFill="0" applyBorder="0" applyAlignment="0" applyProtection="0"/>
    <xf numFmtId="0" fontId="10" fillId="0" borderId="0"/>
    <xf numFmtId="41" fontId="6" fillId="0" borderId="0" applyFont="0" applyFill="0" applyBorder="0" applyAlignment="0" applyProtection="0"/>
    <xf numFmtId="164"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0" fontId="5" fillId="0" borderId="0"/>
    <xf numFmtId="9" fontId="5" fillId="0" borderId="0" applyFont="0" applyFill="0" applyBorder="0" applyAlignment="0" applyProtection="0"/>
  </cellStyleXfs>
  <cellXfs count="614">
    <xf numFmtId="0" fontId="0" fillId="0" borderId="0" xfId="0"/>
    <xf numFmtId="0" fontId="10" fillId="0" borderId="0" xfId="3"/>
    <xf numFmtId="0" fontId="10" fillId="4" borderId="0" xfId="3" applyFill="1"/>
    <xf numFmtId="0" fontId="7" fillId="0" borderId="1" xfId="0" applyFont="1" applyBorder="1" applyAlignment="1">
      <alignment horizontal="center" vertical="center"/>
    </xf>
    <xf numFmtId="0" fontId="8" fillId="0" borderId="0" xfId="0" applyFont="1"/>
    <xf numFmtId="0" fontId="9" fillId="0" borderId="0" xfId="2"/>
    <xf numFmtId="168" fontId="12" fillId="5" borderId="5" xfId="0" applyNumberFormat="1" applyFont="1" applyFill="1" applyBorder="1" applyAlignment="1">
      <alignment horizontal="center" vertical="center" wrapText="1"/>
    </xf>
    <xf numFmtId="0" fontId="12" fillId="5" borderId="5" xfId="0" applyFont="1" applyFill="1" applyBorder="1" applyAlignment="1">
      <alignment horizontal="center" vertical="center" wrapText="1"/>
    </xf>
    <xf numFmtId="0" fontId="13" fillId="0" borderId="0" xfId="0" applyFont="1" applyAlignment="1">
      <alignment horizontal="justify" vertical="center"/>
    </xf>
    <xf numFmtId="0" fontId="0" fillId="0" borderId="0" xfId="0" applyAlignment="1">
      <alignment horizontal="center"/>
    </xf>
    <xf numFmtId="0" fontId="0" fillId="0" borderId="0" xfId="0" applyAlignment="1">
      <alignment wrapText="1"/>
    </xf>
    <xf numFmtId="0" fontId="7" fillId="0" borderId="1" xfId="0" applyFont="1" applyBorder="1" applyAlignment="1" applyProtection="1">
      <alignment vertical="center"/>
      <protection hidden="1"/>
    </xf>
    <xf numFmtId="0" fontId="0" fillId="0" borderId="1" xfId="0" applyBorder="1" applyProtection="1">
      <protection hidden="1"/>
    </xf>
    <xf numFmtId="0" fontId="14" fillId="0" borderId="0" xfId="0" applyFont="1" applyProtection="1">
      <protection hidden="1"/>
    </xf>
    <xf numFmtId="0" fontId="7" fillId="0" borderId="1" xfId="0" applyFont="1" applyBorder="1" applyAlignment="1" applyProtection="1">
      <alignment horizontal="center" vertical="center"/>
      <protection locked="0"/>
    </xf>
    <xf numFmtId="0" fontId="15" fillId="0" borderId="1" xfId="0" applyFont="1" applyBorder="1" applyAlignment="1">
      <alignment vertical="center" wrapText="1"/>
    </xf>
    <xf numFmtId="0" fontId="15" fillId="0" borderId="2" xfId="0" applyFont="1" applyBorder="1" applyAlignment="1">
      <alignment vertical="center" wrapText="1"/>
    </xf>
    <xf numFmtId="0" fontId="16" fillId="0" borderId="2" xfId="0" applyFont="1" applyBorder="1" applyAlignment="1">
      <alignment vertical="center" wrapText="1"/>
    </xf>
    <xf numFmtId="41" fontId="0" fillId="0" borderId="0" xfId="4" applyFont="1"/>
    <xf numFmtId="0" fontId="14" fillId="0" borderId="0" xfId="0" applyFont="1" applyAlignment="1" applyProtection="1">
      <alignment horizontal="left" vertical="center" wrapText="1"/>
      <protection hidden="1"/>
    </xf>
    <xf numFmtId="1" fontId="0" fillId="0" borderId="0" xfId="0" applyNumberFormat="1"/>
    <xf numFmtId="0" fontId="14" fillId="0" borderId="0" xfId="0" applyFont="1" applyAlignment="1" applyProtection="1">
      <alignment vertical="center"/>
      <protection hidden="1"/>
    </xf>
    <xf numFmtId="3" fontId="0" fillId="0" borderId="0" xfId="0" applyNumberFormat="1"/>
    <xf numFmtId="0" fontId="0" fillId="0" borderId="0" xfId="0" applyAlignment="1">
      <alignment horizontal="center" vertical="center"/>
    </xf>
    <xf numFmtId="167" fontId="0" fillId="0" borderId="0" xfId="0" applyNumberFormat="1" applyAlignment="1">
      <alignment horizontal="center" vertical="center"/>
    </xf>
    <xf numFmtId="0" fontId="7" fillId="7" borderId="0" xfId="0" applyFont="1" applyFill="1" applyAlignment="1">
      <alignment horizontal="center" vertical="center"/>
    </xf>
    <xf numFmtId="0" fontId="8" fillId="0" borderId="0" xfId="0" applyFont="1" applyAlignment="1">
      <alignment horizontal="center" vertical="center"/>
    </xf>
    <xf numFmtId="0" fontId="20" fillId="0" borderId="0" xfId="0" applyFont="1" applyAlignment="1">
      <alignment horizontal="center" vertical="center"/>
    </xf>
    <xf numFmtId="49" fontId="20" fillId="0" borderId="0" xfId="0" applyNumberFormat="1" applyFont="1" applyAlignment="1">
      <alignment horizontal="center" vertical="center"/>
    </xf>
    <xf numFmtId="0" fontId="21" fillId="0" borderId="1" xfId="3" applyFont="1" applyBorder="1"/>
    <xf numFmtId="0" fontId="22" fillId="10" borderId="1" xfId="3" applyFont="1" applyFill="1" applyBorder="1" applyAlignment="1">
      <alignment horizontal="left"/>
    </xf>
    <xf numFmtId="0" fontId="0" fillId="0" borderId="0" xfId="0" applyAlignment="1">
      <alignment horizontal="left"/>
    </xf>
    <xf numFmtId="0" fontId="17" fillId="0" borderId="0" xfId="0" applyFont="1" applyAlignment="1">
      <alignment horizontal="right" vertical="center"/>
    </xf>
    <xf numFmtId="0" fontId="17" fillId="0" borderId="0" xfId="0" applyFont="1" applyAlignment="1">
      <alignment horizontal="justify" vertical="center"/>
    </xf>
    <xf numFmtId="0" fontId="0" fillId="14" borderId="0" xfId="0" applyFill="1"/>
    <xf numFmtId="0" fontId="13" fillId="14" borderId="0" xfId="0" applyFont="1" applyFill="1"/>
    <xf numFmtId="0" fontId="27" fillId="14" borderId="0" xfId="0" applyFont="1" applyFill="1"/>
    <xf numFmtId="175" fontId="20" fillId="0" borderId="0" xfId="0" applyNumberFormat="1" applyFont="1" applyAlignment="1">
      <alignment horizontal="center" vertical="center"/>
    </xf>
    <xf numFmtId="0" fontId="20" fillId="0" borderId="0" xfId="0" applyFont="1"/>
    <xf numFmtId="0" fontId="0" fillId="0" borderId="0" xfId="0" pivotButton="1"/>
    <xf numFmtId="0" fontId="36" fillId="14" borderId="0" xfId="0" applyFont="1" applyFill="1"/>
    <xf numFmtId="0" fontId="36" fillId="0" borderId="0" xfId="0" applyFont="1"/>
    <xf numFmtId="0" fontId="23" fillId="16" borderId="8" xfId="0" applyFont="1" applyFill="1" applyBorder="1" applyAlignment="1">
      <alignment horizontal="left" vertical="center"/>
    </xf>
    <xf numFmtId="0" fontId="24" fillId="16" borderId="8" xfId="0" applyFont="1" applyFill="1" applyBorder="1"/>
    <xf numFmtId="0" fontId="23" fillId="16" borderId="11" xfId="0" applyFont="1" applyFill="1" applyBorder="1" applyAlignment="1">
      <alignment horizontal="left" vertical="center"/>
    </xf>
    <xf numFmtId="0" fontId="24" fillId="16" borderId="11" xfId="0" applyFont="1" applyFill="1" applyBorder="1"/>
    <xf numFmtId="0" fontId="29" fillId="16" borderId="8" xfId="0" applyFont="1" applyFill="1" applyBorder="1" applyAlignment="1">
      <alignment vertical="center"/>
    </xf>
    <xf numFmtId="0" fontId="29" fillId="16" borderId="11" xfId="0" applyFont="1" applyFill="1" applyBorder="1" applyAlignment="1">
      <alignment vertical="center"/>
    </xf>
    <xf numFmtId="0" fontId="33" fillId="16" borderId="8" xfId="0" applyFont="1" applyFill="1" applyBorder="1" applyAlignment="1">
      <alignment horizontal="center" vertical="center"/>
    </xf>
    <xf numFmtId="0" fontId="0" fillId="16" borderId="9" xfId="0" applyFill="1" applyBorder="1"/>
    <xf numFmtId="0" fontId="33" fillId="16" borderId="11" xfId="0" applyFont="1" applyFill="1" applyBorder="1" applyAlignment="1">
      <alignment horizontal="center" vertical="center"/>
    </xf>
    <xf numFmtId="0" fontId="0" fillId="16" borderId="12" xfId="0" applyFill="1" applyBorder="1"/>
    <xf numFmtId="0" fontId="13" fillId="17" borderId="0" xfId="0" applyFont="1" applyFill="1"/>
    <xf numFmtId="0" fontId="0" fillId="17" borderId="0" xfId="0" applyFill="1"/>
    <xf numFmtId="0" fontId="19" fillId="3" borderId="0" xfId="0" applyFont="1" applyFill="1" applyAlignment="1" applyProtection="1">
      <alignment horizontal="center" vertical="center" wrapText="1"/>
      <protection hidden="1"/>
    </xf>
    <xf numFmtId="0" fontId="20" fillId="0" borderId="0" xfId="0" applyFont="1" applyProtection="1">
      <protection hidden="1"/>
    </xf>
    <xf numFmtId="0" fontId="46" fillId="0" borderId="0" xfId="0" applyFont="1" applyAlignment="1" applyProtection="1">
      <alignment horizontal="center" vertical="center"/>
      <protection hidden="1"/>
    </xf>
    <xf numFmtId="0" fontId="35" fillId="0" borderId="1" xfId="0" applyFont="1" applyBorder="1" applyAlignment="1">
      <alignment horizontal="center" vertical="center"/>
    </xf>
    <xf numFmtId="0" fontId="35" fillId="0" borderId="1" xfId="0" applyFont="1" applyBorder="1" applyAlignment="1" applyProtection="1">
      <alignment vertical="center"/>
      <protection hidden="1"/>
    </xf>
    <xf numFmtId="0" fontId="48" fillId="0" borderId="0" xfId="0" applyFont="1" applyAlignment="1" applyProtection="1">
      <alignment horizontal="center"/>
      <protection hidden="1"/>
    </xf>
    <xf numFmtId="0" fontId="35" fillId="0" borderId="1" xfId="0" applyFont="1" applyBorder="1" applyAlignment="1" applyProtection="1">
      <alignment horizontal="center" vertical="center"/>
      <protection locked="0"/>
    </xf>
    <xf numFmtId="0" fontId="20" fillId="0" borderId="1" xfId="0" applyFont="1" applyBorder="1" applyAlignment="1" applyProtection="1">
      <alignment horizontal="right" vertical="center"/>
      <protection hidden="1"/>
    </xf>
    <xf numFmtId="0" fontId="35" fillId="0" borderId="0" xfId="0" applyFont="1" applyAlignment="1" applyProtection="1">
      <alignment horizontal="center"/>
      <protection hidden="1"/>
    </xf>
    <xf numFmtId="0" fontId="20" fillId="0" borderId="0" xfId="0" applyFont="1" applyAlignment="1" applyProtection="1">
      <alignment horizontal="left" vertical="top" wrapText="1"/>
      <protection hidden="1"/>
    </xf>
    <xf numFmtId="0" fontId="20" fillId="0" borderId="0" xfId="0" applyFont="1" applyAlignment="1" applyProtection="1">
      <alignment horizontal="justify"/>
      <protection hidden="1"/>
    </xf>
    <xf numFmtId="0" fontId="20" fillId="0" borderId="0" xfId="0" applyFont="1" applyAlignment="1" applyProtection="1">
      <alignment horizontal="left"/>
      <protection hidden="1"/>
    </xf>
    <xf numFmtId="0" fontId="20" fillId="0" borderId="0" xfId="0" applyFont="1" applyAlignment="1" applyProtection="1">
      <alignment horizontal="left" vertical="center"/>
      <protection hidden="1"/>
    </xf>
    <xf numFmtId="0" fontId="49" fillId="0" borderId="0" xfId="0" applyFont="1" applyAlignment="1" applyProtection="1">
      <alignment horizontal="justify" vertical="center"/>
      <protection hidden="1"/>
    </xf>
    <xf numFmtId="0" fontId="20" fillId="0" borderId="0" xfId="0" applyFont="1" applyAlignment="1" applyProtection="1">
      <alignment horizontal="left" wrapText="1"/>
      <protection hidden="1"/>
    </xf>
    <xf numFmtId="0" fontId="20" fillId="0" borderId="0" xfId="0" applyFont="1" applyAlignment="1" applyProtection="1">
      <alignment vertical="center" wrapText="1"/>
      <protection hidden="1"/>
    </xf>
    <xf numFmtId="0" fontId="20" fillId="0" borderId="0" xfId="0" applyFont="1" applyAlignment="1">
      <alignment vertical="center" wrapText="1"/>
    </xf>
    <xf numFmtId="0" fontId="35" fillId="0" borderId="0" xfId="0" applyFont="1" applyProtection="1">
      <protection hidden="1"/>
    </xf>
    <xf numFmtId="0" fontId="35" fillId="0" borderId="1" xfId="0" applyFont="1" applyBorder="1" applyAlignment="1" applyProtection="1">
      <alignment horizontal="center" vertical="center" wrapText="1"/>
      <protection hidden="1"/>
    </xf>
    <xf numFmtId="0" fontId="20" fillId="0" borderId="1" xfId="0" applyFont="1" applyBorder="1" applyAlignment="1" applyProtection="1">
      <alignment horizontal="center" vertical="center" wrapText="1"/>
      <protection hidden="1"/>
    </xf>
    <xf numFmtId="41" fontId="20" fillId="0" borderId="1" xfId="4" applyFont="1" applyBorder="1" applyAlignment="1" applyProtection="1">
      <alignment horizontal="center" vertical="center"/>
      <protection hidden="1"/>
    </xf>
    <xf numFmtId="0" fontId="20" fillId="0" borderId="0" xfId="0" applyFont="1" applyAlignment="1" applyProtection="1">
      <alignment wrapText="1"/>
      <protection hidden="1"/>
    </xf>
    <xf numFmtId="175" fontId="20" fillId="0" borderId="0" xfId="0" applyNumberFormat="1" applyFont="1"/>
    <xf numFmtId="0" fontId="35" fillId="0" borderId="1" xfId="0" applyFont="1" applyBorder="1" applyAlignment="1" applyProtection="1">
      <alignment vertical="center" wrapText="1"/>
      <protection hidden="1"/>
    </xf>
    <xf numFmtId="0" fontId="20" fillId="0" borderId="0" xfId="0" applyFont="1" applyAlignment="1">
      <alignment horizontal="justify"/>
    </xf>
    <xf numFmtId="0" fontId="47" fillId="0" borderId="0" xfId="0" applyFont="1" applyAlignment="1" applyProtection="1">
      <alignment horizontal="left" vertical="center" wrapText="1"/>
      <protection hidden="1"/>
    </xf>
    <xf numFmtId="0" fontId="29" fillId="15" borderId="7" xfId="0" applyFont="1" applyFill="1" applyBorder="1" applyAlignment="1" applyProtection="1">
      <alignment horizontal="center" vertical="center" wrapText="1"/>
      <protection hidden="1"/>
    </xf>
    <xf numFmtId="0" fontId="29" fillId="15" borderId="15" xfId="0" applyFont="1" applyFill="1" applyBorder="1" applyAlignment="1" applyProtection="1">
      <alignment horizontal="center" vertical="center"/>
      <protection hidden="1"/>
    </xf>
    <xf numFmtId="0" fontId="13" fillId="14" borderId="0" xfId="0" applyFont="1" applyFill="1" applyProtection="1">
      <protection hidden="1"/>
    </xf>
    <xf numFmtId="0" fontId="13" fillId="15" borderId="8" xfId="0" applyFont="1" applyFill="1" applyBorder="1" applyProtection="1">
      <protection hidden="1"/>
    </xf>
    <xf numFmtId="0" fontId="29" fillId="15" borderId="8" xfId="0" applyFont="1" applyFill="1" applyBorder="1" applyAlignment="1" applyProtection="1">
      <alignment vertical="center" wrapText="1"/>
      <protection hidden="1"/>
    </xf>
    <xf numFmtId="1" fontId="23" fillId="15" borderId="9" xfId="0" applyNumberFormat="1" applyFont="1" applyFill="1" applyBorder="1" applyAlignment="1" applyProtection="1">
      <alignment horizontal="center" vertical="center"/>
      <protection hidden="1"/>
    </xf>
    <xf numFmtId="0" fontId="25" fillId="17" borderId="8" xfId="0" applyFont="1" applyFill="1" applyBorder="1" applyAlignment="1" applyProtection="1">
      <alignment horizontal="center" vertical="center"/>
      <protection hidden="1"/>
    </xf>
    <xf numFmtId="0" fontId="13" fillId="15" borderId="0" xfId="0" applyFont="1" applyFill="1" applyProtection="1">
      <protection hidden="1"/>
    </xf>
    <xf numFmtId="0" fontId="13" fillId="18" borderId="0" xfId="0" applyFont="1" applyFill="1" applyProtection="1">
      <protection hidden="1"/>
    </xf>
    <xf numFmtId="0" fontId="25" fillId="15" borderId="0" xfId="0" applyFont="1" applyFill="1" applyAlignment="1" applyProtection="1">
      <alignment wrapText="1"/>
      <protection hidden="1"/>
    </xf>
    <xf numFmtId="1" fontId="28" fillId="15" borderId="0" xfId="0" applyNumberFormat="1" applyFont="1" applyFill="1" applyAlignment="1" applyProtection="1">
      <alignment horizontal="center" vertical="center"/>
      <protection hidden="1"/>
    </xf>
    <xf numFmtId="9" fontId="28" fillId="15" borderId="14" xfId="7" applyFont="1" applyFill="1" applyBorder="1" applyAlignment="1" applyProtection="1">
      <alignment vertical="center"/>
      <protection hidden="1"/>
    </xf>
    <xf numFmtId="9" fontId="28" fillId="17" borderId="0" xfId="7" applyFont="1" applyFill="1" applyBorder="1" applyAlignment="1" applyProtection="1">
      <alignment horizontal="center" vertical="center"/>
      <protection hidden="1"/>
    </xf>
    <xf numFmtId="0" fontId="31" fillId="18" borderId="0" xfId="0" applyFont="1" applyFill="1" applyProtection="1">
      <protection hidden="1"/>
    </xf>
    <xf numFmtId="0" fontId="31" fillId="15" borderId="0" xfId="0" applyFont="1" applyFill="1" applyProtection="1">
      <protection hidden="1"/>
    </xf>
    <xf numFmtId="0" fontId="28" fillId="15" borderId="0" xfId="0" applyFont="1" applyFill="1" applyAlignment="1" applyProtection="1">
      <alignment vertical="center"/>
      <protection hidden="1"/>
    </xf>
    <xf numFmtId="0" fontId="13" fillId="15" borderId="13" xfId="0" applyFont="1" applyFill="1" applyBorder="1" applyProtection="1">
      <protection hidden="1"/>
    </xf>
    <xf numFmtId="0" fontId="13" fillId="15" borderId="14" xfId="0" applyFont="1" applyFill="1" applyBorder="1" applyProtection="1">
      <protection hidden="1"/>
    </xf>
    <xf numFmtId="0" fontId="13" fillId="17" borderId="0" xfId="0" applyFont="1" applyFill="1" applyProtection="1">
      <protection hidden="1"/>
    </xf>
    <xf numFmtId="0" fontId="26" fillId="15" borderId="13" xfId="0" applyFont="1" applyFill="1" applyBorder="1" applyAlignment="1" applyProtection="1">
      <alignment horizontal="left" vertical="center" wrapText="1"/>
      <protection hidden="1"/>
    </xf>
    <xf numFmtId="0" fontId="26" fillId="15" borderId="14" xfId="0" applyFont="1" applyFill="1" applyBorder="1" applyAlignment="1" applyProtection="1">
      <alignment horizontal="left" vertical="center" wrapText="1"/>
      <protection hidden="1"/>
    </xf>
    <xf numFmtId="0" fontId="37" fillId="14" borderId="0" xfId="0" applyFont="1" applyFill="1" applyProtection="1">
      <protection hidden="1"/>
    </xf>
    <xf numFmtId="0" fontId="37" fillId="15" borderId="13" xfId="0" applyFont="1" applyFill="1" applyBorder="1" applyProtection="1">
      <protection hidden="1"/>
    </xf>
    <xf numFmtId="0" fontId="37" fillId="15" borderId="0" xfId="0" applyFont="1" applyFill="1" applyProtection="1">
      <protection hidden="1"/>
    </xf>
    <xf numFmtId="0" fontId="37" fillId="18" borderId="0" xfId="0" applyFont="1" applyFill="1" applyProtection="1">
      <protection hidden="1"/>
    </xf>
    <xf numFmtId="9" fontId="37" fillId="15" borderId="0" xfId="7" applyFont="1" applyFill="1" applyBorder="1" applyProtection="1">
      <protection hidden="1"/>
    </xf>
    <xf numFmtId="0" fontId="37" fillId="15" borderId="14" xfId="0" applyFont="1" applyFill="1" applyBorder="1" applyProtection="1">
      <protection hidden="1"/>
    </xf>
    <xf numFmtId="0" fontId="37" fillId="17" borderId="0" xfId="0" applyFont="1" applyFill="1" applyProtection="1">
      <protection hidden="1"/>
    </xf>
    <xf numFmtId="9" fontId="13" fillId="15" borderId="0" xfId="7" applyFont="1" applyFill="1" applyBorder="1" applyProtection="1">
      <protection hidden="1"/>
    </xf>
    <xf numFmtId="9" fontId="32" fillId="15" borderId="13" xfId="7" applyFont="1" applyFill="1" applyBorder="1" applyAlignment="1" applyProtection="1">
      <alignment vertical="center"/>
      <protection hidden="1"/>
    </xf>
    <xf numFmtId="0" fontId="26" fillId="15" borderId="14" xfId="0" applyFont="1" applyFill="1" applyBorder="1" applyAlignment="1" applyProtection="1">
      <alignment vertical="center" wrapText="1"/>
      <protection hidden="1"/>
    </xf>
    <xf numFmtId="0" fontId="13" fillId="15" borderId="10" xfId="0" applyFont="1" applyFill="1" applyBorder="1" applyProtection="1">
      <protection hidden="1"/>
    </xf>
    <xf numFmtId="0" fontId="13" fillId="15" borderId="11" xfId="0" applyFont="1" applyFill="1" applyBorder="1" applyProtection="1">
      <protection hidden="1"/>
    </xf>
    <xf numFmtId="0" fontId="13" fillId="18" borderId="11" xfId="0" applyFont="1" applyFill="1" applyBorder="1" applyProtection="1">
      <protection hidden="1"/>
    </xf>
    <xf numFmtId="0" fontId="13" fillId="15" borderId="12" xfId="0" applyFont="1" applyFill="1" applyBorder="1" applyProtection="1">
      <protection hidden="1"/>
    </xf>
    <xf numFmtId="0" fontId="25" fillId="15" borderId="8" xfId="0" applyFont="1" applyFill="1" applyBorder="1" applyAlignment="1" applyProtection="1">
      <alignment vertical="center"/>
      <protection hidden="1"/>
    </xf>
    <xf numFmtId="0" fontId="13" fillId="18" borderId="8" xfId="0" applyFont="1" applyFill="1" applyBorder="1" applyProtection="1">
      <protection hidden="1"/>
    </xf>
    <xf numFmtId="0" fontId="29" fillId="18" borderId="9" xfId="0" applyFont="1" applyFill="1" applyBorder="1" applyAlignment="1" applyProtection="1">
      <alignment vertical="center" wrapText="1"/>
      <protection hidden="1"/>
    </xf>
    <xf numFmtId="0" fontId="29" fillId="18" borderId="8" xfId="0" applyFont="1" applyFill="1" applyBorder="1" applyAlignment="1" applyProtection="1">
      <alignment vertical="center" wrapText="1"/>
      <protection hidden="1"/>
    </xf>
    <xf numFmtId="0" fontId="34" fillId="18" borderId="8" xfId="0" applyFont="1" applyFill="1" applyBorder="1" applyProtection="1">
      <protection hidden="1"/>
    </xf>
    <xf numFmtId="0" fontId="25" fillId="15" borderId="0" xfId="0" applyFont="1" applyFill="1" applyAlignment="1" applyProtection="1">
      <alignment vertical="center"/>
      <protection hidden="1"/>
    </xf>
    <xf numFmtId="0" fontId="29" fillId="18" borderId="14" xfId="0" applyFont="1" applyFill="1" applyBorder="1" applyAlignment="1" applyProtection="1">
      <alignment vertical="center" wrapText="1"/>
      <protection hidden="1"/>
    </xf>
    <xf numFmtId="0" fontId="29" fillId="18" borderId="0" xfId="0" applyFont="1" applyFill="1" applyAlignment="1" applyProtection="1">
      <alignment vertical="center" wrapText="1"/>
      <protection hidden="1"/>
    </xf>
    <xf numFmtId="0" fontId="24" fillId="18" borderId="0" xfId="0" applyFont="1" applyFill="1" applyProtection="1">
      <protection hidden="1"/>
    </xf>
    <xf numFmtId="0" fontId="45" fillId="18" borderId="14" xfId="0" applyFont="1" applyFill="1" applyBorder="1" applyAlignment="1" applyProtection="1">
      <alignment vertical="center"/>
      <protection hidden="1"/>
    </xf>
    <xf numFmtId="0" fontId="45" fillId="18" borderId="0" xfId="0" applyFont="1" applyFill="1" applyAlignment="1" applyProtection="1">
      <alignment vertical="center"/>
      <protection hidden="1"/>
    </xf>
    <xf numFmtId="9" fontId="28" fillId="18" borderId="0" xfId="7" applyFont="1" applyFill="1" applyBorder="1" applyAlignment="1" applyProtection="1">
      <alignment vertical="center"/>
      <protection hidden="1"/>
    </xf>
    <xf numFmtId="176" fontId="28" fillId="18" borderId="14" xfId="6" applyNumberFormat="1" applyFont="1" applyFill="1" applyBorder="1" applyAlignment="1" applyProtection="1">
      <alignment vertical="center"/>
      <protection hidden="1"/>
    </xf>
    <xf numFmtId="0" fontId="45" fillId="18" borderId="11" xfId="0" applyFont="1" applyFill="1" applyBorder="1" applyAlignment="1" applyProtection="1">
      <alignment vertical="center"/>
      <protection hidden="1"/>
    </xf>
    <xf numFmtId="0" fontId="24" fillId="18" borderId="11" xfId="0" applyFont="1" applyFill="1" applyBorder="1" applyProtection="1">
      <protection hidden="1"/>
    </xf>
    <xf numFmtId="0" fontId="13" fillId="18" borderId="14" xfId="0" applyFont="1" applyFill="1" applyBorder="1" applyProtection="1">
      <protection hidden="1"/>
    </xf>
    <xf numFmtId="0" fontId="25" fillId="17" borderId="0" xfId="0" applyFont="1" applyFill="1" applyAlignment="1" applyProtection="1">
      <alignment horizontal="center" vertical="center"/>
      <protection hidden="1"/>
    </xf>
    <xf numFmtId="176" fontId="28" fillId="17" borderId="0" xfId="6" applyNumberFormat="1" applyFont="1" applyFill="1" applyBorder="1" applyAlignment="1" applyProtection="1">
      <alignment horizontal="center" vertical="center"/>
      <protection hidden="1"/>
    </xf>
    <xf numFmtId="0" fontId="13" fillId="18" borderId="12" xfId="0" applyFont="1" applyFill="1" applyBorder="1" applyProtection="1">
      <protection hidden="1"/>
    </xf>
    <xf numFmtId="0" fontId="35" fillId="0" borderId="0" xfId="0" applyFont="1" applyAlignment="1">
      <alignment horizontal="center" vertical="center"/>
    </xf>
    <xf numFmtId="0" fontId="20" fillId="0" borderId="0" xfId="0" applyFont="1" applyAlignment="1" applyProtection="1">
      <alignment horizontal="center" vertical="center"/>
      <protection locked="0"/>
    </xf>
    <xf numFmtId="167" fontId="20" fillId="0" borderId="0" xfId="0" applyNumberFormat="1" applyFont="1" applyAlignment="1">
      <alignment horizontal="center" vertical="center"/>
    </xf>
    <xf numFmtId="169" fontId="20" fillId="0" borderId="0" xfId="0" applyNumberFormat="1" applyFont="1" applyAlignment="1">
      <alignment horizontal="center" vertical="center"/>
    </xf>
    <xf numFmtId="172" fontId="20" fillId="0" borderId="0" xfId="5" applyNumberFormat="1" applyFont="1" applyFill="1" applyAlignment="1">
      <alignment horizontal="center" vertical="center"/>
    </xf>
    <xf numFmtId="0" fontId="51" fillId="0" borderId="0" xfId="2" applyFont="1" applyFill="1" applyAlignment="1">
      <alignment horizontal="center" vertical="center"/>
    </xf>
    <xf numFmtId="172" fontId="20" fillId="0" borderId="0" xfId="0" applyNumberFormat="1" applyFont="1" applyAlignment="1">
      <alignment horizontal="center" vertical="center"/>
    </xf>
    <xf numFmtId="0" fontId="20" fillId="0" borderId="0" xfId="0" applyFont="1" applyAlignment="1">
      <alignment horizontal="center"/>
    </xf>
    <xf numFmtId="167" fontId="20" fillId="0" borderId="0" xfId="0" applyNumberFormat="1" applyFont="1" applyAlignment="1">
      <alignment horizontal="center"/>
    </xf>
    <xf numFmtId="172" fontId="20" fillId="0" borderId="0" xfId="0" applyNumberFormat="1" applyFont="1" applyAlignment="1">
      <alignment horizontal="center"/>
    </xf>
    <xf numFmtId="172" fontId="20" fillId="0" borderId="0" xfId="5" applyNumberFormat="1" applyFont="1" applyFill="1" applyAlignment="1">
      <alignment horizontal="center"/>
    </xf>
    <xf numFmtId="0" fontId="51" fillId="0" borderId="0" xfId="2" applyFont="1" applyFill="1" applyAlignment="1">
      <alignment horizontal="center"/>
    </xf>
    <xf numFmtId="0" fontId="51" fillId="0" borderId="0" xfId="2" applyFont="1" applyFill="1" applyAlignment="1">
      <alignment horizontal="center" vertical="center" wrapText="1"/>
    </xf>
    <xf numFmtId="0" fontId="20" fillId="0" borderId="0" xfId="2" applyFont="1" applyFill="1" applyAlignment="1">
      <alignment horizontal="center" vertical="center"/>
    </xf>
    <xf numFmtId="0" fontId="51" fillId="0" borderId="0" xfId="0" applyFont="1"/>
    <xf numFmtId="0" fontId="51" fillId="20" borderId="0" xfId="0" applyFont="1" applyFill="1"/>
    <xf numFmtId="167" fontId="20" fillId="9" borderId="0" xfId="0" applyNumberFormat="1" applyFont="1" applyFill="1" applyAlignment="1">
      <alignment horizontal="center" vertical="center"/>
    </xf>
    <xf numFmtId="174" fontId="52" fillId="0" borderId="0" xfId="0" applyNumberFormat="1" applyFont="1"/>
    <xf numFmtId="0" fontId="49" fillId="0" borderId="0" xfId="0" applyFont="1" applyAlignment="1" applyProtection="1">
      <alignment horizontal="left" vertical="center" wrapText="1"/>
      <protection hidden="1"/>
    </xf>
    <xf numFmtId="0" fontId="52" fillId="0" borderId="0" xfId="0" applyFont="1"/>
    <xf numFmtId="9" fontId="52" fillId="0" borderId="0" xfId="7" applyFont="1"/>
    <xf numFmtId="0" fontId="54" fillId="13" borderId="0" xfId="3" applyFont="1" applyFill="1"/>
    <xf numFmtId="0" fontId="52" fillId="13" borderId="0" xfId="0" applyFont="1" applyFill="1"/>
    <xf numFmtId="174" fontId="52" fillId="13" borderId="0" xfId="0" applyNumberFormat="1" applyFont="1" applyFill="1"/>
    <xf numFmtId="0" fontId="55" fillId="15" borderId="7" xfId="0" applyFont="1" applyFill="1" applyBorder="1"/>
    <xf numFmtId="0" fontId="55" fillId="15" borderId="9" xfId="0" applyFont="1" applyFill="1" applyBorder="1"/>
    <xf numFmtId="0" fontId="54" fillId="0" borderId="0" xfId="3" applyFont="1"/>
    <xf numFmtId="14" fontId="52" fillId="13" borderId="0" xfId="0" applyNumberFormat="1" applyFont="1" applyFill="1"/>
    <xf numFmtId="0" fontId="52" fillId="0" borderId="0" xfId="0" applyFont="1" applyAlignment="1">
      <alignment horizontal="center" vertical="center"/>
    </xf>
    <xf numFmtId="0" fontId="52" fillId="0" borderId="0" xfId="0" applyFont="1" applyAlignment="1">
      <alignment horizontal="center"/>
    </xf>
    <xf numFmtId="14" fontId="52" fillId="0" borderId="0" xfId="0" applyNumberFormat="1" applyFont="1"/>
    <xf numFmtId="0" fontId="52" fillId="12" borderId="0" xfId="0" applyFont="1" applyFill="1"/>
    <xf numFmtId="14" fontId="52" fillId="12" borderId="0" xfId="0" applyNumberFormat="1" applyFont="1" applyFill="1"/>
    <xf numFmtId="1" fontId="52" fillId="0" borderId="0" xfId="0" applyNumberFormat="1" applyFont="1"/>
    <xf numFmtId="1" fontId="52" fillId="0" borderId="0" xfId="0" applyNumberFormat="1" applyFont="1" applyAlignment="1">
      <alignment horizontal="center" vertical="center"/>
    </xf>
    <xf numFmtId="0" fontId="20" fillId="0" borderId="1" xfId="0" applyFont="1" applyBorder="1" applyAlignment="1" applyProtection="1">
      <alignment horizontal="center"/>
      <protection hidden="1"/>
    </xf>
    <xf numFmtId="3" fontId="20" fillId="0" borderId="1" xfId="0" applyNumberFormat="1" applyFont="1" applyBorder="1" applyAlignment="1" applyProtection="1">
      <alignment horizontal="center"/>
      <protection hidden="1"/>
    </xf>
    <xf numFmtId="167" fontId="20" fillId="0" borderId="1" xfId="0" applyNumberFormat="1" applyFont="1" applyBorder="1" applyAlignment="1" applyProtection="1">
      <alignment horizontal="center"/>
      <protection hidden="1"/>
    </xf>
    <xf numFmtId="169" fontId="20" fillId="0" borderId="1" xfId="1" applyNumberFormat="1" applyFont="1" applyBorder="1" applyAlignment="1" applyProtection="1">
      <alignment horizontal="center"/>
      <protection hidden="1"/>
    </xf>
    <xf numFmtId="170" fontId="20" fillId="0" borderId="1" xfId="0" applyNumberFormat="1" applyFont="1" applyBorder="1" applyAlignment="1" applyProtection="1">
      <alignment horizontal="center"/>
      <protection hidden="1"/>
    </xf>
    <xf numFmtId="0" fontId="51" fillId="6" borderId="6" xfId="2" applyFont="1" applyFill="1" applyBorder="1" applyAlignment="1" applyProtection="1">
      <alignment horizontal="center" vertical="center" wrapText="1"/>
      <protection hidden="1"/>
    </xf>
    <xf numFmtId="0" fontId="51" fillId="0" borderId="0" xfId="2" applyFont="1"/>
    <xf numFmtId="0" fontId="35" fillId="3" borderId="0" xfId="0" applyFont="1" applyFill="1" applyAlignment="1">
      <alignment horizontal="center" vertical="center"/>
    </xf>
    <xf numFmtId="0" fontId="35" fillId="3" borderId="0" xfId="0" applyFont="1" applyFill="1" applyAlignment="1">
      <alignment horizontal="center" vertical="center" wrapText="1"/>
    </xf>
    <xf numFmtId="0" fontId="35" fillId="3" borderId="2" xfId="0" applyFont="1" applyFill="1" applyBorder="1" applyAlignment="1">
      <alignment horizontal="center" vertical="center" wrapText="1"/>
    </xf>
    <xf numFmtId="165" fontId="20" fillId="0" borderId="0" xfId="0" applyNumberFormat="1" applyFont="1" applyAlignment="1">
      <alignment horizontal="center" vertical="center"/>
    </xf>
    <xf numFmtId="1" fontId="20" fillId="0" borderId="0" xfId="0" applyNumberFormat="1" applyFont="1" applyAlignment="1">
      <alignment horizontal="center" vertical="center"/>
    </xf>
    <xf numFmtId="175" fontId="20" fillId="0" borderId="0" xfId="0" applyNumberFormat="1" applyFont="1" applyAlignment="1">
      <alignment horizontal="center"/>
    </xf>
    <xf numFmtId="49" fontId="20" fillId="0" borderId="0" xfId="0" applyNumberFormat="1" applyFont="1" applyAlignment="1">
      <alignment horizontal="center" vertical="center" wrapText="1"/>
    </xf>
    <xf numFmtId="0" fontId="20" fillId="0" borderId="0" xfId="0" applyFont="1" applyAlignment="1">
      <alignment horizontal="center" vertical="center" wrapText="1"/>
    </xf>
    <xf numFmtId="165" fontId="20" fillId="0" borderId="0" xfId="1" applyNumberFormat="1" applyFont="1" applyAlignment="1">
      <alignment horizontal="center" vertical="center"/>
    </xf>
    <xf numFmtId="0" fontId="20" fillId="11" borderId="0" xfId="0" applyFont="1" applyFill="1" applyAlignment="1">
      <alignment horizontal="center"/>
    </xf>
    <xf numFmtId="0" fontId="20" fillId="11" borderId="0" xfId="0" applyFont="1" applyFill="1" applyAlignment="1">
      <alignment horizontal="center" vertical="center"/>
    </xf>
    <xf numFmtId="0" fontId="20" fillId="9" borderId="0" xfId="0" applyFont="1" applyFill="1" applyAlignment="1">
      <alignment horizontal="center" vertical="center"/>
    </xf>
    <xf numFmtId="49" fontId="20" fillId="9" borderId="0" xfId="0" applyNumberFormat="1" applyFont="1" applyFill="1" applyAlignment="1">
      <alignment horizontal="center" vertical="center"/>
    </xf>
    <xf numFmtId="167" fontId="20" fillId="11" borderId="0" xfId="0" applyNumberFormat="1" applyFont="1" applyFill="1" applyAlignment="1">
      <alignment horizontal="center" vertical="center"/>
    </xf>
    <xf numFmtId="0" fontId="20" fillId="8" borderId="0" xfId="0" applyFont="1" applyFill="1" applyAlignment="1">
      <alignment horizontal="center" vertical="center" wrapText="1"/>
    </xf>
    <xf numFmtId="175" fontId="20" fillId="0" borderId="0" xfId="0" quotePrefix="1" applyNumberFormat="1" applyFont="1" applyAlignment="1">
      <alignment horizontal="center" vertical="center"/>
    </xf>
    <xf numFmtId="175" fontId="20" fillId="11" borderId="0" xfId="0" applyNumberFormat="1" applyFont="1" applyFill="1" applyAlignment="1">
      <alignment horizontal="center" vertical="center"/>
    </xf>
    <xf numFmtId="165" fontId="20" fillId="11" borderId="0" xfId="0" applyNumberFormat="1" applyFont="1" applyFill="1" applyAlignment="1">
      <alignment horizontal="center" vertical="center"/>
    </xf>
    <xf numFmtId="1" fontId="20" fillId="11" borderId="0" xfId="0" applyNumberFormat="1" applyFont="1" applyFill="1" applyAlignment="1">
      <alignment horizontal="center" vertical="center"/>
    </xf>
    <xf numFmtId="175" fontId="20" fillId="9" borderId="0" xfId="0" applyNumberFormat="1" applyFont="1" applyFill="1" applyAlignment="1">
      <alignment horizontal="center" vertical="center"/>
    </xf>
    <xf numFmtId="165" fontId="20" fillId="9" borderId="0" xfId="0" applyNumberFormat="1" applyFont="1" applyFill="1" applyAlignment="1">
      <alignment horizontal="center" vertical="center"/>
    </xf>
    <xf numFmtId="14" fontId="20" fillId="0" borderId="0" xfId="0" applyNumberFormat="1" applyFont="1" applyAlignment="1">
      <alignment horizontal="center" vertical="center"/>
    </xf>
    <xf numFmtId="0" fontId="58" fillId="0" borderId="0" xfId="0" applyFont="1" applyAlignment="1">
      <alignment horizontal="center" vertical="center" wrapText="1"/>
    </xf>
    <xf numFmtId="49" fontId="20" fillId="19" borderId="0" xfId="0" applyNumberFormat="1" applyFont="1" applyFill="1" applyAlignment="1">
      <alignment vertical="center" wrapText="1"/>
    </xf>
    <xf numFmtId="0" fontId="51" fillId="9" borderId="0" xfId="2" applyFont="1" applyFill="1" applyAlignment="1">
      <alignment horizontal="center" vertical="center"/>
    </xf>
    <xf numFmtId="0" fontId="59" fillId="0" borderId="0" xfId="0" applyFont="1" applyAlignment="1" applyProtection="1">
      <alignment horizontal="left"/>
      <protection hidden="1"/>
    </xf>
    <xf numFmtId="0" fontId="59" fillId="0" borderId="0" xfId="0" applyFont="1" applyProtection="1">
      <protection hidden="1"/>
    </xf>
    <xf numFmtId="0" fontId="49" fillId="0" borderId="0" xfId="0" applyFont="1" applyProtection="1">
      <protection hidden="1"/>
    </xf>
    <xf numFmtId="0" fontId="50" fillId="0" borderId="0" xfId="0" applyFont="1" applyAlignment="1" applyProtection="1">
      <alignment horizontal="center"/>
      <protection hidden="1"/>
    </xf>
    <xf numFmtId="0" fontId="49" fillId="0" borderId="0" xfId="0" applyFont="1" applyAlignment="1" applyProtection="1">
      <alignment horizontal="justify" wrapText="1"/>
      <protection hidden="1"/>
    </xf>
    <xf numFmtId="0" fontId="50" fillId="0" borderId="0" xfId="0" applyFont="1" applyAlignment="1" applyProtection="1">
      <alignment horizontal="center" vertical="center"/>
      <protection hidden="1"/>
    </xf>
    <xf numFmtId="0" fontId="50" fillId="0" borderId="0" xfId="0" applyFont="1" applyAlignment="1" applyProtection="1">
      <alignment horizontal="justify" vertical="center" wrapText="1"/>
      <protection hidden="1"/>
    </xf>
    <xf numFmtId="0" fontId="49" fillId="0" borderId="0" xfId="0" applyFont="1" applyAlignment="1" applyProtection="1">
      <alignment horizontal="justify" vertical="center" wrapText="1"/>
      <protection hidden="1"/>
    </xf>
    <xf numFmtId="0" fontId="50" fillId="0" borderId="0" xfId="0" applyFont="1" applyAlignment="1" applyProtection="1">
      <alignment horizontal="left" vertical="center" wrapText="1"/>
      <protection hidden="1"/>
    </xf>
    <xf numFmtId="0" fontId="50" fillId="0" borderId="0" xfId="0" applyFont="1" applyAlignment="1" applyProtection="1">
      <alignment horizontal="justify" vertical="center"/>
      <protection hidden="1"/>
    </xf>
    <xf numFmtId="0" fontId="50" fillId="0" borderId="0" xfId="0" applyFont="1" applyAlignment="1" applyProtection="1">
      <alignment vertical="center"/>
      <protection hidden="1"/>
    </xf>
    <xf numFmtId="0" fontId="50" fillId="0" borderId="0" xfId="0" applyFont="1" applyProtection="1">
      <protection hidden="1"/>
    </xf>
    <xf numFmtId="0" fontId="9" fillId="0" borderId="0" xfId="2" applyFill="1" applyAlignment="1">
      <alignment horizontal="center" vertical="center"/>
    </xf>
    <xf numFmtId="0" fontId="62" fillId="0" borderId="0" xfId="0" applyFont="1" applyAlignment="1">
      <alignment horizontal="center" vertical="top" wrapText="1"/>
    </xf>
    <xf numFmtId="0" fontId="63" fillId="0" borderId="0" xfId="0" applyFont="1" applyAlignment="1">
      <alignment horizontal="center" vertical="center" wrapText="1"/>
    </xf>
    <xf numFmtId="1" fontId="62" fillId="0" borderId="0" xfId="0" applyNumberFormat="1" applyFont="1" applyAlignment="1">
      <alignment horizontal="center" vertical="center" wrapText="1"/>
    </xf>
    <xf numFmtId="0" fontId="22" fillId="0" borderId="0" xfId="0" applyFont="1" applyAlignment="1" applyProtection="1">
      <alignment horizontal="justify" vertical="center" wrapText="1"/>
      <protection hidden="1"/>
    </xf>
    <xf numFmtId="0" fontId="7" fillId="0" borderId="0" xfId="0" applyFont="1" applyAlignment="1" applyProtection="1">
      <alignment vertical="center"/>
      <protection hidden="1"/>
    </xf>
    <xf numFmtId="0" fontId="0" fillId="0" borderId="0" xfId="0" applyProtection="1">
      <protection hidden="1"/>
    </xf>
    <xf numFmtId="0" fontId="22" fillId="0" borderId="0" xfId="0" applyFont="1" applyAlignment="1" applyProtection="1">
      <alignment horizontal="left" vertical="center" wrapText="1"/>
      <protection hidden="1"/>
    </xf>
    <xf numFmtId="0" fontId="22" fillId="0" borderId="0" xfId="0" applyFont="1" applyAlignment="1" applyProtection="1">
      <alignment horizontal="left" vertical="center"/>
      <protection hidden="1"/>
    </xf>
    <xf numFmtId="0" fontId="22" fillId="0" borderId="0" xfId="0" applyFont="1" applyAlignment="1" applyProtection="1">
      <alignment vertical="center" wrapText="1"/>
      <protection hidden="1"/>
    </xf>
    <xf numFmtId="0" fontId="22" fillId="0" borderId="0" xfId="0" applyFont="1" applyAlignment="1" applyProtection="1">
      <alignment vertical="center"/>
      <protection hidden="1"/>
    </xf>
    <xf numFmtId="0" fontId="22" fillId="21" borderId="18" xfId="0" applyFont="1" applyFill="1" applyBorder="1" applyAlignment="1" applyProtection="1">
      <alignment vertical="center" wrapText="1"/>
      <protection hidden="1"/>
    </xf>
    <xf numFmtId="0" fontId="22" fillId="0" borderId="19" xfId="0" applyFont="1" applyBorder="1" applyAlignment="1" applyProtection="1">
      <alignment horizontal="left" vertical="center"/>
      <protection hidden="1"/>
    </xf>
    <xf numFmtId="0" fontId="22" fillId="21" borderId="20" xfId="0" applyFont="1" applyFill="1" applyBorder="1" applyAlignment="1" applyProtection="1">
      <alignment horizontal="center" vertical="center" wrapText="1"/>
      <protection hidden="1"/>
    </xf>
    <xf numFmtId="0" fontId="22" fillId="0" borderId="21" xfId="0" applyFont="1" applyBorder="1" applyAlignment="1" applyProtection="1">
      <alignment horizontal="center" vertical="center" wrapText="1"/>
      <protection hidden="1"/>
    </xf>
    <xf numFmtId="1" fontId="22" fillId="0" borderId="21" xfId="0" applyNumberFormat="1" applyFont="1" applyBorder="1" applyAlignment="1" applyProtection="1">
      <alignment horizontal="center" vertical="center" wrapText="1"/>
      <protection hidden="1"/>
    </xf>
    <xf numFmtId="0" fontId="22" fillId="0" borderId="18" xfId="0" applyFont="1" applyBorder="1" applyAlignment="1" applyProtection="1">
      <alignment vertical="center" wrapText="1"/>
      <protection hidden="1"/>
    </xf>
    <xf numFmtId="167" fontId="22" fillId="0" borderId="18" xfId="0" applyNumberFormat="1" applyFont="1" applyBorder="1" applyAlignment="1" applyProtection="1">
      <alignment horizontal="left" vertical="center" wrapText="1"/>
      <protection hidden="1"/>
    </xf>
    <xf numFmtId="167" fontId="22" fillId="21" borderId="18" xfId="0" applyNumberFormat="1" applyFont="1" applyFill="1" applyBorder="1" applyAlignment="1" applyProtection="1">
      <alignment horizontal="left" vertical="center" wrapText="1"/>
      <protection hidden="1"/>
    </xf>
    <xf numFmtId="0" fontId="22" fillId="0" borderId="18" xfId="0" applyFont="1" applyBorder="1" applyAlignment="1" applyProtection="1">
      <alignment horizontal="left" vertical="center" wrapText="1"/>
      <protection hidden="1"/>
    </xf>
    <xf numFmtId="169" fontId="22" fillId="0" borderId="18" xfId="0" applyNumberFormat="1" applyFont="1" applyBorder="1" applyAlignment="1" applyProtection="1">
      <alignment horizontal="center" vertical="center" wrapText="1"/>
      <protection hidden="1"/>
    </xf>
    <xf numFmtId="0" fontId="22" fillId="0" borderId="18" xfId="0" applyFont="1" applyBorder="1" applyAlignment="1" applyProtection="1">
      <alignment horizontal="center" vertical="center" wrapText="1"/>
      <protection hidden="1"/>
    </xf>
    <xf numFmtId="0" fontId="22" fillId="21" borderId="18" xfId="0" applyFont="1" applyFill="1" applyBorder="1" applyAlignment="1" applyProtection="1">
      <alignment vertical="center"/>
      <protection hidden="1"/>
    </xf>
    <xf numFmtId="0" fontId="22" fillId="0" borderId="18" xfId="0" applyFont="1" applyBorder="1" applyAlignment="1" applyProtection="1">
      <alignment vertical="center"/>
      <protection hidden="1"/>
    </xf>
    <xf numFmtId="0" fontId="22" fillId="0" borderId="18" xfId="0" applyFont="1" applyBorder="1" applyAlignment="1" applyProtection="1">
      <alignment horizontal="left" vertical="center"/>
      <protection hidden="1"/>
    </xf>
    <xf numFmtId="0" fontId="64" fillId="21" borderId="20" xfId="0" applyFont="1" applyFill="1" applyBorder="1" applyAlignment="1" applyProtection="1">
      <alignment vertical="center"/>
      <protection hidden="1"/>
    </xf>
    <xf numFmtId="0" fontId="22" fillId="21" borderId="22" xfId="0" applyFont="1" applyFill="1" applyBorder="1" applyAlignment="1" applyProtection="1">
      <alignment vertical="center"/>
      <protection hidden="1"/>
    </xf>
    <xf numFmtId="0" fontId="22" fillId="21" borderId="21" xfId="0" applyFont="1" applyFill="1" applyBorder="1" applyAlignment="1" applyProtection="1">
      <alignment vertical="center"/>
      <protection hidden="1"/>
    </xf>
    <xf numFmtId="0" fontId="64" fillId="21" borderId="23" xfId="0" applyFont="1" applyFill="1" applyBorder="1" applyAlignment="1" applyProtection="1">
      <alignment horizontal="left" vertical="center"/>
      <protection hidden="1"/>
    </xf>
    <xf numFmtId="0" fontId="64" fillId="21" borderId="24" xfId="0" applyFont="1" applyFill="1" applyBorder="1" applyAlignment="1" applyProtection="1">
      <alignment horizontal="left" vertical="center"/>
      <protection hidden="1"/>
    </xf>
    <xf numFmtId="0" fontId="22" fillId="21" borderId="25" xfId="0" applyFont="1" applyFill="1" applyBorder="1" applyAlignment="1" applyProtection="1">
      <alignment vertical="center"/>
      <protection hidden="1"/>
    </xf>
    <xf numFmtId="0" fontId="22" fillId="21" borderId="26" xfId="0" applyFont="1" applyFill="1" applyBorder="1" applyAlignment="1" applyProtection="1">
      <alignment vertical="center"/>
      <protection hidden="1"/>
    </xf>
    <xf numFmtId="0" fontId="0" fillId="0" borderId="29" xfId="0" applyBorder="1"/>
    <xf numFmtId="0" fontId="0" fillId="0" borderId="31" xfId="0" applyBorder="1"/>
    <xf numFmtId="0" fontId="0" fillId="0" borderId="32" xfId="0" applyBorder="1"/>
    <xf numFmtId="0" fontId="0" fillId="0" borderId="33" xfId="0" applyBorder="1"/>
    <xf numFmtId="0" fontId="0" fillId="0" borderId="34" xfId="0" applyBorder="1"/>
    <xf numFmtId="0" fontId="22" fillId="0" borderId="35" xfId="0" applyFont="1" applyBorder="1" applyAlignment="1" applyProtection="1">
      <alignment vertical="center"/>
      <protection hidden="1"/>
    </xf>
    <xf numFmtId="0" fontId="22" fillId="0" borderId="35" xfId="0" applyFont="1" applyBorder="1" applyAlignment="1" applyProtection="1">
      <alignment horizontal="left" vertical="center"/>
      <protection hidden="1"/>
    </xf>
    <xf numFmtId="0" fontId="0" fillId="0" borderId="36" xfId="0" applyBorder="1"/>
    <xf numFmtId="0" fontId="66" fillId="21" borderId="22" xfId="0" applyFont="1" applyFill="1" applyBorder="1" applyAlignment="1" applyProtection="1">
      <alignment vertical="center"/>
      <protection hidden="1"/>
    </xf>
    <xf numFmtId="0" fontId="7" fillId="0" borderId="39" xfId="0" applyFont="1" applyBorder="1" applyAlignment="1" applyProtection="1">
      <alignment horizontal="center" vertical="center"/>
      <protection locked="0"/>
    </xf>
    <xf numFmtId="0" fontId="7" fillId="21" borderId="37" xfId="0" applyFont="1" applyFill="1" applyBorder="1" applyAlignment="1">
      <alignment horizontal="center" vertical="center"/>
    </xf>
    <xf numFmtId="0" fontId="7" fillId="21" borderId="38" xfId="0" applyFont="1" applyFill="1" applyBorder="1" applyAlignment="1" applyProtection="1">
      <alignment vertical="center"/>
      <protection hidden="1"/>
    </xf>
    <xf numFmtId="0" fontId="20" fillId="0" borderId="29" xfId="0" applyFont="1" applyBorder="1" applyProtection="1">
      <protection hidden="1"/>
    </xf>
    <xf numFmtId="0" fontId="46" fillId="0" borderId="30" xfId="0" applyFont="1" applyBorder="1" applyAlignment="1" applyProtection="1">
      <alignment horizontal="center" vertical="center"/>
      <protection hidden="1"/>
    </xf>
    <xf numFmtId="0" fontId="46" fillId="0" borderId="31" xfId="0" applyFont="1" applyBorder="1" applyAlignment="1" applyProtection="1">
      <alignment horizontal="center" vertical="center"/>
      <protection hidden="1"/>
    </xf>
    <xf numFmtId="0" fontId="20" fillId="0" borderId="32" xfId="0" applyFont="1" applyBorder="1" applyProtection="1">
      <protection hidden="1"/>
    </xf>
    <xf numFmtId="0" fontId="61" fillId="0" borderId="0" xfId="0" applyFont="1" applyAlignment="1" applyProtection="1">
      <alignment horizontal="center"/>
      <protection hidden="1"/>
    </xf>
    <xf numFmtId="0" fontId="48" fillId="0" borderId="33" xfId="0" applyFont="1" applyBorder="1" applyAlignment="1" applyProtection="1">
      <alignment horizontal="center"/>
      <protection hidden="1"/>
    </xf>
    <xf numFmtId="0" fontId="20" fillId="0" borderId="33" xfId="0" applyFont="1" applyBorder="1" applyProtection="1">
      <protection hidden="1"/>
    </xf>
    <xf numFmtId="0" fontId="60" fillId="0" borderId="0" xfId="0" applyFont="1" applyAlignment="1" applyProtection="1">
      <alignment horizontal="center"/>
      <protection hidden="1"/>
    </xf>
    <xf numFmtId="0" fontId="35" fillId="0" borderId="33" xfId="0" applyFont="1" applyBorder="1" applyAlignment="1" applyProtection="1">
      <alignment horizontal="center"/>
      <protection hidden="1"/>
    </xf>
    <xf numFmtId="0" fontId="59" fillId="0" borderId="0" xfId="0" applyFont="1" applyAlignment="1" applyProtection="1">
      <alignment horizontal="justify" vertical="top" wrapText="1"/>
      <protection hidden="1"/>
    </xf>
    <xf numFmtId="0" fontId="20" fillId="0" borderId="33" xfId="0" applyFont="1" applyBorder="1" applyAlignment="1" applyProtection="1">
      <alignment horizontal="left" vertical="top" wrapText="1"/>
      <protection hidden="1"/>
    </xf>
    <xf numFmtId="0" fontId="59" fillId="0" borderId="0" xfId="0" applyFont="1" applyAlignment="1" applyProtection="1">
      <alignment horizontal="justify"/>
      <protection hidden="1"/>
    </xf>
    <xf numFmtId="0" fontId="59" fillId="0" borderId="0" xfId="0" applyFont="1" applyAlignment="1" applyProtection="1">
      <alignment horizontal="left" vertical="top" wrapText="1"/>
      <protection hidden="1"/>
    </xf>
    <xf numFmtId="0" fontId="20" fillId="0" borderId="33" xfId="0" applyFont="1" applyBorder="1" applyAlignment="1" applyProtection="1">
      <alignment horizontal="left"/>
      <protection hidden="1"/>
    </xf>
    <xf numFmtId="0" fontId="59" fillId="0" borderId="0" xfId="0" applyFont="1" applyAlignment="1" applyProtection="1">
      <alignment horizontal="left" vertical="center"/>
      <protection hidden="1"/>
    </xf>
    <xf numFmtId="0" fontId="20" fillId="0" borderId="33" xfId="0" applyFont="1" applyBorder="1" applyAlignment="1" applyProtection="1">
      <alignment horizontal="left" vertical="center"/>
      <protection hidden="1"/>
    </xf>
    <xf numFmtId="0" fontId="20" fillId="0" borderId="34" xfId="0" applyFont="1" applyBorder="1" applyProtection="1">
      <protection hidden="1"/>
    </xf>
    <xf numFmtId="0" fontId="20" fillId="0" borderId="35" xfId="0" applyFont="1" applyBorder="1" applyProtection="1">
      <protection hidden="1"/>
    </xf>
    <xf numFmtId="0" fontId="20" fillId="0" borderId="36" xfId="0" applyFont="1" applyBorder="1" applyProtection="1">
      <protection hidden="1"/>
    </xf>
    <xf numFmtId="0" fontId="70" fillId="0" borderId="0" xfId="0" applyFont="1" applyAlignment="1" applyProtection="1">
      <alignment horizontal="left"/>
      <protection hidden="1"/>
    </xf>
    <xf numFmtId="0" fontId="20" fillId="0" borderId="0" xfId="0" applyFont="1" applyAlignment="1" applyProtection="1">
      <alignment horizontal="right"/>
      <protection hidden="1"/>
    </xf>
    <xf numFmtId="0" fontId="47" fillId="0" borderId="0" xfId="0" applyFont="1" applyAlignment="1" applyProtection="1">
      <alignment horizontal="left"/>
      <protection hidden="1"/>
    </xf>
    <xf numFmtId="0" fontId="47" fillId="0" borderId="0" xfId="0" applyFont="1" applyAlignment="1" applyProtection="1">
      <alignment horizontal="center"/>
      <protection hidden="1"/>
    </xf>
    <xf numFmtId="0" fontId="47" fillId="0" borderId="0" xfId="0" applyFont="1" applyProtection="1">
      <protection hidden="1"/>
    </xf>
    <xf numFmtId="0" fontId="46" fillId="0" borderId="0" xfId="0" applyFont="1" applyAlignment="1" applyProtection="1">
      <alignment horizontal="left"/>
      <protection hidden="1"/>
    </xf>
    <xf numFmtId="0" fontId="35" fillId="0" borderId="0" xfId="0" applyFont="1" applyAlignment="1" applyProtection="1">
      <alignment vertical="center"/>
      <protection hidden="1"/>
    </xf>
    <xf numFmtId="0" fontId="20" fillId="0" borderId="0" xfId="0" applyFont="1" applyAlignment="1" applyProtection="1">
      <alignment horizontal="right"/>
      <protection locked="0"/>
    </xf>
    <xf numFmtId="167" fontId="0" fillId="0" borderId="0" xfId="0" applyNumberFormat="1" applyAlignment="1" applyProtection="1">
      <alignment horizontal="right"/>
      <protection locked="0"/>
    </xf>
    <xf numFmtId="0" fontId="20" fillId="0" borderId="30" xfId="0" applyFont="1" applyBorder="1"/>
    <xf numFmtId="0" fontId="20" fillId="0" borderId="32" xfId="0" applyFont="1" applyBorder="1"/>
    <xf numFmtId="0" fontId="20" fillId="0" borderId="35" xfId="0" applyFont="1" applyBorder="1"/>
    <xf numFmtId="0" fontId="46" fillId="0" borderId="0" xfId="0" applyFont="1" applyProtection="1">
      <protection hidden="1"/>
    </xf>
    <xf numFmtId="0" fontId="46" fillId="21" borderId="20" xfId="0" applyFont="1" applyFill="1" applyBorder="1" applyProtection="1">
      <protection hidden="1"/>
    </xf>
    <xf numFmtId="0" fontId="47" fillId="21" borderId="22" xfId="0" applyFont="1" applyFill="1" applyBorder="1" applyProtection="1">
      <protection hidden="1"/>
    </xf>
    <xf numFmtId="0" fontId="47" fillId="21" borderId="21" xfId="0" applyFont="1" applyFill="1" applyBorder="1" applyProtection="1">
      <protection hidden="1"/>
    </xf>
    <xf numFmtId="0" fontId="46" fillId="21" borderId="20" xfId="0" applyFont="1" applyFill="1" applyBorder="1" applyAlignment="1" applyProtection="1">
      <alignment horizontal="left"/>
      <protection hidden="1"/>
    </xf>
    <xf numFmtId="0" fontId="47" fillId="21" borderId="22" xfId="0" applyFont="1" applyFill="1" applyBorder="1" applyAlignment="1" applyProtection="1">
      <alignment horizontal="center"/>
      <protection hidden="1"/>
    </xf>
    <xf numFmtId="0" fontId="47" fillId="21" borderId="22" xfId="0" applyFont="1" applyFill="1" applyBorder="1" applyAlignment="1" applyProtection="1">
      <alignment horizontal="left"/>
      <protection hidden="1"/>
    </xf>
    <xf numFmtId="0" fontId="47" fillId="21" borderId="21" xfId="0" applyFont="1" applyFill="1" applyBorder="1" applyAlignment="1" applyProtection="1">
      <alignment horizontal="left"/>
      <protection hidden="1"/>
    </xf>
    <xf numFmtId="0" fontId="67" fillId="21" borderId="22" xfId="0" applyFont="1" applyFill="1" applyBorder="1" applyProtection="1">
      <protection hidden="1"/>
    </xf>
    <xf numFmtId="0" fontId="67" fillId="21" borderId="22" xfId="0" applyFont="1" applyFill="1" applyBorder="1" applyAlignment="1" applyProtection="1">
      <alignment horizontal="left"/>
      <protection hidden="1"/>
    </xf>
    <xf numFmtId="0" fontId="72" fillId="0" borderId="1" xfId="0" applyFont="1" applyBorder="1" applyAlignment="1" applyProtection="1">
      <alignment horizontal="right"/>
      <protection hidden="1"/>
    </xf>
    <xf numFmtId="0" fontId="72" fillId="0" borderId="1" xfId="0" applyFont="1" applyBorder="1" applyAlignment="1" applyProtection="1">
      <alignment horizontal="right"/>
      <protection locked="0"/>
    </xf>
    <xf numFmtId="167" fontId="72" fillId="0" borderId="1" xfId="0" applyNumberFormat="1" applyFont="1" applyBorder="1" applyAlignment="1" applyProtection="1">
      <alignment horizontal="right"/>
      <protection locked="0"/>
    </xf>
    <xf numFmtId="0" fontId="68" fillId="21" borderId="1" xfId="0" applyFont="1" applyFill="1" applyBorder="1" applyAlignment="1">
      <alignment horizontal="center" vertical="center"/>
    </xf>
    <xf numFmtId="0" fontId="68" fillId="21" borderId="1" xfId="0" applyFont="1" applyFill="1" applyBorder="1" applyAlignment="1" applyProtection="1">
      <alignment horizontal="center" vertical="center"/>
      <protection hidden="1"/>
    </xf>
    <xf numFmtId="0" fontId="71" fillId="21" borderId="1" xfId="0" applyFont="1" applyFill="1" applyBorder="1" applyAlignment="1" applyProtection="1">
      <alignment horizontal="center" vertical="center"/>
      <protection locked="0"/>
    </xf>
    <xf numFmtId="0" fontId="71" fillId="21" borderId="1" xfId="0" applyFont="1" applyFill="1" applyBorder="1" applyAlignment="1">
      <alignment horizontal="center"/>
    </xf>
    <xf numFmtId="0" fontId="68" fillId="0" borderId="0" xfId="0" applyFont="1" applyAlignment="1" applyProtection="1">
      <alignment horizontal="left"/>
      <protection hidden="1"/>
    </xf>
    <xf numFmtId="0" fontId="46" fillId="21" borderId="18" xfId="0" applyFont="1" applyFill="1" applyBorder="1" applyAlignment="1" applyProtection="1">
      <alignment horizontal="left" wrapText="1"/>
      <protection hidden="1"/>
    </xf>
    <xf numFmtId="0" fontId="46" fillId="0" borderId="0" xfId="0" applyFont="1" applyAlignment="1" applyProtection="1">
      <alignment horizontal="left" wrapText="1"/>
      <protection hidden="1"/>
    </xf>
    <xf numFmtId="0" fontId="68" fillId="0" borderId="0" xfId="0" applyFont="1" applyProtection="1">
      <protection hidden="1"/>
    </xf>
    <xf numFmtId="0" fontId="22" fillId="21" borderId="20" xfId="0" applyFont="1" applyFill="1" applyBorder="1" applyAlignment="1" applyProtection="1">
      <alignment vertical="center" wrapText="1"/>
      <protection hidden="1"/>
    </xf>
    <xf numFmtId="0" fontId="22" fillId="21" borderId="22" xfId="0" applyFont="1" applyFill="1" applyBorder="1" applyAlignment="1" applyProtection="1">
      <alignment vertical="center" wrapText="1"/>
      <protection hidden="1"/>
    </xf>
    <xf numFmtId="0" fontId="66" fillId="21" borderId="22" xfId="0" applyFont="1" applyFill="1" applyBorder="1" applyAlignment="1" applyProtection="1">
      <alignment vertical="center" wrapText="1"/>
      <protection hidden="1"/>
    </xf>
    <xf numFmtId="0" fontId="22" fillId="21" borderId="21" xfId="0" applyFont="1" applyFill="1" applyBorder="1" applyAlignment="1" applyProtection="1">
      <alignment vertical="center" wrapText="1"/>
      <protection hidden="1"/>
    </xf>
    <xf numFmtId="178" fontId="20" fillId="0" borderId="0" xfId="0" applyNumberFormat="1" applyFont="1" applyAlignment="1">
      <alignment horizontal="center" vertical="center"/>
    </xf>
    <xf numFmtId="0" fontId="73" fillId="0" borderId="0" xfId="0" applyFont="1" applyAlignment="1">
      <alignment horizontal="center"/>
    </xf>
    <xf numFmtId="174" fontId="56" fillId="15" borderId="13" xfId="0" applyNumberFormat="1" applyFont="1" applyFill="1" applyBorder="1" applyAlignment="1">
      <alignment horizontal="center" vertical="center"/>
    </xf>
    <xf numFmtId="174" fontId="56" fillId="15" borderId="14" xfId="0" applyNumberFormat="1" applyFont="1" applyFill="1" applyBorder="1" applyAlignment="1">
      <alignment horizontal="center" vertical="center"/>
    </xf>
    <xf numFmtId="0" fontId="22" fillId="21" borderId="18" xfId="0" applyFont="1" applyFill="1" applyBorder="1" applyAlignment="1">
      <alignment vertical="center"/>
    </xf>
    <xf numFmtId="0" fontId="21" fillId="0" borderId="32" xfId="0" applyFont="1" applyBorder="1" applyAlignment="1" applyProtection="1">
      <alignment vertical="center"/>
      <protection hidden="1"/>
    </xf>
    <xf numFmtId="43" fontId="20" fillId="0" borderId="0" xfId="6" applyFont="1" applyAlignment="1">
      <alignment horizontal="center" vertical="center"/>
    </xf>
    <xf numFmtId="179" fontId="0" fillId="0" borderId="0" xfId="0" applyNumberFormat="1" applyAlignment="1">
      <alignment horizontal="center" vertical="center"/>
    </xf>
    <xf numFmtId="180" fontId="20" fillId="0" borderId="0" xfId="5" applyNumberFormat="1" applyFont="1" applyFill="1" applyAlignment="1">
      <alignment horizontal="center" vertical="center"/>
    </xf>
    <xf numFmtId="177" fontId="20" fillId="0" borderId="0" xfId="0" applyNumberFormat="1" applyFont="1" applyAlignment="1">
      <alignment horizontal="center" vertical="center"/>
    </xf>
    <xf numFmtId="0" fontId="20" fillId="21" borderId="1" xfId="0" applyFont="1" applyFill="1" applyBorder="1" applyAlignment="1" applyProtection="1">
      <alignment horizontal="center"/>
      <protection hidden="1"/>
    </xf>
    <xf numFmtId="167" fontId="20" fillId="21" borderId="1" xfId="0" applyNumberFormat="1" applyFont="1" applyFill="1" applyBorder="1" applyAlignment="1" applyProtection="1">
      <alignment horizontal="center"/>
      <protection hidden="1"/>
    </xf>
    <xf numFmtId="169" fontId="20" fillId="21" borderId="1" xfId="0" applyNumberFormat="1" applyFont="1" applyFill="1" applyBorder="1" applyAlignment="1" applyProtection="1">
      <alignment horizontal="center"/>
      <protection hidden="1"/>
    </xf>
    <xf numFmtId="0" fontId="74" fillId="22" borderId="1" xfId="0" applyFont="1" applyFill="1" applyBorder="1" applyAlignment="1" applyProtection="1">
      <alignment horizontal="center" vertical="center"/>
      <protection hidden="1"/>
    </xf>
    <xf numFmtId="0" fontId="74" fillId="3" borderId="1" xfId="0" applyFont="1" applyFill="1" applyBorder="1" applyAlignment="1" applyProtection="1">
      <alignment horizontal="center" vertical="center"/>
      <protection hidden="1"/>
    </xf>
    <xf numFmtId="1" fontId="20" fillId="21" borderId="1" xfId="0" applyNumberFormat="1" applyFont="1" applyFill="1" applyBorder="1" applyAlignment="1" applyProtection="1">
      <alignment horizontal="center"/>
      <protection hidden="1"/>
    </xf>
    <xf numFmtId="0" fontId="35" fillId="21" borderId="1" xfId="0" applyFont="1" applyFill="1" applyBorder="1" applyAlignment="1" applyProtection="1">
      <alignment horizontal="center" vertical="center"/>
      <protection hidden="1"/>
    </xf>
    <xf numFmtId="0" fontId="65" fillId="0" borderId="0" xfId="0" applyFont="1" applyAlignment="1" applyProtection="1">
      <alignment vertical="center"/>
      <protection hidden="1"/>
    </xf>
    <xf numFmtId="0" fontId="68" fillId="0" borderId="0" xfId="0" applyFont="1" applyAlignment="1" applyProtection="1">
      <alignment vertical="center"/>
      <protection hidden="1"/>
    </xf>
    <xf numFmtId="0" fontId="64" fillId="0" borderId="0" xfId="0" applyFont="1" applyAlignment="1" applyProtection="1">
      <alignment vertical="center" wrapText="1"/>
      <protection hidden="1"/>
    </xf>
    <xf numFmtId="170" fontId="22" fillId="0" borderId="0" xfId="0" applyNumberFormat="1" applyFont="1" applyAlignment="1" applyProtection="1">
      <alignment horizontal="left" vertical="center"/>
      <protection hidden="1"/>
    </xf>
    <xf numFmtId="0" fontId="68" fillId="0" borderId="0" xfId="0" applyFont="1" applyAlignment="1" applyProtection="1">
      <alignment horizontal="left" vertical="center" wrapText="1"/>
      <protection hidden="1"/>
    </xf>
    <xf numFmtId="0" fontId="64" fillId="0" borderId="0" xfId="0" applyFont="1" applyAlignment="1" applyProtection="1">
      <alignment horizontal="left" vertical="center" wrapText="1"/>
      <protection hidden="1"/>
    </xf>
    <xf numFmtId="170" fontId="22" fillId="0" borderId="0" xfId="0" applyNumberFormat="1" applyFont="1" applyAlignment="1" applyProtection="1">
      <alignment horizontal="left" vertical="center" wrapText="1"/>
      <protection hidden="1"/>
    </xf>
    <xf numFmtId="171" fontId="22" fillId="0" borderId="0" xfId="0" applyNumberFormat="1" applyFont="1" applyAlignment="1" applyProtection="1">
      <alignment horizontal="left" vertical="center" wrapText="1"/>
      <protection hidden="1"/>
    </xf>
    <xf numFmtId="0" fontId="22" fillId="0" borderId="0" xfId="0" applyFont="1" applyAlignment="1" applyProtection="1">
      <alignment horizontal="center" vertical="center" wrapText="1"/>
      <protection hidden="1"/>
    </xf>
    <xf numFmtId="1" fontId="22" fillId="0" borderId="0" xfId="0" applyNumberFormat="1" applyFont="1" applyAlignment="1" applyProtection="1">
      <alignment horizontal="center" vertical="center" wrapText="1"/>
      <protection hidden="1"/>
    </xf>
    <xf numFmtId="0" fontId="64" fillId="0" borderId="0" xfId="0" applyFont="1" applyAlignment="1" applyProtection="1">
      <alignment horizontal="left" vertical="center"/>
      <protection hidden="1"/>
    </xf>
    <xf numFmtId="167" fontId="22" fillId="0" borderId="0" xfId="0" applyNumberFormat="1" applyFont="1" applyAlignment="1" applyProtection="1">
      <alignment horizontal="left" vertical="center" wrapText="1"/>
      <protection hidden="1"/>
    </xf>
    <xf numFmtId="167" fontId="64" fillId="0" borderId="0" xfId="0" applyNumberFormat="1" applyFont="1" applyAlignment="1" applyProtection="1">
      <alignment horizontal="left" vertical="center" wrapText="1"/>
      <protection hidden="1"/>
    </xf>
    <xf numFmtId="169" fontId="22" fillId="0" borderId="0" xfId="0" applyNumberFormat="1" applyFont="1" applyAlignment="1" applyProtection="1">
      <alignment vertical="center" wrapText="1"/>
      <protection hidden="1"/>
    </xf>
    <xf numFmtId="169" fontId="22" fillId="0" borderId="0" xfId="0" applyNumberFormat="1" applyFont="1" applyAlignment="1" applyProtection="1">
      <alignment horizontal="left" vertical="center" wrapText="1"/>
      <protection hidden="1"/>
    </xf>
    <xf numFmtId="0" fontId="22" fillId="0" borderId="0" xfId="0" applyFont="1" applyAlignment="1" applyProtection="1">
      <alignment horizontal="center" vertical="center"/>
      <protection hidden="1"/>
    </xf>
    <xf numFmtId="0" fontId="22" fillId="0" borderId="0" xfId="0" applyFont="1" applyAlignment="1" applyProtection="1">
      <alignment horizontal="justify" vertical="center"/>
      <protection hidden="1"/>
    </xf>
    <xf numFmtId="0" fontId="64" fillId="0" borderId="0" xfId="0" applyFont="1" applyAlignment="1" applyProtection="1">
      <alignment vertical="center"/>
      <protection hidden="1"/>
    </xf>
    <xf numFmtId="0" fontId="19" fillId="3" borderId="0" xfId="0" applyFont="1" applyFill="1" applyAlignment="1">
      <alignment horizontal="center" vertical="center" wrapText="1"/>
    </xf>
    <xf numFmtId="0" fontId="19" fillId="3" borderId="45" xfId="0" applyFont="1" applyFill="1" applyBorder="1" applyAlignment="1">
      <alignment horizontal="center" vertical="center"/>
    </xf>
    <xf numFmtId="0" fontId="19" fillId="3" borderId="44" xfId="0" applyFont="1" applyFill="1" applyBorder="1" applyAlignment="1" applyProtection="1">
      <alignment horizontal="center" vertical="center" wrapText="1"/>
      <protection hidden="1"/>
    </xf>
    <xf numFmtId="0" fontId="35" fillId="0" borderId="0" xfId="0" applyFont="1" applyAlignment="1" applyProtection="1">
      <alignment horizontal="center" vertical="center"/>
      <protection locked="0"/>
    </xf>
    <xf numFmtId="0" fontId="20" fillId="0" borderId="0" xfId="0" applyFont="1" applyAlignment="1" applyProtection="1">
      <alignment horizontal="center" vertical="center"/>
      <protection hidden="1"/>
    </xf>
    <xf numFmtId="173" fontId="20" fillId="0" borderId="0" xfId="6" applyNumberFormat="1" applyFont="1" applyFill="1" applyBorder="1" applyAlignment="1" applyProtection="1">
      <alignment horizontal="center" vertical="center"/>
      <protection hidden="1"/>
    </xf>
    <xf numFmtId="14" fontId="20" fillId="0" borderId="0" xfId="0" applyNumberFormat="1" applyFont="1" applyAlignment="1" applyProtection="1">
      <alignment horizontal="center" vertical="center"/>
      <protection locked="0"/>
    </xf>
    <xf numFmtId="0" fontId="20" fillId="0" borderId="30" xfId="0" applyFont="1" applyBorder="1" applyProtection="1">
      <protection hidden="1"/>
    </xf>
    <xf numFmtId="0" fontId="20" fillId="0" borderId="31" xfId="0" applyFont="1" applyBorder="1" applyProtection="1">
      <protection hidden="1"/>
    </xf>
    <xf numFmtId="0" fontId="59" fillId="0" borderId="0" xfId="0" applyFont="1" applyAlignment="1" applyProtection="1">
      <alignment horizontal="right"/>
      <protection hidden="1"/>
    </xf>
    <xf numFmtId="0" fontId="59" fillId="0" borderId="0" xfId="0" applyFont="1" applyAlignment="1" applyProtection="1">
      <alignment horizontal="justify" vertical="center"/>
      <protection hidden="1"/>
    </xf>
    <xf numFmtId="0" fontId="59" fillId="0" borderId="0" xfId="0" applyFont="1" applyAlignment="1" applyProtection="1">
      <alignment vertical="center"/>
      <protection hidden="1"/>
    </xf>
    <xf numFmtId="0" fontId="60" fillId="0" borderId="0" xfId="0" applyFont="1" applyAlignment="1" applyProtection="1">
      <alignment horizontal="right" vertical="center"/>
      <protection hidden="1"/>
    </xf>
    <xf numFmtId="0" fontId="35" fillId="21" borderId="18" xfId="0" applyFont="1" applyFill="1" applyBorder="1" applyAlignment="1">
      <alignment horizontal="center" vertical="center"/>
    </xf>
    <xf numFmtId="0" fontId="75" fillId="0" borderId="18" xfId="0" applyFont="1" applyBorder="1" applyAlignment="1">
      <alignment horizontal="center" vertical="center"/>
    </xf>
    <xf numFmtId="0" fontId="35" fillId="21" borderId="18" xfId="0" applyFont="1" applyFill="1" applyBorder="1" applyAlignment="1" applyProtection="1">
      <alignment horizontal="center" vertical="center"/>
      <protection hidden="1"/>
    </xf>
    <xf numFmtId="0" fontId="20" fillId="0" borderId="18" xfId="0" applyFont="1" applyBorder="1" applyAlignment="1" applyProtection="1">
      <alignment horizontal="center" vertical="center"/>
      <protection hidden="1"/>
    </xf>
    <xf numFmtId="0" fontId="47" fillId="0" borderId="18" xfId="0" applyFont="1" applyBorder="1" applyAlignment="1" applyProtection="1">
      <alignment horizontal="center" vertical="center" wrapText="1"/>
      <protection hidden="1"/>
    </xf>
    <xf numFmtId="0" fontId="0" fillId="0" borderId="40" xfId="0" applyBorder="1" applyAlignment="1" applyProtection="1">
      <alignment vertical="center"/>
      <protection hidden="1"/>
    </xf>
    <xf numFmtId="0" fontId="35" fillId="0" borderId="18" xfId="0" applyFont="1" applyBorder="1" applyAlignment="1">
      <alignment horizontal="center" vertical="center"/>
    </xf>
    <xf numFmtId="0" fontId="35" fillId="0" borderId="18" xfId="0" applyFont="1" applyBorder="1" applyAlignment="1" applyProtection="1">
      <alignment horizontal="center" vertical="center"/>
      <protection hidden="1"/>
    </xf>
    <xf numFmtId="0" fontId="35" fillId="0" borderId="18" xfId="0" applyFont="1" applyBorder="1" applyAlignment="1" applyProtection="1">
      <alignment horizontal="center" vertical="center"/>
      <protection locked="0"/>
    </xf>
    <xf numFmtId="0" fontId="20" fillId="0" borderId="18" xfId="0" applyFont="1" applyBorder="1" applyAlignment="1" applyProtection="1">
      <alignment horizontal="right" vertical="center"/>
      <protection hidden="1"/>
    </xf>
    <xf numFmtId="167" fontId="20" fillId="0" borderId="18" xfId="0" applyNumberFormat="1" applyFont="1" applyBorder="1" applyAlignment="1">
      <alignment horizontal="right" vertical="center"/>
    </xf>
    <xf numFmtId="0" fontId="20" fillId="0" borderId="1" xfId="0" applyFont="1" applyBorder="1" applyAlignment="1">
      <alignment horizontal="center" vertical="center" wrapText="1"/>
    </xf>
    <xf numFmtId="0" fontId="20" fillId="0" borderId="46" xfId="0" applyFont="1" applyBorder="1" applyAlignment="1">
      <alignment horizontal="center" vertical="center"/>
    </xf>
    <xf numFmtId="167" fontId="22" fillId="0" borderId="18" xfId="0" applyNumberFormat="1" applyFont="1" applyBorder="1" applyAlignment="1" applyProtection="1">
      <alignment horizontal="left" vertical="center"/>
      <protection hidden="1"/>
    </xf>
    <xf numFmtId="167" fontId="22" fillId="0" borderId="0" xfId="0" applyNumberFormat="1" applyFont="1" applyAlignment="1" applyProtection="1">
      <alignment horizontal="left" vertical="center"/>
      <protection hidden="1"/>
    </xf>
    <xf numFmtId="167" fontId="22" fillId="0" borderId="18" xfId="0" applyNumberFormat="1" applyFont="1" applyBorder="1" applyAlignment="1" applyProtection="1">
      <alignment vertical="center" wrapText="1"/>
      <protection hidden="1"/>
    </xf>
    <xf numFmtId="0" fontId="4" fillId="0" borderId="32" xfId="0" applyFont="1" applyBorder="1"/>
    <xf numFmtId="0" fontId="4" fillId="0" borderId="33" xfId="0" applyFont="1" applyBorder="1"/>
    <xf numFmtId="0" fontId="4" fillId="0" borderId="32" xfId="0" applyFont="1" applyBorder="1" applyProtection="1">
      <protection hidden="1"/>
    </xf>
    <xf numFmtId="0" fontId="22" fillId="21" borderId="18" xfId="0" applyFont="1" applyFill="1" applyBorder="1" applyAlignment="1">
      <alignment vertical="center" wrapText="1"/>
    </xf>
    <xf numFmtId="0" fontId="4" fillId="0" borderId="30" xfId="0" applyFont="1" applyBorder="1" applyAlignment="1">
      <alignment vertical="center"/>
    </xf>
    <xf numFmtId="0" fontId="4" fillId="0" borderId="31" xfId="0" applyFont="1" applyBorder="1"/>
    <xf numFmtId="0" fontId="4" fillId="0" borderId="0" xfId="0" applyFont="1" applyAlignment="1">
      <alignment vertical="center"/>
    </xf>
    <xf numFmtId="0" fontId="4" fillId="0" borderId="0" xfId="0" applyFont="1"/>
    <xf numFmtId="0" fontId="4" fillId="0" borderId="34" xfId="0" applyFont="1" applyBorder="1"/>
    <xf numFmtId="0" fontId="4" fillId="0" borderId="36" xfId="0" applyFont="1" applyBorder="1"/>
    <xf numFmtId="0" fontId="4" fillId="0" borderId="29" xfId="0" applyFont="1" applyBorder="1"/>
    <xf numFmtId="0" fontId="4" fillId="0" borderId="30" xfId="0" applyFont="1" applyBorder="1"/>
    <xf numFmtId="0" fontId="4" fillId="0" borderId="35" xfId="0" applyFont="1" applyBorder="1" applyAlignment="1">
      <alignment vertical="center"/>
    </xf>
    <xf numFmtId="0" fontId="4" fillId="0" borderId="35" xfId="0" applyFont="1" applyBorder="1"/>
    <xf numFmtId="0" fontId="4" fillId="0" borderId="1" xfId="3" applyFont="1" applyBorder="1" applyAlignment="1">
      <alignment horizontal="left"/>
    </xf>
    <xf numFmtId="0" fontId="4" fillId="10" borderId="1" xfId="3" applyFont="1" applyFill="1" applyBorder="1" applyAlignment="1">
      <alignment horizontal="left"/>
    </xf>
    <xf numFmtId="0" fontId="4" fillId="0" borderId="0" xfId="3" applyFont="1"/>
    <xf numFmtId="0" fontId="4" fillId="0" borderId="1" xfId="3" applyFont="1" applyBorder="1"/>
    <xf numFmtId="0" fontId="0" fillId="0" borderId="0" xfId="0" applyAlignment="1">
      <alignment vertical="center"/>
    </xf>
    <xf numFmtId="0" fontId="78" fillId="0" borderId="0" xfId="0" applyFont="1"/>
    <xf numFmtId="0" fontId="78" fillId="0" borderId="0" xfId="0" applyFont="1" applyAlignment="1">
      <alignment wrapText="1"/>
    </xf>
    <xf numFmtId="0" fontId="3" fillId="0" borderId="32" xfId="0" applyFont="1" applyBorder="1"/>
    <xf numFmtId="0" fontId="3" fillId="0" borderId="33" xfId="0" applyFont="1" applyBorder="1"/>
    <xf numFmtId="173" fontId="20" fillId="0" borderId="0" xfId="6" applyNumberFormat="1" applyFont="1" applyAlignment="1">
      <alignment horizontal="center" vertical="center"/>
    </xf>
    <xf numFmtId="173" fontId="0" fillId="0" borderId="0" xfId="6" applyNumberFormat="1" applyFont="1" applyAlignment="1">
      <alignment horizontal="center" vertical="center"/>
    </xf>
    <xf numFmtId="173" fontId="20" fillId="0" borderId="0" xfId="6" applyNumberFormat="1" applyFont="1" applyAlignment="1">
      <alignment horizontal="center"/>
    </xf>
    <xf numFmtId="173" fontId="20" fillId="0" borderId="0" xfId="6" applyNumberFormat="1" applyFont="1" applyFill="1" applyAlignment="1">
      <alignment horizontal="center" vertical="center"/>
    </xf>
    <xf numFmtId="173" fontId="20" fillId="0" borderId="0" xfId="6" applyNumberFormat="1" applyFont="1" applyFill="1" applyAlignment="1">
      <alignment horizontal="center" vertical="center" wrapText="1"/>
    </xf>
    <xf numFmtId="171" fontId="22" fillId="0" borderId="18" xfId="0" applyNumberFormat="1" applyFont="1" applyBorder="1" applyAlignment="1" applyProtection="1">
      <alignment horizontal="left" vertical="center" wrapText="1"/>
      <protection hidden="1"/>
    </xf>
    <xf numFmtId="171" fontId="22" fillId="0" borderId="18" xfId="0" applyNumberFormat="1" applyFont="1" applyBorder="1" applyAlignment="1" applyProtection="1">
      <alignment horizontal="left" vertical="center"/>
      <protection hidden="1"/>
    </xf>
    <xf numFmtId="0" fontId="20" fillId="0" borderId="0" xfId="6" applyNumberFormat="1" applyFont="1" applyAlignment="1">
      <alignment horizontal="center"/>
    </xf>
    <xf numFmtId="3" fontId="20" fillId="0" borderId="0" xfId="6" applyNumberFormat="1" applyFont="1" applyAlignment="1">
      <alignment horizontal="center" vertical="center"/>
    </xf>
    <xf numFmtId="0" fontId="0" fillId="0" borderId="32" xfId="0" applyBorder="1" applyAlignment="1">
      <alignment vertical="center"/>
    </xf>
    <xf numFmtId="0" fontId="0" fillId="0" borderId="33" xfId="0" applyBorder="1" applyAlignment="1">
      <alignment vertical="center"/>
    </xf>
    <xf numFmtId="0" fontId="79" fillId="0" borderId="0" xfId="0" applyFont="1" applyAlignment="1" applyProtection="1">
      <alignment vertical="center" wrapText="1"/>
      <protection hidden="1"/>
    </xf>
    <xf numFmtId="0" fontId="4" fillId="0" borderId="49" xfId="0" applyFont="1" applyBorder="1"/>
    <xf numFmtId="0" fontId="4" fillId="0" borderId="50" xfId="0" applyFont="1" applyBorder="1"/>
    <xf numFmtId="0" fontId="3" fillId="0" borderId="49" xfId="0" applyFont="1" applyBorder="1"/>
    <xf numFmtId="0" fontId="79" fillId="0" borderId="0" xfId="0" applyFont="1" applyAlignment="1" applyProtection="1">
      <alignment horizontal="justify" vertical="center" wrapText="1"/>
      <protection hidden="1"/>
    </xf>
    <xf numFmtId="0" fontId="3" fillId="0" borderId="50" xfId="0" applyFont="1" applyBorder="1"/>
    <xf numFmtId="0" fontId="79" fillId="0" borderId="49" xfId="0" applyFont="1" applyBorder="1" applyAlignment="1" applyProtection="1">
      <alignment vertical="center" wrapText="1"/>
      <protection hidden="1"/>
    </xf>
    <xf numFmtId="0" fontId="79" fillId="0" borderId="50" xfId="0" applyFont="1" applyBorder="1" applyAlignment="1" applyProtection="1">
      <alignment vertical="center" wrapText="1"/>
      <protection hidden="1"/>
    </xf>
    <xf numFmtId="0" fontId="22" fillId="21" borderId="20" xfId="0" applyFont="1" applyFill="1" applyBorder="1" applyAlignment="1" applyProtection="1">
      <alignment vertical="center"/>
      <protection hidden="1"/>
    </xf>
    <xf numFmtId="0" fontId="22" fillId="0" borderId="30" xfId="0" applyFont="1" applyBorder="1" applyAlignment="1" applyProtection="1">
      <alignment vertical="center"/>
      <protection hidden="1"/>
    </xf>
    <xf numFmtId="0" fontId="2" fillId="0" borderId="32" xfId="0" applyFont="1" applyBorder="1"/>
    <xf numFmtId="0" fontId="2" fillId="0" borderId="33" xfId="0" applyFont="1" applyBorder="1"/>
    <xf numFmtId="0" fontId="62" fillId="0" borderId="0" xfId="0" applyFont="1" applyAlignment="1">
      <alignment horizontal="center"/>
    </xf>
    <xf numFmtId="0" fontId="1" fillId="0" borderId="32" xfId="0" applyFont="1" applyBorder="1"/>
    <xf numFmtId="0" fontId="1" fillId="0" borderId="33" xfId="0" applyFont="1" applyBorder="1"/>
    <xf numFmtId="167" fontId="22" fillId="0" borderId="0" xfId="0" applyNumberFormat="1" applyFont="1" applyAlignment="1" applyProtection="1">
      <alignment vertical="center" wrapText="1"/>
      <protection hidden="1"/>
    </xf>
    <xf numFmtId="173" fontId="20" fillId="0" borderId="0" xfId="6" applyNumberFormat="1" applyFont="1" applyAlignment="1" applyProtection="1">
      <alignment horizontal="center" vertical="center"/>
      <protection hidden="1"/>
    </xf>
    <xf numFmtId="0" fontId="9" fillId="0" borderId="0" xfId="2" applyAlignment="1">
      <alignment horizontal="center" vertical="center"/>
    </xf>
    <xf numFmtId="170" fontId="22" fillId="0" borderId="41" xfId="0" applyNumberFormat="1" applyFont="1" applyBorder="1" applyAlignment="1" applyProtection="1">
      <alignment horizontal="left" vertical="center" wrapText="1"/>
      <protection hidden="1"/>
    </xf>
    <xf numFmtId="170" fontId="22" fillId="0" borderId="18" xfId="0" applyNumberFormat="1" applyFont="1" applyBorder="1" applyAlignment="1" applyProtection="1">
      <alignment horizontal="left" vertical="center" wrapText="1"/>
      <protection hidden="1"/>
    </xf>
    <xf numFmtId="170" fontId="22" fillId="0" borderId="22" xfId="0" applyNumberFormat="1" applyFont="1" applyBorder="1" applyAlignment="1" applyProtection="1">
      <alignment vertical="center" wrapText="1"/>
      <protection hidden="1"/>
    </xf>
    <xf numFmtId="14" fontId="20" fillId="0" borderId="0" xfId="0" applyNumberFormat="1" applyFont="1" applyAlignment="1" applyProtection="1">
      <alignment horizontal="center" vertical="center"/>
      <protection hidden="1"/>
    </xf>
    <xf numFmtId="0" fontId="60" fillId="0" borderId="0" xfId="0" applyFont="1" applyAlignment="1" applyProtection="1">
      <alignment horizontal="justify" vertical="center"/>
      <protection hidden="1"/>
    </xf>
    <xf numFmtId="2" fontId="59" fillId="0" borderId="0" xfId="0" applyNumberFormat="1" applyFont="1" applyAlignment="1" applyProtection="1">
      <alignment horizontal="justify" vertical="center"/>
      <protection hidden="1"/>
    </xf>
    <xf numFmtId="14" fontId="0" fillId="0" borderId="0" xfId="0" applyNumberFormat="1" applyAlignment="1">
      <alignment horizontal="center" vertical="center"/>
    </xf>
    <xf numFmtId="0" fontId="20" fillId="0" borderId="0" xfId="0" applyFont="1" applyAlignment="1" applyProtection="1">
      <alignment horizontal="left" vertical="top"/>
      <protection hidden="1"/>
    </xf>
    <xf numFmtId="181" fontId="20" fillId="0" borderId="0" xfId="0" applyNumberFormat="1" applyFont="1" applyAlignment="1">
      <alignment horizontal="center" vertical="center"/>
    </xf>
    <xf numFmtId="0" fontId="52" fillId="10" borderId="0" xfId="0" applyFont="1" applyFill="1"/>
    <xf numFmtId="14" fontId="52" fillId="10" borderId="0" xfId="0" applyNumberFormat="1" applyFont="1" applyFill="1"/>
    <xf numFmtId="0" fontId="0" fillId="10" borderId="0" xfId="0" applyFill="1"/>
    <xf numFmtId="0" fontId="0" fillId="0" borderId="51" xfId="0" applyBorder="1"/>
    <xf numFmtId="0" fontId="85" fillId="0" borderId="0" xfId="3" applyFont="1"/>
    <xf numFmtId="0" fontId="35" fillId="24" borderId="0" xfId="0" applyFont="1" applyFill="1" applyAlignment="1">
      <alignment horizontal="center" vertical="center" wrapText="1"/>
    </xf>
    <xf numFmtId="173" fontId="35" fillId="24" borderId="0" xfId="6" applyNumberFormat="1" applyFont="1" applyFill="1" applyAlignment="1">
      <alignment horizontal="center" vertical="center" wrapText="1"/>
    </xf>
    <xf numFmtId="167" fontId="35" fillId="24" borderId="0" xfId="0" applyNumberFormat="1" applyFont="1" applyFill="1" applyAlignment="1">
      <alignment horizontal="center" vertical="center" wrapText="1"/>
    </xf>
    <xf numFmtId="0" fontId="35" fillId="25" borderId="0" xfId="0" applyFont="1" applyFill="1" applyAlignment="1">
      <alignment horizontal="center" vertical="center" wrapText="1"/>
    </xf>
    <xf numFmtId="0" fontId="35" fillId="25" borderId="2" xfId="0" applyFont="1" applyFill="1" applyBorder="1" applyAlignment="1">
      <alignment horizontal="center" vertical="center" wrapText="1"/>
    </xf>
    <xf numFmtId="0" fontId="35" fillId="26" borderId="0" xfId="0" applyFont="1" applyFill="1" applyAlignment="1">
      <alignment horizontal="center" vertical="center" wrapText="1"/>
    </xf>
    <xf numFmtId="179" fontId="35" fillId="26" borderId="0" xfId="0" applyNumberFormat="1" applyFont="1" applyFill="1" applyAlignment="1">
      <alignment horizontal="center" vertical="center" wrapText="1"/>
    </xf>
    <xf numFmtId="0" fontId="0" fillId="27" borderId="52" xfId="0" applyFill="1" applyBorder="1"/>
    <xf numFmtId="0" fontId="0" fillId="27" borderId="53" xfId="0" applyFill="1" applyBorder="1"/>
    <xf numFmtId="0" fontId="0" fillId="27" borderId="54" xfId="0" applyFill="1" applyBorder="1"/>
    <xf numFmtId="0" fontId="0" fillId="27" borderId="55" xfId="0" applyFill="1" applyBorder="1"/>
    <xf numFmtId="0" fontId="0" fillId="27" borderId="0" xfId="0" applyFill="1"/>
    <xf numFmtId="0" fontId="0" fillId="27" borderId="56" xfId="0" applyFill="1" applyBorder="1"/>
    <xf numFmtId="0" fontId="0" fillId="27" borderId="57" xfId="0" applyFill="1" applyBorder="1"/>
    <xf numFmtId="0" fontId="0" fillId="27" borderId="58" xfId="0" applyFill="1" applyBorder="1"/>
    <xf numFmtId="0" fontId="0" fillId="27" borderId="59" xfId="0" applyFill="1" applyBorder="1"/>
    <xf numFmtId="0" fontId="0" fillId="0" borderId="58" xfId="0" applyBorder="1"/>
    <xf numFmtId="0" fontId="33" fillId="16" borderId="8" xfId="0" applyFont="1" applyFill="1" applyBorder="1" applyAlignment="1">
      <alignment horizontal="center" vertical="center"/>
    </xf>
    <xf numFmtId="0" fontId="33" fillId="16" borderId="11" xfId="0" applyFont="1" applyFill="1" applyBorder="1" applyAlignment="1">
      <alignment horizontal="center" vertical="center"/>
    </xf>
    <xf numFmtId="0" fontId="29" fillId="15" borderId="8" xfId="0" applyFont="1" applyFill="1" applyBorder="1" applyAlignment="1" applyProtection="1">
      <alignment horizontal="center" vertical="center" wrapText="1"/>
      <protection hidden="1"/>
    </xf>
    <xf numFmtId="9" fontId="41" fillId="15" borderId="16" xfId="7" applyFont="1" applyFill="1" applyBorder="1" applyAlignment="1" applyProtection="1">
      <alignment horizontal="center" vertical="center"/>
      <protection hidden="1"/>
    </xf>
    <xf numFmtId="9" fontId="41" fillId="15" borderId="17" xfId="7" applyFont="1" applyFill="1" applyBorder="1" applyAlignment="1" applyProtection="1">
      <alignment horizontal="center" vertical="center"/>
      <protection hidden="1"/>
    </xf>
    <xf numFmtId="0" fontId="44" fillId="16" borderId="0" xfId="0" applyFont="1" applyFill="1" applyAlignment="1">
      <alignment horizontal="left" vertical="center" indent="2"/>
    </xf>
    <xf numFmtId="0" fontId="43" fillId="15" borderId="16" xfId="0" applyFont="1" applyFill="1" applyBorder="1" applyAlignment="1" applyProtection="1">
      <alignment horizontal="center" vertical="center"/>
      <protection hidden="1"/>
    </xf>
    <xf numFmtId="0" fontId="43" fillId="15" borderId="17" xfId="0" applyFont="1" applyFill="1" applyBorder="1" applyAlignment="1" applyProtection="1">
      <alignment horizontal="center" vertical="center"/>
      <protection hidden="1"/>
    </xf>
    <xf numFmtId="0" fontId="13" fillId="15" borderId="13" xfId="0" applyFont="1" applyFill="1" applyBorder="1" applyAlignment="1" applyProtection="1">
      <alignment horizontal="center"/>
      <protection hidden="1"/>
    </xf>
    <xf numFmtId="0" fontId="13" fillId="15" borderId="0" xfId="0" applyFont="1" applyFill="1" applyAlignment="1" applyProtection="1">
      <alignment horizontal="center"/>
      <protection hidden="1"/>
    </xf>
    <xf numFmtId="0" fontId="13" fillId="15" borderId="7" xfId="0" applyFont="1" applyFill="1" applyBorder="1" applyAlignment="1" applyProtection="1">
      <alignment horizontal="center" wrapText="1"/>
      <protection hidden="1"/>
    </xf>
    <xf numFmtId="0" fontId="13" fillId="15" borderId="8" xfId="0" applyFont="1" applyFill="1" applyBorder="1" applyAlignment="1" applyProtection="1">
      <alignment horizontal="center" wrapText="1"/>
      <protection hidden="1"/>
    </xf>
    <xf numFmtId="0" fontId="42" fillId="15" borderId="13" xfId="0" applyFont="1" applyFill="1" applyBorder="1" applyAlignment="1" applyProtection="1">
      <alignment horizontal="center" vertical="center"/>
      <protection hidden="1"/>
    </xf>
    <xf numFmtId="0" fontId="42" fillId="15" borderId="10" xfId="0" applyFont="1" applyFill="1" applyBorder="1" applyAlignment="1" applyProtection="1">
      <alignment horizontal="center" vertical="center"/>
      <protection hidden="1"/>
    </xf>
    <xf numFmtId="0" fontId="38" fillId="15" borderId="16" xfId="0" applyFont="1" applyFill="1" applyBorder="1" applyAlignment="1" applyProtection="1">
      <alignment horizontal="center" vertical="center"/>
      <protection hidden="1"/>
    </xf>
    <xf numFmtId="0" fontId="38" fillId="15" borderId="17" xfId="0" applyFont="1" applyFill="1" applyBorder="1" applyAlignment="1" applyProtection="1">
      <alignment horizontal="center" vertical="center"/>
      <protection hidden="1"/>
    </xf>
    <xf numFmtId="1" fontId="45" fillId="18" borderId="0" xfId="0" applyNumberFormat="1" applyFont="1" applyFill="1" applyAlignment="1" applyProtection="1">
      <alignment horizontal="center" vertical="center" wrapText="1"/>
      <protection hidden="1"/>
    </xf>
    <xf numFmtId="174" fontId="39" fillId="18" borderId="0" xfId="0" applyNumberFormat="1" applyFont="1" applyFill="1" applyAlignment="1" applyProtection="1">
      <alignment horizontal="center" vertical="center"/>
      <protection hidden="1"/>
    </xf>
    <xf numFmtId="0" fontId="29" fillId="18" borderId="0" xfId="0" applyFont="1" applyFill="1" applyAlignment="1" applyProtection="1">
      <alignment horizontal="center" vertical="center" wrapText="1"/>
      <protection hidden="1"/>
    </xf>
    <xf numFmtId="0" fontId="32" fillId="15" borderId="13" xfId="0" applyFont="1" applyFill="1" applyBorder="1" applyAlignment="1" applyProtection="1">
      <alignment horizontal="left"/>
      <protection hidden="1"/>
    </xf>
    <xf numFmtId="0" fontId="32" fillId="15" borderId="14" xfId="0" applyFont="1" applyFill="1" applyBorder="1" applyAlignment="1" applyProtection="1">
      <alignment horizontal="left"/>
      <protection hidden="1"/>
    </xf>
    <xf numFmtId="0" fontId="24" fillId="15" borderId="13" xfId="0" applyFont="1" applyFill="1" applyBorder="1" applyAlignment="1" applyProtection="1">
      <alignment horizontal="center" vertical="center" wrapText="1"/>
      <protection hidden="1"/>
    </xf>
    <xf numFmtId="0" fontId="24" fillId="15" borderId="14" xfId="0" applyFont="1" applyFill="1" applyBorder="1" applyAlignment="1" applyProtection="1">
      <alignment horizontal="center" vertical="center" wrapText="1"/>
      <protection hidden="1"/>
    </xf>
    <xf numFmtId="0" fontId="24" fillId="15" borderId="10" xfId="0" applyFont="1" applyFill="1" applyBorder="1" applyAlignment="1" applyProtection="1">
      <alignment horizontal="center" vertical="center" wrapText="1"/>
      <protection hidden="1"/>
    </xf>
    <xf numFmtId="0" fontId="24" fillId="15" borderId="12" xfId="0" applyFont="1" applyFill="1" applyBorder="1" applyAlignment="1" applyProtection="1">
      <alignment horizontal="center" vertical="center" wrapText="1"/>
      <protection hidden="1"/>
    </xf>
    <xf numFmtId="0" fontId="26" fillId="15" borderId="13" xfId="0" applyFont="1" applyFill="1" applyBorder="1" applyAlignment="1" applyProtection="1">
      <alignment horizontal="left" vertical="center" wrapText="1"/>
      <protection hidden="1"/>
    </xf>
    <xf numFmtId="0" fontId="26" fillId="15" borderId="14" xfId="0" applyFont="1" applyFill="1" applyBorder="1" applyAlignment="1" applyProtection="1">
      <alignment horizontal="left" vertical="center" wrapText="1"/>
      <protection hidden="1"/>
    </xf>
    <xf numFmtId="0" fontId="30" fillId="15" borderId="7" xfId="0" applyFont="1" applyFill="1" applyBorder="1" applyAlignment="1" applyProtection="1">
      <alignment horizontal="center" vertical="center"/>
      <protection hidden="1"/>
    </xf>
    <xf numFmtId="0" fontId="30" fillId="15" borderId="9" xfId="0" applyFont="1" applyFill="1" applyBorder="1" applyAlignment="1" applyProtection="1">
      <alignment horizontal="center" vertical="center"/>
      <protection hidden="1"/>
    </xf>
    <xf numFmtId="9" fontId="39" fillId="15" borderId="13" xfId="7" applyFont="1" applyFill="1" applyBorder="1" applyAlignment="1" applyProtection="1">
      <alignment horizontal="left" vertical="center"/>
      <protection hidden="1"/>
    </xf>
    <xf numFmtId="9" fontId="39" fillId="15" borderId="14" xfId="7" applyFont="1" applyFill="1" applyBorder="1" applyAlignment="1" applyProtection="1">
      <alignment horizontal="left" vertical="center"/>
      <protection hidden="1"/>
    </xf>
    <xf numFmtId="9" fontId="32" fillId="15" borderId="13" xfId="7" applyFont="1" applyFill="1" applyBorder="1" applyAlignment="1" applyProtection="1">
      <alignment horizontal="left" vertical="center"/>
      <protection hidden="1"/>
    </xf>
    <xf numFmtId="9" fontId="32" fillId="15" borderId="14" xfId="7" applyFont="1" applyFill="1" applyBorder="1" applyAlignment="1" applyProtection="1">
      <alignment horizontal="left" vertical="center"/>
      <protection hidden="1"/>
    </xf>
    <xf numFmtId="0" fontId="29" fillId="18" borderId="8" xfId="0" applyFont="1" applyFill="1" applyBorder="1" applyAlignment="1" applyProtection="1">
      <alignment horizontal="center" vertical="center" wrapText="1"/>
      <protection hidden="1"/>
    </xf>
    <xf numFmtId="0" fontId="29" fillId="18" borderId="8" xfId="0" applyFont="1" applyFill="1" applyBorder="1" applyAlignment="1" applyProtection="1">
      <alignment horizontal="center" vertical="center"/>
      <protection hidden="1"/>
    </xf>
    <xf numFmtId="0" fontId="29" fillId="18" borderId="0" xfId="0" applyFont="1" applyFill="1" applyAlignment="1" applyProtection="1">
      <alignment horizontal="center" vertical="center"/>
      <protection hidden="1"/>
    </xf>
    <xf numFmtId="9" fontId="28" fillId="18" borderId="0" xfId="7" applyFont="1" applyFill="1" applyAlignment="1" applyProtection="1">
      <alignment horizontal="center" vertical="center"/>
      <protection hidden="1"/>
    </xf>
    <xf numFmtId="9" fontId="28" fillId="18" borderId="11" xfId="7" applyFont="1" applyFill="1" applyBorder="1" applyAlignment="1" applyProtection="1">
      <alignment horizontal="center" vertical="center"/>
      <protection hidden="1"/>
    </xf>
    <xf numFmtId="176" fontId="28" fillId="18" borderId="14" xfId="6" applyNumberFormat="1" applyFont="1" applyFill="1" applyBorder="1" applyAlignment="1" applyProtection="1">
      <alignment horizontal="center" vertical="center"/>
      <protection hidden="1"/>
    </xf>
    <xf numFmtId="176" fontId="28" fillId="18" borderId="12" xfId="6" applyNumberFormat="1" applyFont="1" applyFill="1" applyBorder="1" applyAlignment="1" applyProtection="1">
      <alignment horizontal="center" vertical="center"/>
      <protection hidden="1"/>
    </xf>
    <xf numFmtId="0" fontId="53" fillId="18" borderId="8" xfId="0" applyFont="1" applyFill="1" applyBorder="1" applyAlignment="1" applyProtection="1">
      <alignment horizontal="center" vertical="center" wrapText="1"/>
      <protection hidden="1"/>
    </xf>
    <xf numFmtId="0" fontId="53" fillId="18" borderId="0" xfId="0" applyFont="1" applyFill="1" applyAlignment="1" applyProtection="1">
      <alignment horizontal="center" vertical="center" wrapText="1"/>
      <protection hidden="1"/>
    </xf>
    <xf numFmtId="0" fontId="45" fillId="18" borderId="0" xfId="0" applyFont="1" applyFill="1" applyAlignment="1" applyProtection="1">
      <alignment horizontal="center" vertical="center"/>
      <protection hidden="1"/>
    </xf>
    <xf numFmtId="0" fontId="45" fillId="18" borderId="11" xfId="0" applyFont="1" applyFill="1" applyBorder="1" applyAlignment="1" applyProtection="1">
      <alignment horizontal="center" vertical="center"/>
      <protection hidden="1"/>
    </xf>
    <xf numFmtId="167" fontId="57" fillId="15" borderId="14" xfId="0" applyNumberFormat="1" applyFont="1" applyFill="1" applyBorder="1" applyAlignment="1">
      <alignment horizontal="center" vertical="center" wrapText="1"/>
    </xf>
    <xf numFmtId="167" fontId="57" fillId="15" borderId="12" xfId="0" applyNumberFormat="1" applyFont="1" applyFill="1" applyBorder="1" applyAlignment="1">
      <alignment horizontal="center" vertical="center" wrapText="1"/>
    </xf>
    <xf numFmtId="0" fontId="29" fillId="15" borderId="0" xfId="0" applyFont="1" applyFill="1" applyAlignment="1" applyProtection="1">
      <alignment horizontal="center" vertical="center"/>
      <protection hidden="1"/>
    </xf>
    <xf numFmtId="0" fontId="55" fillId="15" borderId="13" xfId="0" applyFont="1" applyFill="1" applyBorder="1" applyAlignment="1">
      <alignment horizontal="center" vertical="center" wrapText="1"/>
    </xf>
    <xf numFmtId="0" fontId="55" fillId="15" borderId="10" xfId="0" applyFont="1" applyFill="1" applyBorder="1" applyAlignment="1">
      <alignment horizontal="center" vertical="center" wrapText="1"/>
    </xf>
    <xf numFmtId="0" fontId="40" fillId="15" borderId="16" xfId="0" applyFont="1" applyFill="1" applyBorder="1" applyAlignment="1" applyProtection="1">
      <alignment horizontal="center" vertical="center"/>
      <protection hidden="1"/>
    </xf>
    <xf numFmtId="0" fontId="40" fillId="15" borderId="17" xfId="0" applyFont="1" applyFill="1" applyBorder="1" applyAlignment="1" applyProtection="1">
      <alignment horizontal="center" vertical="center"/>
      <protection hidden="1"/>
    </xf>
    <xf numFmtId="0" fontId="52" fillId="0" borderId="0" xfId="0" applyFont="1" applyAlignment="1">
      <alignment horizontal="center"/>
    </xf>
    <xf numFmtId="174" fontId="56" fillId="15" borderId="13" xfId="0" applyNumberFormat="1" applyFont="1" applyFill="1" applyBorder="1" applyAlignment="1">
      <alignment horizontal="center" vertical="center"/>
    </xf>
    <xf numFmtId="174" fontId="56" fillId="15" borderId="14" xfId="0" applyNumberFormat="1" applyFont="1" applyFill="1" applyBorder="1" applyAlignment="1">
      <alignment horizontal="center" vertical="center"/>
    </xf>
    <xf numFmtId="0" fontId="24" fillId="15" borderId="13" xfId="0" applyFont="1" applyFill="1" applyBorder="1" applyAlignment="1" applyProtection="1">
      <alignment horizontal="center" vertical="center"/>
      <protection hidden="1"/>
    </xf>
    <xf numFmtId="0" fontId="24" fillId="15" borderId="0" xfId="0" applyFont="1" applyFill="1" applyAlignment="1" applyProtection="1">
      <alignment horizontal="center" vertical="center"/>
      <protection hidden="1"/>
    </xf>
    <xf numFmtId="0" fontId="24" fillId="15" borderId="10" xfId="0" applyFont="1" applyFill="1" applyBorder="1" applyAlignment="1" applyProtection="1">
      <alignment horizontal="center" vertical="center"/>
      <protection hidden="1"/>
    </xf>
    <xf numFmtId="0" fontId="24" fillId="15" borderId="11" xfId="0" applyFont="1" applyFill="1" applyBorder="1" applyAlignment="1" applyProtection="1">
      <alignment horizontal="center" vertical="center"/>
      <protection hidden="1"/>
    </xf>
    <xf numFmtId="174" fontId="34" fillId="15" borderId="0" xfId="0" applyNumberFormat="1" applyFont="1" applyFill="1" applyAlignment="1" applyProtection="1">
      <alignment horizontal="center" vertical="center"/>
      <protection hidden="1"/>
    </xf>
    <xf numFmtId="0" fontId="34" fillId="15" borderId="0" xfId="0" applyFont="1" applyFill="1" applyAlignment="1" applyProtection="1">
      <alignment horizontal="center" vertical="center"/>
      <protection hidden="1"/>
    </xf>
    <xf numFmtId="0" fontId="34" fillId="15" borderId="11" xfId="0" applyFont="1" applyFill="1" applyBorder="1" applyAlignment="1" applyProtection="1">
      <alignment horizontal="center" vertical="center"/>
      <protection hidden="1"/>
    </xf>
    <xf numFmtId="0" fontId="32" fillId="15" borderId="7" xfId="0" applyFont="1" applyFill="1" applyBorder="1" applyAlignment="1" applyProtection="1">
      <alignment horizontal="center" vertical="center"/>
      <protection hidden="1"/>
    </xf>
    <xf numFmtId="0" fontId="32" fillId="15" borderId="8" xfId="0" applyFont="1" applyFill="1" applyBorder="1" applyAlignment="1" applyProtection="1">
      <alignment horizontal="center" vertical="center"/>
      <protection hidden="1"/>
    </xf>
    <xf numFmtId="0" fontId="32" fillId="15" borderId="13" xfId="0" applyFont="1" applyFill="1" applyBorder="1" applyAlignment="1" applyProtection="1">
      <alignment horizontal="center" vertical="center"/>
      <protection hidden="1"/>
    </xf>
    <xf numFmtId="0" fontId="32" fillId="15" borderId="0" xfId="0" applyFont="1" applyFill="1" applyAlignment="1" applyProtection="1">
      <alignment horizontal="center" vertical="center"/>
      <protection hidden="1"/>
    </xf>
    <xf numFmtId="174" fontId="30" fillId="15" borderId="8" xfId="0" applyNumberFormat="1" applyFont="1" applyFill="1" applyBorder="1" applyAlignment="1" applyProtection="1">
      <alignment horizontal="left" vertical="center"/>
      <protection hidden="1"/>
    </xf>
    <xf numFmtId="0" fontId="30" fillId="15" borderId="8" xfId="0" applyFont="1" applyFill="1" applyBorder="1" applyAlignment="1" applyProtection="1">
      <alignment horizontal="left" vertical="center"/>
      <protection hidden="1"/>
    </xf>
    <xf numFmtId="0" fontId="30" fillId="15" borderId="0" xfId="0" applyFont="1" applyFill="1" applyAlignment="1" applyProtection="1">
      <alignment horizontal="left" vertical="center"/>
      <protection hidden="1"/>
    </xf>
    <xf numFmtId="0" fontId="0" fillId="7" borderId="0" xfId="0" applyFill="1" applyAlignment="1">
      <alignment horizontal="center" vertical="center"/>
    </xf>
    <xf numFmtId="173" fontId="0" fillId="7" borderId="0" xfId="6" applyNumberFormat="1" applyFont="1" applyFill="1" applyAlignment="1">
      <alignment horizontal="center" vertical="center"/>
    </xf>
    <xf numFmtId="179" fontId="0" fillId="7" borderId="0" xfId="0" applyNumberFormat="1" applyFill="1" applyAlignment="1">
      <alignment horizontal="center" vertical="center"/>
    </xf>
    <xf numFmtId="167" fontId="0" fillId="7" borderId="0" xfId="0" applyNumberFormat="1" applyFill="1" applyAlignment="1">
      <alignment horizontal="center" vertical="center"/>
    </xf>
    <xf numFmtId="0" fontId="7" fillId="7" borderId="0" xfId="0" applyFont="1" applyFill="1" applyAlignment="1">
      <alignment horizontal="center" vertical="center"/>
    </xf>
    <xf numFmtId="0" fontId="7" fillId="2" borderId="0" xfId="0" applyFont="1" applyFill="1" applyAlignment="1">
      <alignment horizontal="center" vertical="center" wrapText="1"/>
    </xf>
    <xf numFmtId="0" fontId="11" fillId="23" borderId="3" xfId="0" applyFont="1" applyFill="1" applyBorder="1" applyAlignment="1" applyProtection="1">
      <alignment horizontal="center" vertical="center"/>
      <protection hidden="1"/>
    </xf>
    <xf numFmtId="0" fontId="11" fillId="23" borderId="4" xfId="0" applyFont="1" applyFill="1" applyBorder="1" applyAlignment="1" applyProtection="1">
      <alignment horizontal="center" vertical="center"/>
      <protection hidden="1"/>
    </xf>
    <xf numFmtId="0" fontId="59" fillId="0" borderId="0" xfId="0" applyFont="1" applyAlignment="1" applyProtection="1">
      <alignment horizontal="center" wrapText="1"/>
      <protection hidden="1"/>
    </xf>
    <xf numFmtId="0" fontId="59" fillId="0" borderId="0" xfId="0" applyFont="1" applyAlignment="1" applyProtection="1">
      <alignment horizontal="justify" wrapText="1"/>
      <protection hidden="1"/>
    </xf>
    <xf numFmtId="0" fontId="59" fillId="0" borderId="0" xfId="0" applyFont="1" applyAlignment="1" applyProtection="1">
      <alignment horizontal="justify" vertical="center" wrapText="1"/>
      <protection hidden="1"/>
    </xf>
    <xf numFmtId="0" fontId="35" fillId="21" borderId="18" xfId="0" applyFont="1" applyFill="1" applyBorder="1" applyAlignment="1">
      <alignment horizontal="center" vertical="center"/>
    </xf>
    <xf numFmtId="0" fontId="47" fillId="0" borderId="18" xfId="0" applyFont="1" applyBorder="1" applyAlignment="1" applyProtection="1">
      <alignment horizontal="center" vertical="center" wrapText="1"/>
      <protection hidden="1"/>
    </xf>
    <xf numFmtId="167" fontId="22" fillId="0" borderId="0" xfId="0" applyNumberFormat="1" applyFont="1" applyAlignment="1" applyProtection="1">
      <alignment horizontal="right" vertical="center"/>
      <protection hidden="1"/>
    </xf>
    <xf numFmtId="0" fontId="22" fillId="0" borderId="0" xfId="0" applyFont="1" applyAlignment="1" applyProtection="1">
      <alignment horizontal="justify" vertical="center" wrapText="1"/>
      <protection hidden="1"/>
    </xf>
    <xf numFmtId="0" fontId="22" fillId="0" borderId="41" xfId="0" applyFont="1" applyBorder="1" applyAlignment="1" applyProtection="1">
      <alignment horizontal="left" vertical="center" wrapText="1"/>
      <protection hidden="1"/>
    </xf>
    <xf numFmtId="0" fontId="22" fillId="0" borderId="42" xfId="0" applyFont="1" applyBorder="1" applyAlignment="1" applyProtection="1">
      <alignment horizontal="left" vertical="center" wrapText="1"/>
      <protection hidden="1"/>
    </xf>
    <xf numFmtId="0" fontId="22" fillId="0" borderId="43" xfId="0" applyFont="1" applyBorder="1" applyAlignment="1" applyProtection="1">
      <alignment horizontal="left" vertical="center" wrapText="1"/>
      <protection hidden="1"/>
    </xf>
    <xf numFmtId="170" fontId="22" fillId="0" borderId="41" xfId="0" applyNumberFormat="1" applyFont="1" applyBorder="1" applyAlignment="1" applyProtection="1">
      <alignment horizontal="left" vertical="center" wrapText="1"/>
      <protection hidden="1"/>
    </xf>
    <xf numFmtId="170" fontId="22" fillId="0" borderId="42" xfId="0" applyNumberFormat="1" applyFont="1" applyBorder="1" applyAlignment="1" applyProtection="1">
      <alignment horizontal="left" vertical="center" wrapText="1"/>
      <protection hidden="1"/>
    </xf>
    <xf numFmtId="170" fontId="22" fillId="0" borderId="43" xfId="0" applyNumberFormat="1" applyFont="1" applyBorder="1" applyAlignment="1" applyProtection="1">
      <alignment horizontal="left" vertical="center" wrapText="1"/>
      <protection hidden="1"/>
    </xf>
    <xf numFmtId="0" fontId="22" fillId="21" borderId="20" xfId="0" applyFont="1" applyFill="1" applyBorder="1" applyAlignment="1" applyProtection="1">
      <alignment horizontal="left" vertical="center" wrapText="1"/>
      <protection hidden="1"/>
    </xf>
    <xf numFmtId="0" fontId="22" fillId="21" borderId="21" xfId="0" applyFont="1" applyFill="1" applyBorder="1" applyAlignment="1" applyProtection="1">
      <alignment horizontal="left" vertical="center" wrapText="1"/>
      <protection hidden="1"/>
    </xf>
    <xf numFmtId="171" fontId="22" fillId="0" borderId="41" xfId="0" applyNumberFormat="1" applyFont="1" applyBorder="1" applyAlignment="1" applyProtection="1">
      <alignment horizontal="left" vertical="center" wrapText="1"/>
      <protection hidden="1"/>
    </xf>
    <xf numFmtId="171" fontId="22" fillId="0" borderId="42" xfId="0" applyNumberFormat="1" applyFont="1" applyBorder="1" applyAlignment="1" applyProtection="1">
      <alignment horizontal="left" vertical="center" wrapText="1"/>
      <protection hidden="1"/>
    </xf>
    <xf numFmtId="171" fontId="22" fillId="0" borderId="43" xfId="0" applyNumberFormat="1" applyFont="1" applyBorder="1" applyAlignment="1" applyProtection="1">
      <alignment horizontal="left" vertical="center" wrapText="1"/>
      <protection hidden="1"/>
    </xf>
    <xf numFmtId="0" fontId="22" fillId="21" borderId="27" xfId="0" applyFont="1" applyFill="1" applyBorder="1" applyAlignment="1" applyProtection="1">
      <alignment horizontal="left" vertical="center" wrapText="1"/>
      <protection hidden="1"/>
    </xf>
    <xf numFmtId="0" fontId="22" fillId="21" borderId="28" xfId="0" applyFont="1" applyFill="1" applyBorder="1" applyAlignment="1" applyProtection="1">
      <alignment horizontal="left" vertical="center" wrapText="1"/>
      <protection hidden="1"/>
    </xf>
    <xf numFmtId="0" fontId="22" fillId="21" borderId="25" xfId="0" applyFont="1" applyFill="1" applyBorder="1" applyAlignment="1" applyProtection="1">
      <alignment horizontal="left" vertical="center" wrapText="1"/>
      <protection hidden="1"/>
    </xf>
    <xf numFmtId="0" fontId="22" fillId="21" borderId="26" xfId="0" applyFont="1" applyFill="1" applyBorder="1" applyAlignment="1" applyProtection="1">
      <alignment horizontal="left" vertical="center" wrapText="1"/>
      <protection hidden="1"/>
    </xf>
    <xf numFmtId="0" fontId="66" fillId="21" borderId="25" xfId="0" applyFont="1" applyFill="1" applyBorder="1" applyAlignment="1" applyProtection="1">
      <alignment horizontal="left" vertical="center"/>
      <protection hidden="1"/>
    </xf>
    <xf numFmtId="0" fontId="66" fillId="21" borderId="26" xfId="0" applyFont="1" applyFill="1" applyBorder="1" applyAlignment="1" applyProtection="1">
      <alignment horizontal="left" vertical="center"/>
      <protection hidden="1"/>
    </xf>
    <xf numFmtId="0" fontId="22" fillId="0" borderId="41" xfId="0" applyFont="1" applyBorder="1" applyAlignment="1" applyProtection="1">
      <alignment horizontal="justify" vertical="center" wrapText="1"/>
      <protection hidden="1"/>
    </xf>
    <xf numFmtId="0" fontId="22" fillId="0" borderId="42" xfId="0" applyFont="1" applyBorder="1" applyAlignment="1" applyProtection="1">
      <alignment horizontal="justify" vertical="center" wrapText="1"/>
      <protection hidden="1"/>
    </xf>
    <xf numFmtId="0" fontId="22" fillId="0" borderId="43" xfId="0" applyFont="1" applyBorder="1" applyAlignment="1" applyProtection="1">
      <alignment horizontal="justify" vertical="center" wrapText="1"/>
      <protection hidden="1"/>
    </xf>
    <xf numFmtId="0" fontId="22" fillId="0" borderId="41" xfId="0" applyFont="1" applyBorder="1" applyAlignment="1" applyProtection="1">
      <alignment horizontal="left" vertical="center"/>
      <protection hidden="1"/>
    </xf>
    <xf numFmtId="0" fontId="22" fillId="0" borderId="42" xfId="0" applyFont="1" applyBorder="1" applyAlignment="1" applyProtection="1">
      <alignment horizontal="left" vertical="center"/>
      <protection hidden="1"/>
    </xf>
    <xf numFmtId="0" fontId="22" fillId="0" borderId="43" xfId="0" applyFont="1" applyBorder="1" applyAlignment="1" applyProtection="1">
      <alignment horizontal="left" vertical="center"/>
      <protection hidden="1"/>
    </xf>
    <xf numFmtId="170" fontId="22" fillId="0" borderId="41" xfId="0" applyNumberFormat="1" applyFont="1" applyBorder="1" applyAlignment="1" applyProtection="1">
      <alignment horizontal="left" vertical="center"/>
      <protection hidden="1"/>
    </xf>
    <xf numFmtId="170" fontId="22" fillId="0" borderId="42" xfId="0" applyNumberFormat="1" applyFont="1" applyBorder="1" applyAlignment="1" applyProtection="1">
      <alignment horizontal="left" vertical="center"/>
      <protection hidden="1"/>
    </xf>
    <xf numFmtId="170" fontId="22" fillId="0" borderId="43" xfId="0" applyNumberFormat="1" applyFont="1" applyBorder="1" applyAlignment="1" applyProtection="1">
      <alignment horizontal="left" vertical="center"/>
      <protection hidden="1"/>
    </xf>
    <xf numFmtId="0" fontId="0" fillId="0" borderId="29" xfId="0" applyBorder="1" applyAlignment="1">
      <alignment horizontal="center"/>
    </xf>
    <xf numFmtId="0" fontId="0" fillId="0" borderId="30" xfId="0" applyBorder="1" applyAlignment="1">
      <alignment horizontal="center"/>
    </xf>
    <xf numFmtId="0" fontId="69" fillId="0" borderId="0" xfId="0" applyFont="1" applyAlignment="1" applyProtection="1">
      <alignment horizontal="center" vertical="center"/>
      <protection hidden="1"/>
    </xf>
    <xf numFmtId="177" fontId="20" fillId="0" borderId="0" xfId="0" applyNumberFormat="1" applyFont="1" applyAlignment="1" applyProtection="1">
      <alignment horizontal="right"/>
      <protection hidden="1"/>
    </xf>
    <xf numFmtId="0" fontId="20" fillId="0" borderId="0" xfId="0" applyFont="1" applyAlignment="1" applyProtection="1">
      <alignment horizontal="left"/>
      <protection hidden="1"/>
    </xf>
    <xf numFmtId="0" fontId="20" fillId="0" borderId="0" xfId="0" applyFont="1" applyAlignment="1" applyProtection="1">
      <alignment horizontal="left" vertical="center"/>
      <protection hidden="1"/>
    </xf>
    <xf numFmtId="0" fontId="20" fillId="0" borderId="0" xfId="0" applyFont="1" applyAlignment="1" applyProtection="1">
      <alignment horizontal="center"/>
      <protection hidden="1"/>
    </xf>
    <xf numFmtId="0" fontId="20" fillId="0" borderId="0" xfId="0" applyFont="1" applyAlignment="1" applyProtection="1">
      <alignment horizontal="right"/>
      <protection hidden="1"/>
    </xf>
    <xf numFmtId="0" fontId="20" fillId="0" borderId="0" xfId="0" applyFont="1" applyAlignment="1" applyProtection="1">
      <alignment horizontal="left" wrapText="1"/>
      <protection hidden="1"/>
    </xf>
    <xf numFmtId="0" fontId="35" fillId="0" borderId="1" xfId="0" applyFont="1" applyBorder="1" applyAlignment="1" applyProtection="1">
      <alignment horizontal="center" vertical="center" wrapText="1"/>
      <protection hidden="1"/>
    </xf>
    <xf numFmtId="0" fontId="20" fillId="0" borderId="1" xfId="0" applyFont="1" applyBorder="1" applyAlignment="1" applyProtection="1">
      <alignment horizontal="left" vertical="center"/>
      <protection hidden="1"/>
    </xf>
    <xf numFmtId="0" fontId="20" fillId="0" borderId="0" xfId="0" applyFont="1" applyAlignment="1" applyProtection="1">
      <alignment horizontal="justify" wrapText="1"/>
      <protection hidden="1"/>
    </xf>
    <xf numFmtId="0" fontId="20" fillId="0" borderId="0" xfId="0" applyFont="1" applyAlignment="1" applyProtection="1">
      <alignment horizontal="center" vertical="top" wrapText="1"/>
      <protection hidden="1"/>
    </xf>
    <xf numFmtId="167" fontId="20" fillId="0" borderId="0" xfId="0" applyNumberFormat="1" applyFont="1" applyAlignment="1" applyProtection="1">
      <alignment horizontal="right"/>
      <protection hidden="1"/>
    </xf>
    <xf numFmtId="0" fontId="20" fillId="0" borderId="0" xfId="0" applyFont="1" applyAlignment="1">
      <alignment horizontal="justify" wrapText="1"/>
    </xf>
    <xf numFmtId="0" fontId="20" fillId="0" borderId="0" xfId="0" applyFont="1" applyAlignment="1">
      <alignment horizontal="justify"/>
    </xf>
    <xf numFmtId="0" fontId="20" fillId="0" borderId="0" xfId="0" applyFont="1" applyAlignment="1" applyProtection="1">
      <alignment horizontal="center" vertical="center" wrapText="1"/>
      <protection hidden="1"/>
    </xf>
    <xf numFmtId="0" fontId="48" fillId="0" borderId="0" xfId="0" applyFont="1" applyAlignment="1" applyProtection="1">
      <alignment horizontal="center"/>
      <protection hidden="1"/>
    </xf>
    <xf numFmtId="0" fontId="35" fillId="0" borderId="0" xfId="0" applyFont="1" applyAlignment="1" applyProtection="1">
      <alignment horizontal="center"/>
      <protection hidden="1"/>
    </xf>
    <xf numFmtId="0" fontId="77" fillId="0" borderId="0" xfId="0" applyFont="1" applyAlignment="1" applyProtection="1">
      <alignment horizontal="justify" vertical="center" wrapText="1"/>
      <protection hidden="1"/>
    </xf>
    <xf numFmtId="0" fontId="79" fillId="0" borderId="0" xfId="0" applyFont="1" applyAlignment="1" applyProtection="1">
      <alignment horizontal="justify" vertical="center" wrapText="1"/>
      <protection hidden="1"/>
    </xf>
    <xf numFmtId="0" fontId="76" fillId="0" borderId="0" xfId="0" applyFont="1" applyAlignment="1" applyProtection="1">
      <alignment horizontal="justify" vertical="center" wrapText="1"/>
      <protection hidden="1"/>
    </xf>
    <xf numFmtId="0" fontId="80" fillId="0" borderId="0" xfId="0" applyFont="1" applyAlignment="1" applyProtection="1">
      <alignment horizontal="justify" vertical="center" wrapText="1"/>
      <protection hidden="1"/>
    </xf>
    <xf numFmtId="0" fontId="81" fillId="0" borderId="0" xfId="0" applyFont="1" applyAlignment="1" applyProtection="1">
      <alignment horizontal="justify" vertical="center" wrapText="1"/>
      <protection hidden="1"/>
    </xf>
    <xf numFmtId="0" fontId="22" fillId="0" borderId="18" xfId="0" applyFont="1" applyBorder="1" applyAlignment="1" applyProtection="1">
      <alignment horizontal="left" vertical="center"/>
      <protection hidden="1"/>
    </xf>
    <xf numFmtId="170" fontId="22" fillId="0" borderId="18" xfId="0" applyNumberFormat="1" applyFont="1" applyBorder="1" applyAlignment="1" applyProtection="1">
      <alignment horizontal="left" vertical="center"/>
      <protection hidden="1"/>
    </xf>
    <xf numFmtId="0" fontId="64" fillId="0" borderId="0" xfId="0" applyFont="1" applyAlignment="1" applyProtection="1">
      <alignment horizontal="center" vertical="center" wrapText="1"/>
      <protection hidden="1"/>
    </xf>
    <xf numFmtId="0" fontId="64" fillId="0" borderId="0" xfId="0" applyFont="1" applyAlignment="1" applyProtection="1">
      <alignment horizontal="justify" vertical="center" wrapText="1"/>
      <protection hidden="1"/>
    </xf>
    <xf numFmtId="0" fontId="68" fillId="0" borderId="0" xfId="0" applyFont="1" applyAlignment="1" applyProtection="1">
      <alignment horizontal="left" vertical="center"/>
      <protection hidden="1"/>
    </xf>
    <xf numFmtId="0" fontId="22" fillId="21" borderId="23" xfId="0" applyFont="1" applyFill="1" applyBorder="1" applyAlignment="1" applyProtection="1">
      <alignment horizontal="left" vertical="center" wrapText="1"/>
      <protection hidden="1"/>
    </xf>
    <xf numFmtId="0" fontId="22" fillId="21" borderId="24" xfId="0" applyFont="1" applyFill="1" applyBorder="1" applyAlignment="1" applyProtection="1">
      <alignment horizontal="left" vertical="center" wrapText="1"/>
      <protection hidden="1"/>
    </xf>
    <xf numFmtId="0" fontId="82" fillId="0" borderId="0" xfId="0" applyFont="1" applyAlignment="1" applyProtection="1">
      <alignment horizontal="justify" vertical="center" wrapText="1"/>
      <protection hidden="1"/>
    </xf>
    <xf numFmtId="0" fontId="69" fillId="0" borderId="0" xfId="0" applyFont="1" applyAlignment="1" applyProtection="1">
      <alignment horizontal="center"/>
      <protection hidden="1"/>
    </xf>
    <xf numFmtId="167" fontId="47" fillId="0" borderId="18" xfId="0" applyNumberFormat="1" applyFont="1" applyBorder="1" applyAlignment="1" applyProtection="1">
      <alignment horizontal="left" wrapText="1"/>
      <protection hidden="1"/>
    </xf>
    <xf numFmtId="0" fontId="47" fillId="0" borderId="18" xfId="0" applyFont="1" applyBorder="1" applyAlignment="1" applyProtection="1">
      <alignment horizontal="left" wrapText="1"/>
      <protection hidden="1"/>
    </xf>
    <xf numFmtId="0" fontId="47" fillId="0" borderId="18" xfId="0" applyFont="1" applyBorder="1" applyAlignment="1" applyProtection="1">
      <alignment horizontal="left" vertical="center" wrapText="1"/>
      <protection hidden="1"/>
    </xf>
    <xf numFmtId="169" fontId="47" fillId="0" borderId="18" xfId="0" applyNumberFormat="1" applyFont="1" applyBorder="1" applyAlignment="1" applyProtection="1">
      <alignment horizontal="left" wrapText="1"/>
      <protection hidden="1"/>
    </xf>
    <xf numFmtId="0" fontId="47" fillId="0" borderId="18" xfId="0" applyFont="1" applyBorder="1" applyAlignment="1" applyProtection="1">
      <alignment horizontal="justify" vertical="justify" wrapText="1"/>
      <protection hidden="1"/>
    </xf>
    <xf numFmtId="0" fontId="47" fillId="0" borderId="18" xfId="0" applyFont="1" applyBorder="1" applyAlignment="1" applyProtection="1">
      <alignment horizontal="left"/>
      <protection hidden="1"/>
    </xf>
    <xf numFmtId="0" fontId="68" fillId="0" borderId="0" xfId="0" applyFont="1" applyAlignment="1" applyProtection="1">
      <alignment horizontal="left" wrapText="1"/>
      <protection hidden="1"/>
    </xf>
    <xf numFmtId="0" fontId="22" fillId="0" borderId="18" xfId="0" applyFont="1" applyBorder="1" applyAlignment="1" applyProtection="1">
      <alignment horizontal="left" vertical="center" wrapText="1"/>
      <protection hidden="1"/>
    </xf>
    <xf numFmtId="171" fontId="22" fillId="0" borderId="18" xfId="0" applyNumberFormat="1" applyFont="1" applyBorder="1" applyAlignment="1" applyProtection="1">
      <alignment horizontal="left" vertical="center" wrapText="1"/>
      <protection hidden="1"/>
    </xf>
    <xf numFmtId="0" fontId="22" fillId="21" borderId="47" xfId="0" applyFont="1" applyFill="1" applyBorder="1" applyAlignment="1" applyProtection="1">
      <alignment horizontal="left" vertical="center" wrapText="1"/>
      <protection hidden="1"/>
    </xf>
    <xf numFmtId="0" fontId="22" fillId="21" borderId="48" xfId="0" applyFont="1" applyFill="1" applyBorder="1" applyAlignment="1" applyProtection="1">
      <alignment horizontal="left" vertical="center" wrapText="1"/>
      <protection hidden="1"/>
    </xf>
    <xf numFmtId="0" fontId="86" fillId="0" borderId="0" xfId="2" applyFont="1" applyAlignment="1">
      <alignment horizontal="center" vertical="center"/>
    </xf>
  </cellXfs>
  <cellStyles count="10">
    <cellStyle name="Hipervínculo" xfId="2" builtinId="8"/>
    <cellStyle name="Millares" xfId="6" builtinId="3"/>
    <cellStyle name="Millares [0]" xfId="4" builtinId="6"/>
    <cellStyle name="Moneda" xfId="5" builtinId="4"/>
    <cellStyle name="Moneda [0]" xfId="1" builtinId="7"/>
    <cellStyle name="Normal" xfId="0" builtinId="0"/>
    <cellStyle name="Normal 2" xfId="3" xr:uid="{FEBDC305-F76E-4741-A83C-75C51A316B65}"/>
    <cellStyle name="Normal 3" xfId="8" xr:uid="{6967F7D8-DFCB-4512-BB1A-C11453F14D83}"/>
    <cellStyle name="Porcentaje" xfId="7" builtinId="5"/>
    <cellStyle name="Porcentaje 2" xfId="9" xr:uid="{EA801052-8946-475A-BA48-953CA2993BD8}"/>
  </cellStyles>
  <dxfs count="89">
    <dxf>
      <font>
        <b val="0"/>
        <i val="0"/>
        <strike val="0"/>
        <condense val="0"/>
        <extend val="0"/>
        <outline val="0"/>
        <shadow val="0"/>
        <u val="none"/>
        <vertAlign val="baseline"/>
        <sz val="12"/>
        <color rgb="FFFF0000"/>
        <name val="Calibri"/>
        <family val="2"/>
        <scheme val="minor"/>
      </font>
    </dxf>
    <dxf>
      <font>
        <b val="0"/>
        <i val="0"/>
        <strike val="0"/>
        <condense val="0"/>
        <extend val="0"/>
        <outline val="0"/>
        <shadow val="0"/>
        <u val="none"/>
        <vertAlign val="baseline"/>
        <sz val="12"/>
        <color rgb="FFFF0000"/>
        <name val="Calibri"/>
        <family val="2"/>
        <scheme val="minor"/>
      </font>
      <numFmt numFmtId="182" formatCode="d/mm/yyyy"/>
    </dxf>
    <dxf>
      <font>
        <b val="0"/>
        <i val="0"/>
        <strike val="0"/>
        <condense val="0"/>
        <extend val="0"/>
        <outline val="0"/>
        <shadow val="0"/>
        <u val="none"/>
        <vertAlign val="baseline"/>
        <sz val="12"/>
        <color rgb="FFFF0000"/>
        <name val="Calibri"/>
        <family val="2"/>
        <scheme val="minor"/>
      </font>
      <numFmt numFmtId="182" formatCode="d/mm/yyyy"/>
    </dxf>
    <dxf>
      <font>
        <b val="0"/>
        <i val="0"/>
        <strike val="0"/>
        <condense val="0"/>
        <extend val="0"/>
        <outline val="0"/>
        <shadow val="0"/>
        <u val="none"/>
        <vertAlign val="baseline"/>
        <sz val="12"/>
        <color rgb="FFFF0000"/>
        <name val="Calibri"/>
        <family val="2"/>
        <scheme val="minor"/>
      </font>
    </dxf>
    <dxf>
      <font>
        <b val="0"/>
        <i val="0"/>
        <strike val="0"/>
        <condense val="0"/>
        <extend val="0"/>
        <outline val="0"/>
        <shadow val="0"/>
        <u val="none"/>
        <vertAlign val="baseline"/>
        <sz val="12"/>
        <color rgb="FFFF0000"/>
        <name val="Calibri"/>
        <family val="2"/>
        <scheme val="minor"/>
      </font>
    </dxf>
    <dxf>
      <font>
        <b val="0"/>
        <i val="0"/>
        <strike val="0"/>
        <condense val="0"/>
        <extend val="0"/>
        <outline val="0"/>
        <shadow val="0"/>
        <u val="none"/>
        <vertAlign val="baseline"/>
        <sz val="12"/>
        <color rgb="FFFF0000"/>
        <name val="Calibri"/>
        <family val="2"/>
        <scheme val="minor"/>
      </font>
      <numFmt numFmtId="174" formatCode="[$$-240A]\ #,##0"/>
      <fill>
        <patternFill patternType="solid">
          <fgColor indexed="64"/>
          <bgColor theme="3" tint="0.59999389629810485"/>
        </patternFill>
      </fill>
    </dxf>
    <dxf>
      <font>
        <b val="0"/>
        <i val="0"/>
        <strike val="0"/>
        <condense val="0"/>
        <extend val="0"/>
        <outline val="0"/>
        <shadow val="0"/>
        <u val="none"/>
        <vertAlign val="baseline"/>
        <sz val="11"/>
        <color rgb="FFFF0000"/>
        <name val="Calibri"/>
        <family val="2"/>
        <scheme val="minor"/>
      </font>
      <fill>
        <patternFill patternType="solid">
          <fgColor indexed="64"/>
          <bgColor theme="3" tint="0.59999389629810485"/>
        </patternFill>
      </fill>
    </dxf>
    <dxf>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0"/>
        <color theme="0"/>
        <name val="Arial"/>
        <family val="2"/>
        <scheme val="none"/>
      </font>
      <alignment horizontal="general"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color rgb="FF9C0006"/>
      </font>
      <fill>
        <patternFill>
          <bgColor rgb="FFFFC7CE"/>
        </patternFill>
      </fill>
    </dxf>
    <dxf>
      <font>
        <strike val="0"/>
        <outline val="0"/>
        <shadow val="0"/>
        <u val="none"/>
        <vertAlign val="baseline"/>
        <sz val="12"/>
        <color auto="1"/>
        <name val="Calibri"/>
        <family val="2"/>
        <scheme val="minor"/>
      </font>
      <numFmt numFmtId="0" formatCode="General"/>
      <fill>
        <patternFill patternType="none">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numFmt numFmtId="182" formatCode="d/mm/yyyy"/>
      <fill>
        <patternFill patternType="none">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numFmt numFmtId="182" formatCode="d/mm/yyyy"/>
      <fill>
        <patternFill patternType="none">
          <bgColor auto="1"/>
        </patternFill>
      </fill>
      <alignment horizontal="center" vertical="center" textRotation="0" wrapText="0" indent="0" justifyLastLine="0" shrinkToFit="0" readingOrder="0"/>
      <protection locked="0" hidden="0"/>
    </dxf>
    <dxf>
      <font>
        <strike val="0"/>
        <outline val="0"/>
        <shadow val="0"/>
        <u val="none"/>
        <vertAlign val="baseline"/>
        <sz val="12"/>
        <color auto="1"/>
        <name val="Calibri"/>
        <family val="2"/>
        <scheme val="minor"/>
      </font>
      <numFmt numFmtId="181" formatCode="dd/mm/yyyy"/>
      <fill>
        <patternFill patternType="none">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auto="1"/>
        <name val="Calibri"/>
        <family val="2"/>
        <scheme val="minor"/>
      </font>
      <fill>
        <patternFill patternType="none">
          <bgColor auto="1"/>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2"/>
        <color auto="1"/>
        <name val="Calibri"/>
        <family val="2"/>
        <scheme val="minor"/>
      </font>
      <fill>
        <patternFill patternType="none">
          <bgColor auto="1"/>
        </patternFill>
      </fill>
      <alignment horizontal="center" vertical="center" textRotation="0" wrapText="0" indent="0" justifyLastLine="0" shrinkToFit="0" readingOrder="0"/>
      <protection locked="1" hidden="1"/>
    </dxf>
    <dxf>
      <font>
        <strike val="0"/>
        <outline val="0"/>
        <shadow val="0"/>
        <u val="none"/>
        <vertAlign val="baseline"/>
        <sz val="12"/>
        <color auto="1"/>
        <name val="Calibri"/>
        <family val="2"/>
        <scheme val="minor"/>
      </font>
      <numFmt numFmtId="0" formatCode="General"/>
      <fill>
        <patternFill patternType="none">
          <bgColor auto="1"/>
        </patternFill>
      </fill>
      <alignment horizontal="center" vertical="center" textRotation="0" wrapText="0" indent="0" justifyLastLine="0" shrinkToFit="0" readingOrder="0"/>
      <protection locked="1" hidden="1"/>
    </dxf>
    <dxf>
      <font>
        <strike val="0"/>
        <outline val="0"/>
        <shadow val="0"/>
        <u val="none"/>
        <vertAlign val="baseline"/>
        <sz val="12"/>
        <color auto="1"/>
        <name val="Calibri"/>
        <family val="2"/>
        <scheme val="minor"/>
      </font>
      <numFmt numFmtId="173" formatCode="_-* #,##0_-;\-* #,##0_-;_-* &quot;-&quot;??_-;_-@_-"/>
      <fill>
        <patternFill patternType="none">
          <bgColor auto="1"/>
        </patternFill>
      </fill>
      <alignment horizontal="center" vertical="center" textRotation="0" wrapText="0" indent="0" justifyLastLine="0" shrinkToFit="0" readingOrder="0"/>
      <protection locked="1" hidden="1"/>
    </dxf>
    <dxf>
      <font>
        <strike val="0"/>
        <outline val="0"/>
        <shadow val="0"/>
        <u val="none"/>
        <vertAlign val="baseline"/>
        <sz val="12"/>
        <color auto="1"/>
        <name val="Calibri"/>
        <family val="2"/>
        <scheme val="minor"/>
      </font>
      <numFmt numFmtId="0" formatCode="General"/>
      <fill>
        <patternFill patternType="none">
          <bgColor auto="1"/>
        </patternFill>
      </fill>
      <alignment horizontal="center" vertical="center" textRotation="0" wrapText="0" indent="0" justifyLastLine="0" shrinkToFit="0" readingOrder="0"/>
      <protection locked="1" hidden="1"/>
    </dxf>
    <dxf>
      <font>
        <strike val="0"/>
        <outline val="0"/>
        <shadow val="0"/>
        <u val="none"/>
        <vertAlign val="baseline"/>
        <sz val="12"/>
        <color auto="1"/>
        <name val="Calibri"/>
        <family val="2"/>
        <scheme val="minor"/>
      </font>
      <numFmt numFmtId="0" formatCode="General"/>
      <fill>
        <patternFill patternType="none">
          <bgColor auto="1"/>
        </patternFill>
      </fill>
      <alignment horizontal="center" vertical="center" textRotation="0" wrapText="0" indent="0" justifyLastLine="0" shrinkToFit="0" readingOrder="0"/>
      <protection locked="1" hidden="1"/>
    </dxf>
    <dxf>
      <font>
        <strike val="0"/>
        <outline val="0"/>
        <shadow val="0"/>
        <u val="none"/>
        <vertAlign val="baseline"/>
        <sz val="12"/>
        <color auto="1"/>
        <name val="Calibri"/>
        <family val="2"/>
        <scheme val="minor"/>
      </font>
      <numFmt numFmtId="0" formatCode="General"/>
      <fill>
        <patternFill patternType="none">
          <bgColor auto="1"/>
        </patternFill>
      </fill>
      <alignment horizontal="center" vertical="center" textRotation="0" wrapText="0" indent="0" justifyLastLine="0" shrinkToFit="0" readingOrder="0"/>
      <protection locked="1" hidden="1"/>
    </dxf>
    <dxf>
      <font>
        <strike val="0"/>
        <outline val="0"/>
        <shadow val="0"/>
        <u val="none"/>
        <vertAlign val="baseline"/>
        <sz val="12"/>
        <color auto="1"/>
        <name val="Calibri"/>
        <family val="2"/>
        <scheme val="minor"/>
      </font>
      <fill>
        <patternFill patternType="none">
          <bgColor auto="1"/>
        </patternFill>
      </fill>
      <alignment horizontal="center" vertical="center" textRotation="0" wrapText="0" indent="0" justifyLastLine="0" shrinkToFit="0" readingOrder="0"/>
      <protection locked="0" hidden="0"/>
    </dxf>
    <dxf>
      <font>
        <strike val="0"/>
        <outline val="0"/>
        <shadow val="0"/>
        <u val="none"/>
        <vertAlign val="baseline"/>
        <sz val="12"/>
        <color auto="1"/>
        <name val="Calibri"/>
        <family val="2"/>
        <scheme val="minor"/>
      </font>
      <fill>
        <patternFill patternType="none">
          <bgColor auto="1"/>
        </patternFill>
      </fill>
      <alignment horizontal="center" vertical="center" textRotation="0" wrapText="0" indent="0" justifyLastLine="0" shrinkToFit="0" readingOrder="0"/>
    </dxf>
    <dxf>
      <font>
        <strike val="0"/>
        <outline val="0"/>
        <shadow val="0"/>
        <u val="none"/>
        <vertAlign val="baseline"/>
        <sz val="12"/>
        <color auto="1"/>
        <name val="Calibri"/>
        <family val="2"/>
        <scheme val="minor"/>
      </font>
      <fill>
        <patternFill patternType="none">
          <bgColor auto="1"/>
        </patternFill>
      </fill>
      <alignment horizontal="center" vertical="center" textRotation="0" wrapText="0" indent="0" justifyLastLine="0" shrinkToFit="0" readingOrder="0"/>
    </dxf>
    <dxf>
      <font>
        <b/>
        <i val="0"/>
        <strike val="0"/>
        <condense val="0"/>
        <extend val="0"/>
        <outline val="0"/>
        <shadow val="0"/>
        <u val="none"/>
        <vertAlign val="baseline"/>
        <sz val="12"/>
        <color rgb="FF404040"/>
        <name val="Calibri"/>
        <family val="2"/>
        <scheme val="minor"/>
      </font>
      <fill>
        <patternFill patternType="solid">
          <fgColor rgb="FFFFFFCC"/>
          <bgColor rgb="FFFFFFFF"/>
        </patternFill>
      </fill>
      <alignment horizontal="center" vertical="center" textRotation="0" wrapText="1" indent="0" justifyLastLine="0" shrinkToFit="0" readingOrder="0"/>
    </dxf>
    <dxf>
      <font>
        <strike val="0"/>
        <outline val="0"/>
        <shadow val="0"/>
        <vertAlign val="baseline"/>
        <sz val="12"/>
        <color auto="1"/>
        <name val="Calibri"/>
        <family val="2"/>
        <scheme val="minor"/>
      </font>
      <numFmt numFmtId="1" formatCode="0"/>
      <alignment horizontal="center" vertical="center" textRotation="0" indent="0" justifyLastLine="0" shrinkToFit="0" readingOrder="0"/>
    </dxf>
    <dxf>
      <font>
        <strike val="0"/>
        <outline val="0"/>
        <shadow val="0"/>
        <vertAlign val="baseline"/>
        <sz val="12"/>
        <color auto="1"/>
        <name val="Calibri"/>
        <family val="2"/>
        <scheme val="minor"/>
      </font>
      <numFmt numFmtId="0" formatCode="General"/>
      <alignment horizontal="center" vertical="center" textRotation="0" indent="0" justifyLastLine="0" shrinkToFit="0" readingOrder="0"/>
    </dxf>
    <dxf>
      <font>
        <strike val="0"/>
        <outline val="0"/>
        <shadow val="0"/>
        <vertAlign val="baseline"/>
        <sz val="12"/>
        <color auto="1"/>
        <name val="Calibri"/>
        <family val="2"/>
        <scheme val="minor"/>
      </font>
      <numFmt numFmtId="0" formatCode="General"/>
      <alignment horizontal="center" vertical="center" textRotation="0" indent="0" justifyLastLine="0" shrinkToFit="0" readingOrder="0"/>
    </dxf>
    <dxf>
      <font>
        <strike val="0"/>
        <outline val="0"/>
        <shadow val="0"/>
        <vertAlign val="baseline"/>
        <sz val="12"/>
        <color auto="1"/>
        <name val="Calibri"/>
        <family val="2"/>
        <scheme val="minor"/>
      </font>
      <alignment horizontal="center" vertical="center" textRotation="0" wrapText="0" indent="0" justifyLastLine="0" shrinkToFit="0" readingOrder="0"/>
    </dxf>
    <dxf>
      <font>
        <strike val="0"/>
        <outline val="0"/>
        <shadow val="0"/>
        <vertAlign val="baseline"/>
        <sz val="12"/>
        <color auto="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2"/>
        <color auto="1"/>
        <name val="Calibri"/>
        <family val="2"/>
        <scheme val="minor"/>
      </font>
      <alignment horizontal="center" vertical="center" textRotation="0" wrapText="0" indent="0" justifyLastLine="0" shrinkToFit="0" readingOrder="0"/>
    </dxf>
    <dxf>
      <font>
        <strike val="0"/>
        <outline val="0"/>
        <shadow val="0"/>
        <vertAlign val="baseline"/>
        <sz val="12"/>
        <color auto="1"/>
        <name val="Calibri"/>
        <family val="2"/>
        <scheme val="minor"/>
      </font>
      <numFmt numFmtId="167" formatCode="[$-F800]dddd\,\ mmmm\ dd\,\ yyyy"/>
      <alignment horizontal="center" vertical="center" textRotation="0" wrapText="0" indent="0" justifyLastLine="0" shrinkToFit="0" readingOrder="0"/>
    </dxf>
    <dxf>
      <font>
        <strike val="0"/>
        <outline val="0"/>
        <shadow val="0"/>
        <vertAlign val="baseline"/>
        <sz val="12"/>
        <color auto="1"/>
        <name val="Calibri"/>
        <family val="2"/>
        <scheme val="minor"/>
      </font>
      <alignment horizontal="center" vertical="center" textRotation="0" wrapText="0" indent="0" justifyLastLine="0" shrinkToFit="0" readingOrder="0"/>
    </dxf>
    <dxf>
      <font>
        <strike val="0"/>
        <outline val="0"/>
        <shadow val="0"/>
        <vertAlign val="baseline"/>
        <sz val="12"/>
        <color auto="1"/>
        <name val="Calibri"/>
        <family val="2"/>
        <scheme val="minor"/>
      </font>
      <alignment horizontal="center" vertical="center" textRotation="0" wrapText="0" indent="0" justifyLastLine="0" shrinkToFit="0" readingOrder="0"/>
    </dxf>
    <dxf>
      <font>
        <strike val="0"/>
        <outline val="0"/>
        <shadow val="0"/>
        <vertAlign val="baseline"/>
        <sz val="12"/>
        <color auto="1"/>
        <name val="Calibri"/>
        <family val="2"/>
        <scheme val="minor"/>
      </font>
      <alignment horizontal="center" vertical="center" textRotation="0" wrapText="0" indent="0" justifyLastLine="0" shrinkToFit="0" readingOrder="0"/>
    </dxf>
    <dxf>
      <font>
        <strike val="0"/>
        <outline val="0"/>
        <shadow val="0"/>
        <vertAlign val="baseline"/>
        <sz val="12"/>
        <color auto="1"/>
        <name val="Calibri"/>
        <family val="2"/>
        <scheme val="minor"/>
      </font>
      <alignment horizontal="center" vertical="center" textRotation="0" wrapText="0" indent="0" justifyLastLine="0" shrinkToFit="0" readingOrder="0"/>
    </dxf>
    <dxf>
      <font>
        <strike val="0"/>
        <outline val="0"/>
        <shadow val="0"/>
        <vertAlign val="baseline"/>
        <sz val="12"/>
        <color auto="1"/>
        <name val="Calibri"/>
        <family val="2"/>
        <scheme val="minor"/>
      </font>
      <alignment horizontal="center" vertical="center" textRotation="0" wrapText="0" indent="0" justifyLastLine="0" shrinkToFit="0" readingOrder="0"/>
    </dxf>
    <dxf>
      <font>
        <strike val="0"/>
        <outline val="0"/>
        <shadow val="0"/>
        <vertAlign val="baseline"/>
        <sz val="12"/>
        <color auto="1"/>
        <name val="Calibri"/>
        <family val="2"/>
        <scheme val="minor"/>
      </font>
      <alignment horizontal="center" vertical="center" textRotation="0" wrapText="0" indent="0" justifyLastLine="0" shrinkToFit="0" readingOrder="0"/>
    </dxf>
    <dxf>
      <font>
        <strike val="0"/>
        <outline val="0"/>
        <shadow val="0"/>
        <vertAlign val="baseline"/>
        <sz val="12"/>
        <color auto="1"/>
        <name val="Calibri"/>
        <family val="2"/>
        <scheme val="minor"/>
      </font>
      <numFmt numFmtId="165" formatCode="&quot;$&quot;#,##0;\-&quot;$&quot;#,##0"/>
      <alignment horizontal="center" vertical="center" textRotation="0" wrapText="0" indent="0" justifyLastLine="0" shrinkToFit="0" readingOrder="0"/>
    </dxf>
    <dxf>
      <font>
        <strike val="0"/>
        <outline val="0"/>
        <shadow val="0"/>
        <vertAlign val="baseline"/>
        <sz val="12"/>
        <color auto="1"/>
        <name val="Calibri"/>
        <family val="2"/>
        <scheme val="minor"/>
      </font>
      <alignment horizontal="center" vertical="center" textRotation="0" wrapText="0" indent="0" justifyLastLine="0" shrinkToFit="0" readingOrder="0"/>
    </dxf>
    <dxf>
      <font>
        <strike val="0"/>
        <outline val="0"/>
        <shadow val="0"/>
        <vertAlign val="baseline"/>
        <sz val="12"/>
        <color auto="1"/>
        <name val="Calibri"/>
        <family val="2"/>
        <scheme val="minor"/>
      </font>
      <alignment horizontal="center" vertical="center" textRotation="0" wrapText="0" indent="0" justifyLastLine="0" shrinkToFit="0" readingOrder="0"/>
    </dxf>
    <dxf>
      <font>
        <strike val="0"/>
        <outline val="0"/>
        <shadow val="0"/>
        <vertAlign val="baseline"/>
        <color auto="1"/>
      </font>
      <alignment horizontal="center" vertical="center" textRotation="0" wrapText="0" indent="0" justifyLastLine="0" shrinkToFit="0" readingOrder="0"/>
    </dxf>
    <dxf>
      <font>
        <strike val="0"/>
        <outline val="0"/>
        <shadow val="0"/>
        <vertAlign val="baseline"/>
        <sz val="12"/>
        <color auto="1"/>
        <name val="Calibri"/>
        <family val="2"/>
        <scheme val="minor"/>
      </font>
      <alignment horizontal="center" vertical="center" textRotation="0" wrapText="0" indent="0" justifyLastLine="0" shrinkToFit="0" readingOrder="0"/>
    </dxf>
    <dxf>
      <font>
        <strike val="0"/>
        <outline val="0"/>
        <shadow val="0"/>
        <vertAlign val="baseline"/>
        <sz val="12"/>
        <color auto="1"/>
        <name val="Calibri"/>
        <family val="2"/>
        <scheme val="minor"/>
      </font>
      <alignment horizontal="center" vertical="center" textRotation="0" indent="0" justifyLastLine="0" shrinkToFit="0" readingOrder="0"/>
    </dxf>
    <dxf>
      <font>
        <strike val="0"/>
        <outline val="0"/>
        <shadow val="0"/>
        <vertAlign val="baseline"/>
        <sz val="12"/>
        <color auto="1"/>
        <name val="Calibri"/>
        <family val="2"/>
        <scheme val="minor"/>
      </font>
      <alignment horizontal="center" vertical="center" textRotation="0" indent="0" justifyLastLine="0" shrinkToFit="0" readingOrder="0"/>
    </dxf>
    <dxf>
      <font>
        <strike val="0"/>
        <outline val="0"/>
        <shadow val="0"/>
        <vertAlign val="baseline"/>
        <sz val="12"/>
        <color auto="1"/>
        <name val="Calibri"/>
        <family val="2"/>
        <scheme val="minor"/>
      </font>
      <alignment horizontal="center" vertical="center" textRotation="0" wrapText="0" indent="0" justifyLastLine="0" shrinkToFit="0" readingOrder="0"/>
    </dxf>
    <dxf>
      <font>
        <strike val="0"/>
        <outline val="0"/>
        <shadow val="0"/>
        <vertAlign val="baseline"/>
        <sz val="12"/>
        <color auto="1"/>
        <name val="Calibri"/>
        <family val="2"/>
        <scheme val="minor"/>
      </font>
      <alignment horizontal="center" vertical="center" textRotation="0" indent="0" justifyLastLine="0" shrinkToFit="0" readingOrder="0"/>
    </dxf>
    <dxf>
      <font>
        <strike val="0"/>
        <outline val="0"/>
        <shadow val="0"/>
        <vertAlign val="baseline"/>
        <sz val="12"/>
        <color auto="1"/>
        <name val="Calibri"/>
        <family val="2"/>
        <scheme val="minor"/>
      </font>
      <alignment horizontal="center" vertical="center" textRotation="0" wrapText="0" indent="0" justifyLastLine="0" shrinkToFit="0" readingOrder="0"/>
    </dxf>
    <dxf>
      <font>
        <strike val="0"/>
        <outline val="0"/>
        <shadow val="0"/>
        <vertAlign val="baseline"/>
        <sz val="12"/>
        <color auto="1"/>
        <name val="Calibri"/>
        <family val="2"/>
        <scheme val="minor"/>
      </font>
      <alignment horizontal="center" vertical="center" textRotation="0" indent="0" justifyLastLine="0" shrinkToFit="0" readingOrder="0"/>
    </dxf>
    <dxf>
      <font>
        <strike val="0"/>
        <outline val="0"/>
        <shadow val="0"/>
        <vertAlign val="baseline"/>
        <sz val="12"/>
        <color auto="1"/>
        <name val="Calibri"/>
        <family val="2"/>
        <scheme val="minor"/>
      </font>
      <alignment horizontal="center" vertical="center" textRotation="0" indent="0" justifyLastLine="0" shrinkToFit="0" readingOrder="0"/>
    </dxf>
    <dxf>
      <font>
        <strike val="0"/>
        <outline val="0"/>
        <shadow val="0"/>
        <vertAlign val="baseline"/>
        <sz val="12"/>
        <color auto="1"/>
        <name val="Calibri"/>
        <family val="2"/>
        <scheme val="minor"/>
      </font>
      <alignment horizontal="center" vertical="center" textRotation="0" indent="0" justifyLastLine="0" shrinkToFit="0" readingOrder="0"/>
    </dxf>
    <dxf>
      <font>
        <strike val="0"/>
        <outline val="0"/>
        <shadow val="0"/>
        <vertAlign val="baseline"/>
        <sz val="12"/>
        <color auto="1"/>
        <name val="Calibri"/>
        <family val="2"/>
        <scheme val="minor"/>
      </font>
      <alignment horizontal="center" vertical="center" textRotation="0" indent="0" justifyLastLine="0" shrinkToFit="0" readingOrder="0"/>
    </dxf>
    <dxf>
      <font>
        <strike val="0"/>
        <outline val="0"/>
        <shadow val="0"/>
        <vertAlign val="baseline"/>
        <sz val="12"/>
        <color auto="1"/>
        <name val="Calibri"/>
        <family val="2"/>
        <scheme val="minor"/>
      </font>
      <numFmt numFmtId="181" formatCode="dd/mm/yyyy"/>
      <alignment horizontal="center" vertical="center" textRotation="0" wrapText="0" indent="0" justifyLastLine="0" shrinkToFit="0" readingOrder="0"/>
    </dxf>
    <dxf>
      <font>
        <strike val="0"/>
        <outline val="0"/>
        <shadow val="0"/>
        <vertAlign val="baseline"/>
        <sz val="12"/>
        <color auto="1"/>
        <name val="Calibri"/>
        <family val="2"/>
        <scheme val="minor"/>
      </font>
      <numFmt numFmtId="30" formatCode="@"/>
      <alignment horizontal="center" vertical="center" textRotation="0" wrapText="0" indent="0" justifyLastLine="0" shrinkToFit="0" readingOrder="0"/>
    </dxf>
    <dxf>
      <font>
        <strike val="0"/>
        <outline val="0"/>
        <shadow val="0"/>
        <vertAlign val="baseline"/>
        <sz val="12"/>
        <color auto="1"/>
        <name val="Calibri"/>
        <family val="2"/>
        <scheme val="minor"/>
      </font>
      <alignment horizontal="center" vertical="center" textRotation="0" wrapText="0" indent="0" justifyLastLine="0" shrinkToFit="0" readingOrder="0"/>
    </dxf>
    <dxf>
      <font>
        <strike val="0"/>
        <outline val="0"/>
        <shadow val="0"/>
        <vertAlign val="baseline"/>
        <sz val="12"/>
        <color auto="1"/>
        <name val="Calibri"/>
        <family val="2"/>
        <scheme val="minor"/>
      </font>
      <alignment horizontal="center" vertical="center" textRotation="0" indent="0" justifyLastLine="0" shrinkToFit="0" readingOrder="0"/>
    </dxf>
    <dxf>
      <font>
        <strike val="0"/>
        <outline val="0"/>
        <shadow val="0"/>
        <vertAlign val="baseline"/>
        <sz val="12"/>
        <color auto="1"/>
        <name val="Calibri"/>
        <family val="2"/>
        <scheme val="minor"/>
      </font>
      <alignment horizontal="center" vertical="center" textRotation="0" wrapText="0" indent="0" justifyLastLine="0" shrinkToFit="0" readingOrder="0"/>
    </dxf>
    <dxf>
      <font>
        <strike val="0"/>
        <outline val="0"/>
        <shadow val="0"/>
        <vertAlign val="baseline"/>
        <sz val="12"/>
        <color auto="1"/>
        <name val="Calibri"/>
        <family val="2"/>
        <scheme val="minor"/>
      </font>
      <alignment horizontal="center" vertical="center" textRotation="0" indent="0" justifyLastLine="0" shrinkToFit="0" readingOrder="0"/>
    </dxf>
    <dxf>
      <font>
        <strike val="0"/>
        <outline val="0"/>
        <shadow val="0"/>
        <vertAlign val="baseline"/>
        <sz val="12"/>
        <color auto="1"/>
        <name val="Calibri"/>
        <family val="2"/>
        <scheme val="minor"/>
      </font>
      <fill>
        <patternFill patternType="none">
          <fgColor indexed="64"/>
          <bgColor auto="1"/>
        </patternFill>
      </fill>
      <alignment horizontal="center" vertical="center" textRotation="0" indent="0" justifyLastLine="0" shrinkToFit="0" readingOrder="0"/>
    </dxf>
    <dxf>
      <font>
        <strike val="0"/>
        <outline val="0"/>
        <shadow val="0"/>
        <vertAlign val="baseline"/>
        <sz val="12"/>
        <color auto="1"/>
        <name val="Calibri"/>
        <family val="2"/>
        <scheme val="minor"/>
      </font>
      <fill>
        <patternFill patternType="none">
          <fgColor indexed="64"/>
          <bgColor auto="1"/>
        </patternFill>
      </fill>
      <alignment horizontal="center" vertical="center" textRotation="0" wrapText="0" indent="0" justifyLastLine="0" shrinkToFit="0" readingOrder="0"/>
    </dxf>
    <dxf>
      <font>
        <strike val="0"/>
        <outline val="0"/>
        <shadow val="0"/>
        <vertAlign val="baseline"/>
        <sz val="12"/>
        <color auto="1"/>
        <name val="Calibri"/>
        <family val="2"/>
        <scheme val="minor"/>
      </font>
      <fill>
        <patternFill patternType="none">
          <fgColor indexed="64"/>
          <bgColor auto="1"/>
        </patternFill>
      </fill>
      <alignment horizontal="center" vertical="center" textRotation="0" indent="0" justifyLastLine="0" shrinkToFit="0" readingOrder="0"/>
    </dxf>
    <dxf>
      <font>
        <strike val="0"/>
        <outline val="0"/>
        <shadow val="0"/>
        <vertAlign val="baseline"/>
        <sz val="12"/>
        <color auto="1"/>
        <name val="Calibri"/>
        <family val="2"/>
        <scheme val="minor"/>
      </font>
      <fill>
        <patternFill patternType="none">
          <fgColor indexed="64"/>
          <bgColor auto="1"/>
        </patternFill>
      </fill>
      <alignment horizontal="center" vertical="center" textRotation="0" indent="0" justifyLastLine="0" shrinkToFit="0" readingOrder="0"/>
    </dxf>
    <dxf>
      <font>
        <strike val="0"/>
        <outline val="0"/>
        <shadow val="0"/>
        <vertAlign val="baseline"/>
        <sz val="12"/>
        <color auto="1"/>
        <name val="Calibri"/>
        <family val="2"/>
        <scheme val="minor"/>
      </font>
      <numFmt numFmtId="169" formatCode="&quot;$&quot;#,##0"/>
      <fill>
        <patternFill patternType="none">
          <fgColor indexed="64"/>
          <bgColor auto="1"/>
        </patternFill>
      </fill>
      <alignment horizontal="center" vertical="center" textRotation="0" indent="0" justifyLastLine="0" shrinkToFit="0" readingOrder="0"/>
    </dxf>
    <dxf>
      <font>
        <strike val="0"/>
        <outline val="0"/>
        <shadow val="0"/>
        <vertAlign val="baseline"/>
        <sz val="12"/>
        <color auto="1"/>
        <name val="Calibri"/>
        <family val="2"/>
        <scheme val="minor"/>
      </font>
      <fill>
        <patternFill patternType="none">
          <fgColor indexed="64"/>
          <bgColor auto="1"/>
        </patternFill>
      </fill>
      <alignment horizontal="center" vertical="center" textRotation="0" indent="0" justifyLastLine="0" shrinkToFit="0" readingOrder="0"/>
    </dxf>
    <dxf>
      <font>
        <strike val="0"/>
        <outline val="0"/>
        <shadow val="0"/>
        <u val="none"/>
        <vertAlign val="baseline"/>
        <sz val="12"/>
        <color auto="1"/>
        <name val="Calibri"/>
        <family val="2"/>
        <scheme val="minor"/>
      </font>
      <numFmt numFmtId="167" formatCode="[$-F800]dddd\,\ mmmm\ dd\,\ yyyy"/>
      <fill>
        <patternFill patternType="none">
          <fgColor indexed="64"/>
          <bgColor auto="1"/>
        </patternFill>
      </fill>
      <alignment horizontal="center" vertical="center" textRotation="0" indent="0" justifyLastLine="0" shrinkToFit="0" readingOrder="0"/>
    </dxf>
    <dxf>
      <font>
        <strike val="0"/>
        <outline val="0"/>
        <shadow val="0"/>
        <vertAlign val="baseline"/>
        <sz val="12"/>
        <color auto="1"/>
        <name val="Calibri"/>
        <family val="2"/>
        <scheme val="minor"/>
      </font>
      <numFmt numFmtId="177" formatCode="[$-240A]dddd\,\ dd&quot; de &quot;mmmm&quot; de &quot;yyyy;@"/>
      <fill>
        <patternFill patternType="none">
          <fgColor indexed="64"/>
          <bgColor auto="1"/>
        </patternFill>
      </fill>
      <alignment horizontal="center" vertical="center" textRotation="0" indent="0" justifyLastLine="0" shrinkToFit="0" readingOrder="0"/>
    </dxf>
    <dxf>
      <font>
        <strike val="0"/>
        <outline val="0"/>
        <shadow val="0"/>
        <vertAlign val="baseline"/>
        <sz val="12"/>
        <color auto="1"/>
        <name val="Calibri"/>
        <family val="2"/>
        <scheme val="minor"/>
      </font>
      <fill>
        <patternFill patternType="none">
          <fgColor indexed="64"/>
          <bgColor auto="1"/>
        </patternFill>
      </fill>
      <alignment horizontal="center" vertical="center" textRotation="0" indent="0" justifyLastLine="0" shrinkToFit="0" readingOrder="0"/>
    </dxf>
    <dxf>
      <font>
        <strike val="0"/>
        <outline val="0"/>
        <shadow val="0"/>
        <vertAlign val="baseline"/>
        <sz val="12"/>
        <color auto="1"/>
        <name val="Calibri"/>
        <family val="2"/>
        <scheme val="minor"/>
      </font>
      <fill>
        <patternFill patternType="none">
          <fgColor indexed="64"/>
          <bgColor auto="1"/>
        </patternFill>
      </fill>
      <alignment horizontal="center" vertical="center" textRotation="0" indent="0" justifyLastLine="0" shrinkToFit="0" readingOrder="0"/>
    </dxf>
    <dxf>
      <font>
        <strike val="0"/>
        <outline val="0"/>
        <shadow val="0"/>
        <u val="none"/>
        <vertAlign val="baseline"/>
        <sz val="12"/>
        <color auto="1"/>
        <name val="Calibri"/>
        <family val="2"/>
        <scheme val="minor"/>
      </font>
      <numFmt numFmtId="173" formatCode="_-* #,##0_-;\-* #,##0_-;_-* &quot;-&quot;??_-;_-@_-"/>
      <fill>
        <patternFill patternType="none">
          <fgColor indexed="64"/>
          <bgColor auto="1"/>
        </patternFill>
      </fill>
      <alignment horizontal="center" vertical="center" textRotation="0" wrapText="0" indent="0" justifyLastLine="0" shrinkToFit="0" readingOrder="0"/>
    </dxf>
    <dxf>
      <font>
        <strike val="0"/>
        <outline val="0"/>
        <shadow val="0"/>
        <vertAlign val="baseline"/>
        <sz val="12"/>
        <color auto="1"/>
        <name val="Calibri"/>
        <family val="2"/>
        <scheme val="minor"/>
      </font>
      <fill>
        <patternFill patternType="none">
          <fgColor indexed="64"/>
          <bgColor auto="1"/>
        </patternFill>
      </fill>
      <alignment horizontal="center" vertical="center" textRotation="0" indent="0" justifyLastLine="0" shrinkToFit="0" readingOrder="0"/>
    </dxf>
    <dxf>
      <font>
        <strike val="0"/>
        <outline val="0"/>
        <shadow val="0"/>
        <vertAlign val="baseline"/>
        <sz val="12"/>
        <color auto="1"/>
        <name val="Calibri"/>
        <family val="2"/>
        <scheme val="minor"/>
      </font>
      <fill>
        <patternFill patternType="none">
          <fgColor indexed="64"/>
          <bgColor auto="1"/>
        </patternFill>
      </fill>
      <alignment horizontal="center" vertical="center" textRotation="0" wrapText="0" indent="0" justifyLastLine="0" shrinkToFit="0" readingOrder="0"/>
    </dxf>
    <dxf>
      <font>
        <strike val="0"/>
        <outline val="0"/>
        <shadow val="0"/>
        <vertAlign val="baseline"/>
        <sz val="12"/>
        <color auto="1"/>
        <name val="Calibri"/>
        <family val="2"/>
        <scheme val="minor"/>
      </font>
      <fill>
        <patternFill patternType="none">
          <fgColor indexed="64"/>
          <bgColor auto="1"/>
        </patternFill>
      </fill>
      <alignment horizontal="center" vertical="center" textRotation="0" wrapText="0" indent="0" justifyLastLine="0" shrinkToFit="0" readingOrder="0"/>
    </dxf>
    <dxf>
      <font>
        <b/>
        <i val="0"/>
        <strike val="0"/>
        <condense val="0"/>
        <extend val="0"/>
        <outline val="0"/>
        <shadow val="0"/>
        <u val="none"/>
        <vertAlign val="baseline"/>
        <sz val="12"/>
        <color auto="1"/>
        <name val="Calibri"/>
        <family val="2"/>
        <scheme val="minor"/>
      </font>
      <fill>
        <patternFill patternType="none">
          <fgColor indexed="64"/>
          <bgColor auto="1"/>
        </patternFill>
      </fill>
      <alignment horizontal="center" vertical="center" textRotation="0" wrapText="0" indent="0" justifyLastLine="0" shrinkToFit="0" readingOrder="0"/>
    </dxf>
    <dxf>
      <border outline="0">
        <right style="thin">
          <color indexed="64"/>
        </right>
        <top style="thin">
          <color indexed="64"/>
        </top>
      </border>
    </dxf>
    <dxf>
      <font>
        <strike val="0"/>
        <outline val="0"/>
        <shadow val="0"/>
        <vertAlign val="baseline"/>
        <sz val="12"/>
        <color auto="1"/>
        <name val="Calibri"/>
        <family val="2"/>
        <scheme val="minor"/>
      </font>
      <alignment horizontal="center" vertical="center" textRotation="0" indent="0" justifyLastLine="0" shrinkToFit="0" readingOrder="0"/>
    </dxf>
    <dxf>
      <border outline="0">
        <bottom style="thin">
          <color indexed="64"/>
        </bottom>
      </border>
    </dxf>
    <dxf>
      <font>
        <b/>
        <i val="0"/>
        <strike val="0"/>
        <condense val="0"/>
        <extend val="0"/>
        <outline val="0"/>
        <shadow val="0"/>
        <u val="none"/>
        <vertAlign val="baseline"/>
        <sz val="12"/>
        <color auto="1"/>
        <name val="Calibri"/>
        <family val="2"/>
        <scheme val="minor"/>
      </font>
      <fill>
        <patternFill patternType="solid">
          <fgColor rgb="FFFFFFCC"/>
          <bgColor rgb="FFFFFFFF"/>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sz val="16"/>
      </font>
    </dxf>
    <dxf>
      <font>
        <sz val="16"/>
      </font>
    </dxf>
    <dxf>
      <font>
        <color auto="1"/>
      </font>
    </dxf>
    <dxf>
      <font>
        <sz val="16"/>
      </font>
    </dxf>
    <dxf>
      <font>
        <sz val="16"/>
      </font>
    </dxf>
    <dxf>
      <font>
        <color rgb="FFC00000"/>
      </font>
    </dxf>
    <dxf>
      <font>
        <color rgb="FFC00000"/>
      </font>
    </dxf>
    <dxf>
      <font>
        <b val="0"/>
        <i val="0"/>
        <color rgb="FF5B9765"/>
      </font>
    </dxf>
    <dxf>
      <font>
        <b val="0"/>
        <i val="0"/>
        <color rgb="FFC00000"/>
      </font>
    </dxf>
    <dxf>
      <font>
        <color rgb="FF002060"/>
      </font>
    </dxf>
  </dxfs>
  <tableStyles count="1" defaultTableStyle="TableStyleMedium2" defaultPivotStyle="PivotStyleLight16">
    <tableStyle name="Estilo de tabla dinámica 1" table="0" count="1" xr9:uid="{D036D0F2-2E1B-47F7-96E2-C011EDDA6036}">
      <tableStyleElement type="wholeTable" dxfId="88"/>
    </tableStyle>
  </tableStyles>
  <colors>
    <mruColors>
      <color rgb="FFDFBE7B"/>
      <color rgb="FFF6F2FF"/>
      <color rgb="FF798D98"/>
      <color rgb="FF5B976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5189987206532327"/>
          <c:y val="7.6312412010473216E-4"/>
          <c:w val="0.74810012793467673"/>
          <c:h val="0.83968334335220451"/>
        </c:manualLayout>
      </c:layout>
      <c:barChart>
        <c:barDir val="bar"/>
        <c:grouping val="clustered"/>
        <c:varyColors val="1"/>
        <c:ser>
          <c:idx val="0"/>
          <c:order val="0"/>
          <c:tx>
            <c:strRef>
              <c:f>Reporte!$K$47</c:f>
              <c:strCache>
                <c:ptCount val="1"/>
              </c:strCache>
            </c:strRef>
          </c:tx>
          <c:invertIfNegative val="0"/>
          <c:dPt>
            <c:idx val="0"/>
            <c:invertIfNegative val="0"/>
            <c:bubble3D val="0"/>
            <c:spPr>
              <a:solidFill>
                <a:schemeClr val="accent2">
                  <a:shade val="58000"/>
                </a:schemeClr>
              </a:solidFill>
              <a:ln w="19050">
                <a:solidFill>
                  <a:schemeClr val="lt1"/>
                </a:solidFill>
              </a:ln>
              <a:effectLst/>
            </c:spPr>
            <c:extLst>
              <c:ext xmlns:c16="http://schemas.microsoft.com/office/drawing/2014/chart" uri="{C3380CC4-5D6E-409C-BE32-E72D297353CC}">
                <c16:uniqueId val="{00000001-9FE8-4221-938D-760409473431}"/>
              </c:ext>
            </c:extLst>
          </c:dPt>
          <c:dPt>
            <c:idx val="1"/>
            <c:invertIfNegative val="0"/>
            <c:bubble3D val="0"/>
            <c:spPr>
              <a:solidFill>
                <a:schemeClr val="accent2">
                  <a:shade val="86000"/>
                </a:schemeClr>
              </a:solidFill>
              <a:ln w="19050">
                <a:solidFill>
                  <a:schemeClr val="lt1"/>
                </a:solidFill>
              </a:ln>
              <a:effectLst/>
            </c:spPr>
            <c:extLst>
              <c:ext xmlns:c16="http://schemas.microsoft.com/office/drawing/2014/chart" uri="{C3380CC4-5D6E-409C-BE32-E72D297353CC}">
                <c16:uniqueId val="{00000003-9FE8-4221-938D-760409473431}"/>
              </c:ext>
            </c:extLst>
          </c:dPt>
          <c:dPt>
            <c:idx val="2"/>
            <c:invertIfNegative val="0"/>
            <c:bubble3D val="0"/>
            <c:spPr>
              <a:solidFill>
                <a:schemeClr val="accent2">
                  <a:tint val="86000"/>
                </a:schemeClr>
              </a:solidFill>
              <a:ln w="19050">
                <a:solidFill>
                  <a:schemeClr val="lt1"/>
                </a:solidFill>
              </a:ln>
              <a:effectLst/>
            </c:spPr>
            <c:extLst>
              <c:ext xmlns:c16="http://schemas.microsoft.com/office/drawing/2014/chart" uri="{C3380CC4-5D6E-409C-BE32-E72D297353CC}">
                <c16:uniqueId val="{00000005-9FE8-4221-938D-760409473431}"/>
              </c:ext>
            </c:extLst>
          </c:dPt>
          <c:dPt>
            <c:idx val="3"/>
            <c:invertIfNegative val="0"/>
            <c:bubble3D val="0"/>
            <c:spPr>
              <a:solidFill>
                <a:schemeClr val="accent2">
                  <a:tint val="58000"/>
                </a:schemeClr>
              </a:solidFill>
              <a:ln w="19050">
                <a:solidFill>
                  <a:schemeClr val="lt1"/>
                </a:solidFill>
              </a:ln>
              <a:effectLst/>
            </c:spPr>
            <c:extLst>
              <c:ext xmlns:c16="http://schemas.microsoft.com/office/drawing/2014/chart" uri="{C3380CC4-5D6E-409C-BE32-E72D297353CC}">
                <c16:uniqueId val="{00000007-9FE8-4221-938D-760409473431}"/>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bg1"/>
                    </a:solidFill>
                    <a:latin typeface="+mn-lt"/>
                    <a:ea typeface="+mn-ea"/>
                    <a:cs typeface="+mn-cs"/>
                  </a:defRPr>
                </a:pPr>
                <a:endParaRPr lang="es-419"/>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Reporte!$J$48:$J$51</c:f>
              <c:strCache>
                <c:ptCount val="4"/>
                <c:pt idx="0">
                  <c:v>Justa causa</c:v>
                </c:pt>
                <c:pt idx="1">
                  <c:v>Sin justa causa</c:v>
                </c:pt>
                <c:pt idx="2">
                  <c:v>Mutuo acuerdo</c:v>
                </c:pt>
                <c:pt idx="3">
                  <c:v>Finaliza el plazo o la obra</c:v>
                </c:pt>
              </c:strCache>
            </c:strRef>
          </c:cat>
          <c:val>
            <c:numRef>
              <c:f>Reporte!$K$48:$K$51</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0-E401-464B-B557-E561BF053A33}"/>
            </c:ext>
          </c:extLst>
        </c:ser>
        <c:dLbls>
          <c:dLblPos val="outEnd"/>
          <c:showLegendKey val="0"/>
          <c:showVal val="1"/>
          <c:showCatName val="0"/>
          <c:showSerName val="0"/>
          <c:showPercent val="0"/>
          <c:showBubbleSize val="0"/>
        </c:dLbls>
        <c:gapWidth val="150"/>
        <c:axId val="840648272"/>
        <c:axId val="1910313872"/>
      </c:barChart>
      <c:catAx>
        <c:axId val="84064827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s-419"/>
          </a:p>
        </c:txPr>
        <c:crossAx val="1910313872"/>
        <c:crosses val="autoZero"/>
        <c:auto val="1"/>
        <c:lblAlgn val="ctr"/>
        <c:lblOffset val="100"/>
        <c:noMultiLvlLbl val="0"/>
      </c:catAx>
      <c:valAx>
        <c:axId val="1910313872"/>
        <c:scaling>
          <c:orientation val="minMax"/>
        </c:scaling>
        <c:delete val="1"/>
        <c:axPos val="b"/>
        <c:majorGridlines>
          <c:spPr>
            <a:ln w="9525" cap="flat" cmpd="sng" algn="ctr">
              <a:noFill/>
              <a:round/>
            </a:ln>
            <a:effectLst/>
          </c:spPr>
        </c:majorGridlines>
        <c:numFmt formatCode="General" sourceLinked="1"/>
        <c:majorTickMark val="out"/>
        <c:minorTickMark val="none"/>
        <c:tickLblPos val="nextTo"/>
        <c:crossAx val="84064827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s-419"/>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noFill/>
            </a:ln>
          </c:spPr>
          <c:explosion val="8"/>
          <c:dPt>
            <c:idx val="0"/>
            <c:bubble3D val="0"/>
            <c:spPr>
              <a:solidFill>
                <a:schemeClr val="accent1"/>
              </a:solidFill>
              <a:ln w="19050">
                <a:noFill/>
              </a:ln>
              <a:effectLst/>
            </c:spPr>
            <c:extLst>
              <c:ext xmlns:c16="http://schemas.microsoft.com/office/drawing/2014/chart" uri="{C3380CC4-5D6E-409C-BE32-E72D297353CC}">
                <c16:uniqueId val="{00000001-1F01-4CD4-BCCA-222439A36345}"/>
              </c:ext>
            </c:extLst>
          </c:dPt>
          <c:dPt>
            <c:idx val="1"/>
            <c:bubble3D val="0"/>
            <c:spPr>
              <a:solidFill>
                <a:schemeClr val="accent2"/>
              </a:solidFill>
              <a:ln w="19050">
                <a:noFill/>
              </a:ln>
              <a:effectLst/>
            </c:spPr>
            <c:extLst>
              <c:ext xmlns:c16="http://schemas.microsoft.com/office/drawing/2014/chart" uri="{C3380CC4-5D6E-409C-BE32-E72D297353CC}">
                <c16:uniqueId val="{00000003-1F01-4CD4-BCCA-222439A36345}"/>
              </c:ext>
            </c:extLst>
          </c:dPt>
          <c:dPt>
            <c:idx val="2"/>
            <c:bubble3D val="0"/>
            <c:spPr>
              <a:solidFill>
                <a:schemeClr val="accent3"/>
              </a:solidFill>
              <a:ln w="19050">
                <a:noFill/>
              </a:ln>
              <a:effectLst/>
            </c:spPr>
            <c:extLst>
              <c:ext xmlns:c16="http://schemas.microsoft.com/office/drawing/2014/chart" uri="{C3380CC4-5D6E-409C-BE32-E72D297353CC}">
                <c16:uniqueId val="{00000005-1F01-4CD4-BCCA-222439A36345}"/>
              </c:ext>
            </c:extLst>
          </c:dPt>
          <c:dPt>
            <c:idx val="3"/>
            <c:bubble3D val="0"/>
            <c:spPr>
              <a:solidFill>
                <a:schemeClr val="accent4"/>
              </a:solidFill>
              <a:ln w="19050">
                <a:noFill/>
              </a:ln>
              <a:effectLst/>
            </c:spPr>
            <c:extLst>
              <c:ext xmlns:c16="http://schemas.microsoft.com/office/drawing/2014/chart" uri="{C3380CC4-5D6E-409C-BE32-E72D297353CC}">
                <c16:uniqueId val="{00000007-CE0F-4C10-9526-A897857702B8}"/>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s-419"/>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Reporte!$B$37:$B$40</c:f>
              <c:strCache>
                <c:ptCount val="4"/>
                <c:pt idx="0">
                  <c:v>Total ingresos trabajadores</c:v>
                </c:pt>
                <c:pt idx="1">
                  <c:v>Seguridad social y parafiscales</c:v>
                </c:pt>
                <c:pt idx="2">
                  <c:v>Provisión prestaciones sociales</c:v>
                </c:pt>
                <c:pt idx="3">
                  <c:v>Liquidaciones</c:v>
                </c:pt>
              </c:strCache>
            </c:strRef>
          </c:cat>
          <c:val>
            <c:numRef>
              <c:f>Reporte!$D$37:$D$40</c:f>
              <c:numCache>
                <c:formatCode>[$$-240A]\ #,##0</c:formatCode>
                <c:ptCount val="4"/>
                <c:pt idx="0">
                  <c:v>9342715</c:v>
                </c:pt>
                <c:pt idx="1">
                  <c:v>1117031</c:v>
                </c:pt>
                <c:pt idx="2">
                  <c:v>1582553</c:v>
                </c:pt>
              </c:numCache>
            </c:numRef>
          </c:val>
          <c:extLst>
            <c:ext xmlns:c16="http://schemas.microsoft.com/office/drawing/2014/chart" uri="{C3380CC4-5D6E-409C-BE32-E72D297353CC}">
              <c16:uniqueId val="{00000000-2A21-4947-84EE-C0A169C51BE3}"/>
            </c:ext>
          </c:extLst>
        </c:ser>
        <c:dLbls>
          <c:showLegendKey val="0"/>
          <c:showVal val="0"/>
          <c:showCatName val="0"/>
          <c:showSerName val="0"/>
          <c:showPercent val="0"/>
          <c:showBubbleSize val="0"/>
          <c:showLeaderLines val="1"/>
        </c:dLbls>
        <c:firstSliceAng val="0"/>
      </c:pieChart>
      <c:spPr>
        <a:noFill/>
        <a:ln>
          <a:noFill/>
        </a:ln>
        <a:effectLst/>
      </c:spPr>
    </c:plotArea>
    <c:legend>
      <c:legendPos val="tr"/>
      <c:layout>
        <c:manualLayout>
          <c:xMode val="edge"/>
          <c:yMode val="edge"/>
          <c:x val="0.58363973449904327"/>
          <c:y val="0.10897681418631536"/>
          <c:w val="0.41533554017067736"/>
          <c:h val="0.62323835894139601"/>
        </c:manualLayout>
      </c:layout>
      <c:overlay val="0"/>
      <c:spPr>
        <a:noFill/>
        <a:ln>
          <a:noFill/>
        </a:ln>
        <a:effectLst/>
      </c:spPr>
      <c:txPr>
        <a:bodyPr rot="0" spcFirstLastPara="1" vertOverflow="ellipsis" vert="horz" wrap="square" anchor="ctr" anchorCtr="0"/>
        <a:lstStyle/>
        <a:p>
          <a:pPr>
            <a:defRPr sz="1600" b="0" i="0" u="none" strike="noStrike" kern="1200" baseline="0">
              <a:solidFill>
                <a:srgbClr val="F6F2FF"/>
              </a:solidFill>
              <a:latin typeface="+mn-lt"/>
              <a:ea typeface="+mn-ea"/>
              <a:cs typeface="+mn-cs"/>
            </a:defRPr>
          </a:pPr>
          <a:endParaRPr lang="es-419"/>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419"/>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4"/>
    </mc:Choice>
    <mc:Fallback>
      <c:style val="4"/>
    </mc:Fallback>
  </mc:AlternateContent>
  <c:pivotSource>
    <c:name>[GAP macros si (1).xlsm]Reporte!TablaDinámica19</c:name>
    <c:fmtId val="0"/>
  </c:pivotSource>
  <c:chart>
    <c:autoTitleDeleted val="1"/>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6F2FF"/>
                  </a:solidFill>
                  <a:latin typeface="+mn-lt"/>
                  <a:ea typeface="+mn-ea"/>
                  <a:cs typeface="+mn-cs"/>
                </a:defRPr>
              </a:pPr>
              <a:endParaRPr lang="es-419"/>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hade val="90000"/>
            </a:schemeClr>
          </a:solidFill>
          <a:ln>
            <a:noFill/>
          </a:ln>
          <a:effectLst/>
        </c:spPr>
      </c:pivotFmt>
      <c:pivotFmt>
        <c:idx val="3"/>
        <c:spPr>
          <a:solidFill>
            <a:schemeClr val="accent2">
              <a:shade val="50000"/>
            </a:schemeClr>
          </a:solidFill>
          <a:ln>
            <a:noFill/>
          </a:ln>
          <a:effectLst/>
        </c:spPr>
      </c:pivotFmt>
      <c:pivotFmt>
        <c:idx val="4"/>
        <c:spPr>
          <a:solidFill>
            <a:schemeClr val="accent2"/>
          </a:solidFill>
          <a:ln>
            <a:noFill/>
          </a:ln>
          <a:effectLst/>
        </c:spPr>
      </c:pivotFmt>
      <c:pivotFmt>
        <c:idx val="5"/>
      </c:pivotFmt>
      <c:pivotFmt>
        <c:idx val="6"/>
        <c:spPr>
          <a:solidFill>
            <a:schemeClr val="accent2"/>
          </a:solidFill>
          <a:ln>
            <a:noFill/>
          </a:ln>
          <a:effectLst/>
        </c:spPr>
      </c:pivotFmt>
      <c:pivotFmt>
        <c:idx val="7"/>
        <c:spPr>
          <a:solidFill>
            <a:schemeClr val="accent2"/>
          </a:solidFill>
          <a:ln>
            <a:noFill/>
          </a:ln>
          <a:effectLst/>
        </c:spPr>
      </c:pivotFmt>
      <c:pivotFmt>
        <c:idx val="8"/>
        <c:spPr>
          <a:solidFill>
            <a:schemeClr val="accent2">
              <a:shade val="70000"/>
            </a:schemeClr>
          </a:solidFill>
          <a:ln>
            <a:noFill/>
          </a:ln>
          <a:effectLst/>
        </c:spPr>
      </c:pivotFmt>
      <c:pivotFmt>
        <c:idx val="9"/>
        <c:spPr>
          <a:solidFill>
            <a:schemeClr val="accent2">
              <a:tint val="70000"/>
            </a:schemeClr>
          </a:solidFill>
          <a:ln>
            <a:noFill/>
          </a:ln>
          <a:effectLst/>
        </c:spPr>
      </c:pivotFmt>
      <c:pivotFmt>
        <c:idx val="10"/>
        <c:spPr>
          <a:solidFill>
            <a:schemeClr val="accent2"/>
          </a:solidFill>
          <a:ln>
            <a:noFill/>
          </a:ln>
          <a:effectLst/>
        </c:spPr>
      </c:pivotFmt>
      <c:pivotFmt>
        <c:idx val="11"/>
        <c:spPr>
          <a:solidFill>
            <a:schemeClr val="accent2">
              <a:shade val="40000"/>
            </a:schemeClr>
          </a:solidFill>
          <a:ln>
            <a:noFill/>
          </a:ln>
          <a:effectLst/>
        </c:spPr>
      </c:pivotFmt>
      <c:pivotFmt>
        <c:idx val="12"/>
        <c:spPr>
          <a:solidFill>
            <a:schemeClr val="accent2">
              <a:shade val="50000"/>
            </a:schemeClr>
          </a:solidFill>
          <a:ln>
            <a:noFill/>
          </a:ln>
          <a:effectLst/>
        </c:spPr>
      </c:pivotFmt>
      <c:pivotFmt>
        <c:idx val="13"/>
        <c:spPr>
          <a:solidFill>
            <a:schemeClr val="accent2">
              <a:shade val="60000"/>
            </a:schemeClr>
          </a:solidFill>
          <a:ln>
            <a:noFill/>
          </a:ln>
          <a:effectLst/>
        </c:spPr>
      </c:pivotFmt>
      <c:pivotFmt>
        <c:idx val="14"/>
        <c:spPr>
          <a:solidFill>
            <a:schemeClr val="accent2">
              <a:shade val="70000"/>
            </a:schemeClr>
          </a:solidFill>
          <a:ln>
            <a:noFill/>
          </a:ln>
          <a:effectLst/>
        </c:spPr>
      </c:pivotFmt>
      <c:pivotFmt>
        <c:idx val="15"/>
        <c:spPr>
          <a:solidFill>
            <a:schemeClr val="accent2">
              <a:shade val="80000"/>
            </a:schemeClr>
          </a:solidFill>
          <a:ln>
            <a:noFill/>
          </a:ln>
          <a:effectLst/>
        </c:spPr>
      </c:pivotFmt>
      <c:pivotFmt>
        <c:idx val="16"/>
        <c:spPr>
          <a:solidFill>
            <a:schemeClr val="accent2">
              <a:shade val="90000"/>
            </a:schemeClr>
          </a:solidFill>
          <a:ln>
            <a:noFill/>
          </a:ln>
          <a:effectLst/>
        </c:spPr>
      </c:pivotFmt>
      <c:pivotFmt>
        <c:idx val="17"/>
        <c:spPr>
          <a:solidFill>
            <a:schemeClr val="accent2">
              <a:tint val="86000"/>
            </a:schemeClr>
          </a:solidFill>
          <a:ln>
            <a:noFill/>
          </a:ln>
          <a:effectLst/>
        </c:spPr>
      </c:pivotFmt>
      <c:pivotFmt>
        <c:idx val="18"/>
        <c:spPr>
          <a:solidFill>
            <a:schemeClr val="accent2">
              <a:tint val="90000"/>
            </a:schemeClr>
          </a:solidFill>
          <a:ln>
            <a:noFill/>
          </a:ln>
          <a:effectLst/>
        </c:spPr>
      </c:pivotFmt>
      <c:pivotFmt>
        <c:idx val="19"/>
        <c:spPr>
          <a:solidFill>
            <a:schemeClr val="accent2">
              <a:shade val="86000"/>
            </a:schemeClr>
          </a:solidFill>
          <a:ln>
            <a:noFill/>
          </a:ln>
          <a:effectLst/>
        </c:spPr>
      </c:pivotFmt>
      <c:pivotFmt>
        <c:idx val="20"/>
        <c:spPr>
          <a:solidFill>
            <a:schemeClr val="accent2">
              <a:tint val="60000"/>
            </a:schemeClr>
          </a:solidFill>
          <a:ln>
            <a:noFill/>
          </a:ln>
          <a:effectLst/>
        </c:spPr>
      </c:pivotFmt>
      <c:pivotFmt>
        <c:idx val="21"/>
        <c:spPr>
          <a:solidFill>
            <a:schemeClr val="accent2">
              <a:tint val="77000"/>
            </a:schemeClr>
          </a:solidFill>
          <a:ln>
            <a:noFill/>
          </a:ln>
          <a:effectLst/>
        </c:spPr>
      </c:pivotFmt>
      <c:pivotFmt>
        <c:idx val="22"/>
        <c:spPr>
          <a:solidFill>
            <a:schemeClr val="accent2">
              <a:tint val="40000"/>
            </a:schemeClr>
          </a:solidFill>
          <a:ln>
            <a:noFill/>
          </a:ln>
          <a:effectLst/>
        </c:spPr>
      </c:pivotFmt>
      <c:pivotFmt>
        <c:idx val="23"/>
        <c:spPr>
          <a:solidFill>
            <a:schemeClr val="accent2">
              <a:shade val="44000"/>
            </a:schemeClr>
          </a:solidFill>
          <a:ln>
            <a:noFill/>
          </a:ln>
          <a:effectLst/>
        </c:spPr>
      </c:pivotFmt>
      <c:pivotFmt>
        <c:idx val="24"/>
        <c:spPr>
          <a:solidFill>
            <a:schemeClr val="accent2">
              <a:shade val="58000"/>
            </a:schemeClr>
          </a:solidFill>
          <a:ln>
            <a:noFill/>
          </a:ln>
          <a:effectLst/>
        </c:spPr>
      </c:pivotFmt>
      <c:pivotFmt>
        <c:idx val="25"/>
        <c:spPr>
          <a:solidFill>
            <a:schemeClr val="accent2">
              <a:shade val="72000"/>
            </a:schemeClr>
          </a:solidFill>
          <a:ln>
            <a:noFill/>
          </a:ln>
          <a:effectLst/>
        </c:spPr>
      </c:pivotFmt>
      <c:pivotFmt>
        <c:idx val="26"/>
        <c:spPr>
          <a:solidFill>
            <a:schemeClr val="accent2">
              <a:shade val="86000"/>
            </a:schemeClr>
          </a:solidFill>
          <a:ln>
            <a:noFill/>
          </a:ln>
          <a:effectLst/>
        </c:spPr>
      </c:pivotFmt>
      <c:pivotFmt>
        <c:idx val="27"/>
        <c:spPr>
          <a:solidFill>
            <a:schemeClr val="accent2"/>
          </a:solidFill>
          <a:ln>
            <a:noFill/>
          </a:ln>
          <a:effectLst/>
        </c:spPr>
      </c:pivotFmt>
      <c:pivotFmt>
        <c:idx val="28"/>
        <c:spPr>
          <a:solidFill>
            <a:schemeClr val="accent2">
              <a:tint val="86000"/>
            </a:schemeClr>
          </a:solidFill>
          <a:ln>
            <a:noFill/>
          </a:ln>
          <a:effectLst/>
        </c:spPr>
      </c:pivotFmt>
      <c:pivotFmt>
        <c:idx val="29"/>
        <c:spPr>
          <a:solidFill>
            <a:schemeClr val="accent2">
              <a:tint val="72000"/>
            </a:schemeClr>
          </a:solidFill>
          <a:ln>
            <a:noFill/>
          </a:ln>
          <a:effectLst/>
        </c:spPr>
      </c:pivotFmt>
      <c:pivotFmt>
        <c:idx val="30"/>
        <c:spPr>
          <a:solidFill>
            <a:schemeClr val="accent2">
              <a:tint val="58000"/>
            </a:schemeClr>
          </a:solidFill>
          <a:ln>
            <a:noFill/>
          </a:ln>
          <a:effectLst/>
        </c:spPr>
      </c:pivotFmt>
      <c:pivotFmt>
        <c:idx val="31"/>
        <c:spPr>
          <a:solidFill>
            <a:schemeClr val="accent2">
              <a:tint val="44000"/>
            </a:schemeClr>
          </a:solidFill>
          <a:ln>
            <a:noFill/>
          </a:ln>
          <a:effectLst/>
        </c:spPr>
      </c:pivotFmt>
      <c:pivotFmt>
        <c:idx val="32"/>
        <c:spPr>
          <a:solidFill>
            <a:schemeClr val="accent2">
              <a:shade val="58000"/>
            </a:schemeClr>
          </a:solidFill>
          <a:ln>
            <a:noFill/>
          </a:ln>
          <a:effectLst/>
        </c:spPr>
      </c:pivotFmt>
      <c:pivotFmt>
        <c:idx val="33"/>
        <c:spPr>
          <a:solidFill>
            <a:schemeClr val="accent2">
              <a:shade val="86000"/>
            </a:schemeClr>
          </a:solidFill>
          <a:ln>
            <a:noFill/>
          </a:ln>
          <a:effectLst/>
        </c:spPr>
      </c:pivotFmt>
      <c:pivotFmt>
        <c:idx val="34"/>
        <c:spPr>
          <a:solidFill>
            <a:schemeClr val="accent2">
              <a:tint val="86000"/>
            </a:schemeClr>
          </a:solidFill>
          <a:ln>
            <a:noFill/>
          </a:ln>
          <a:effectLst/>
        </c:spPr>
      </c:pivotFmt>
      <c:pivotFmt>
        <c:idx val="35"/>
        <c:spPr>
          <a:solidFill>
            <a:schemeClr val="accent2">
              <a:tint val="58000"/>
            </a:schemeClr>
          </a:solidFill>
          <a:ln>
            <a:noFill/>
          </a:ln>
          <a:effectLst/>
        </c:spPr>
      </c:pivotFmt>
      <c:pivotFmt>
        <c:idx val="36"/>
        <c:spPr>
          <a:solidFill>
            <a:schemeClr val="accent2">
              <a:shade val="41000"/>
            </a:schemeClr>
          </a:solidFill>
          <a:ln>
            <a:noFill/>
          </a:ln>
          <a:effectLst/>
        </c:spPr>
      </c:pivotFmt>
      <c:pivotFmt>
        <c:idx val="37"/>
        <c:spPr>
          <a:solidFill>
            <a:schemeClr val="accent2">
              <a:shade val="53000"/>
            </a:schemeClr>
          </a:solidFill>
          <a:ln>
            <a:noFill/>
          </a:ln>
          <a:effectLst/>
        </c:spPr>
      </c:pivotFmt>
      <c:pivotFmt>
        <c:idx val="38"/>
        <c:spPr>
          <a:solidFill>
            <a:schemeClr val="accent2">
              <a:shade val="65000"/>
            </a:schemeClr>
          </a:solidFill>
          <a:ln>
            <a:noFill/>
          </a:ln>
          <a:effectLst/>
        </c:spPr>
      </c:pivotFmt>
      <c:pivotFmt>
        <c:idx val="39"/>
        <c:spPr>
          <a:solidFill>
            <a:schemeClr val="accent2">
              <a:shade val="76000"/>
            </a:schemeClr>
          </a:solidFill>
          <a:ln>
            <a:noFill/>
          </a:ln>
          <a:effectLst/>
        </c:spPr>
      </c:pivotFmt>
      <c:pivotFmt>
        <c:idx val="40"/>
        <c:spPr>
          <a:solidFill>
            <a:schemeClr val="accent2">
              <a:shade val="68000"/>
            </a:schemeClr>
          </a:solidFill>
          <a:ln>
            <a:noFill/>
          </a:ln>
          <a:effectLst/>
        </c:spPr>
      </c:pivotFmt>
      <c:pivotFmt>
        <c:idx val="41"/>
        <c:spPr>
          <a:solidFill>
            <a:schemeClr val="accent2">
              <a:tint val="89000"/>
            </a:schemeClr>
          </a:solidFill>
          <a:ln>
            <a:noFill/>
          </a:ln>
          <a:effectLst/>
        </c:spPr>
      </c:pivotFmt>
      <c:pivotFmt>
        <c:idx val="42"/>
        <c:spPr>
          <a:solidFill>
            <a:schemeClr val="accent2">
              <a:tint val="77000"/>
            </a:schemeClr>
          </a:solidFill>
          <a:ln>
            <a:noFill/>
          </a:ln>
          <a:effectLst/>
        </c:spPr>
      </c:pivotFmt>
      <c:pivotFmt>
        <c:idx val="43"/>
        <c:spPr>
          <a:solidFill>
            <a:schemeClr val="accent2">
              <a:tint val="42000"/>
            </a:schemeClr>
          </a:solidFill>
          <a:ln>
            <a:noFill/>
          </a:ln>
          <a:effectLst/>
        </c:spPr>
      </c:pivotFmt>
      <c:pivotFmt>
        <c:idx val="44"/>
        <c:spPr>
          <a:solidFill>
            <a:schemeClr val="accent2">
              <a:shade val="65000"/>
            </a:schemeClr>
          </a:solidFill>
          <a:ln>
            <a:noFill/>
          </a:ln>
          <a:effectLst/>
        </c:spPr>
      </c:pivotFmt>
      <c:pivotFmt>
        <c:idx val="45"/>
        <c:spPr>
          <a:solidFill>
            <a:schemeClr val="accent2"/>
          </a:solidFill>
          <a:ln>
            <a:noFill/>
          </a:ln>
          <a:effectLst/>
        </c:spPr>
      </c:pivotFmt>
      <c:pivotFmt>
        <c:idx val="46"/>
        <c:spPr>
          <a:solidFill>
            <a:schemeClr val="accent2">
              <a:tint val="65000"/>
            </a:schemeClr>
          </a:solidFill>
          <a:ln>
            <a:noFill/>
          </a:ln>
          <a:effectLst/>
        </c:spPr>
      </c:pivotFmt>
      <c:pivotFmt>
        <c:idx val="47"/>
        <c:spPr>
          <a:solidFill>
            <a:schemeClr val="accent2">
              <a:shade val="58000"/>
            </a:schemeClr>
          </a:solidFill>
          <a:ln>
            <a:noFill/>
          </a:ln>
          <a:effectLst/>
        </c:spPr>
      </c:pivotFmt>
      <c:pivotFmt>
        <c:idx val="48"/>
        <c:spPr>
          <a:solidFill>
            <a:schemeClr val="accent2">
              <a:tint val="72000"/>
            </a:schemeClr>
          </a:solidFill>
          <a:ln>
            <a:noFill/>
          </a:ln>
          <a:effectLst/>
        </c:spPr>
      </c:pivotFmt>
      <c:pivotFmt>
        <c:idx val="49"/>
        <c:spPr>
          <a:solidFill>
            <a:schemeClr val="accent2">
              <a:tint val="65000"/>
            </a:schemeClr>
          </a:solidFill>
          <a:ln>
            <a:noFill/>
          </a:ln>
          <a:effectLst/>
        </c:spPr>
      </c:pivotFmt>
      <c:pivotFmt>
        <c:idx val="50"/>
        <c:spPr>
          <a:solidFill>
            <a:schemeClr val="accent2">
              <a:shade val="76000"/>
            </a:schemeClr>
          </a:solidFill>
          <a:ln>
            <a:noFill/>
          </a:ln>
          <a:effectLst/>
        </c:spPr>
      </c:pivotFmt>
      <c:pivotFmt>
        <c:idx val="51"/>
        <c:spPr>
          <a:solidFill>
            <a:schemeClr val="accent2">
              <a:tint val="77000"/>
            </a:schemeClr>
          </a:solidFill>
          <a:ln>
            <a:noFill/>
          </a:ln>
          <a:effectLst/>
        </c:spPr>
      </c:pivotFmt>
      <c:pivotFmt>
        <c:idx val="52"/>
        <c:spPr>
          <a:solidFill>
            <a:schemeClr val="accent2">
              <a:shade val="65000"/>
            </a:schemeClr>
          </a:solidFill>
          <a:ln>
            <a:noFill/>
          </a:ln>
          <a:effectLst/>
        </c:spPr>
      </c:pivotFmt>
      <c:pivotFmt>
        <c:idx val="53"/>
        <c:spPr>
          <a:solidFill>
            <a:schemeClr val="accent2"/>
          </a:solidFill>
          <a:ln>
            <a:noFill/>
          </a:ln>
          <a:effectLst/>
        </c:spPr>
      </c:pivotFmt>
      <c:pivotFmt>
        <c:idx val="54"/>
        <c:spPr>
          <a:solidFill>
            <a:schemeClr val="accent2">
              <a:tint val="65000"/>
            </a:schemeClr>
          </a:solidFill>
          <a:ln>
            <a:noFill/>
          </a:ln>
          <a:effectLst/>
        </c:spPr>
      </c:pivotFmt>
      <c:pivotFmt>
        <c:idx val="55"/>
        <c:spPr>
          <a:solidFill>
            <a:schemeClr val="accent2">
              <a:shade val="47000"/>
            </a:schemeClr>
          </a:solidFill>
          <a:ln>
            <a:noFill/>
          </a:ln>
          <a:effectLst/>
        </c:spPr>
      </c:pivotFmt>
      <c:pivotFmt>
        <c:idx val="56"/>
        <c:spPr>
          <a:solidFill>
            <a:schemeClr val="accent2">
              <a:shade val="65000"/>
            </a:schemeClr>
          </a:solidFill>
          <a:ln>
            <a:noFill/>
          </a:ln>
          <a:effectLst/>
        </c:spPr>
      </c:pivotFmt>
      <c:pivotFmt>
        <c:idx val="57"/>
        <c:spPr>
          <a:solidFill>
            <a:schemeClr val="accent2">
              <a:shade val="82000"/>
            </a:schemeClr>
          </a:solidFill>
          <a:ln>
            <a:noFill/>
          </a:ln>
          <a:effectLst/>
        </c:spPr>
      </c:pivotFmt>
      <c:pivotFmt>
        <c:idx val="58"/>
        <c:spPr>
          <a:solidFill>
            <a:schemeClr val="accent2"/>
          </a:solidFill>
          <a:ln>
            <a:noFill/>
          </a:ln>
          <a:effectLst/>
        </c:spPr>
      </c:pivotFmt>
      <c:pivotFmt>
        <c:idx val="59"/>
        <c:spPr>
          <a:solidFill>
            <a:schemeClr val="accent2">
              <a:tint val="83000"/>
            </a:schemeClr>
          </a:solidFill>
          <a:ln>
            <a:noFill/>
          </a:ln>
          <a:effectLst/>
        </c:spPr>
      </c:pivotFmt>
      <c:pivotFmt>
        <c:idx val="60"/>
        <c:spPr>
          <a:solidFill>
            <a:schemeClr val="accent2">
              <a:tint val="65000"/>
            </a:schemeClr>
          </a:solidFill>
          <a:ln>
            <a:noFill/>
          </a:ln>
          <a:effectLst/>
        </c:spPr>
      </c:pivotFmt>
      <c:pivotFmt>
        <c:idx val="61"/>
        <c:spPr>
          <a:solidFill>
            <a:schemeClr val="accent2">
              <a:tint val="48000"/>
            </a:schemeClr>
          </a:solidFill>
          <a:ln>
            <a:noFill/>
          </a:ln>
          <a:effectLst/>
        </c:spPr>
      </c:pivotFmt>
    </c:pivotFmts>
    <c:plotArea>
      <c:layout>
        <c:manualLayout>
          <c:layoutTarget val="inner"/>
          <c:xMode val="edge"/>
          <c:yMode val="edge"/>
          <c:x val="0.52917115686158289"/>
          <c:y val="5.7085555254928526E-2"/>
          <c:w val="0.44074834662037321"/>
          <c:h val="0.73205368559145811"/>
        </c:manualLayout>
      </c:layout>
      <c:barChart>
        <c:barDir val="bar"/>
        <c:grouping val="clustered"/>
        <c:varyColors val="1"/>
        <c:ser>
          <c:idx val="0"/>
          <c:order val="0"/>
          <c:tx>
            <c:strRef>
              <c:f>Reporte!$W$7</c:f>
              <c:strCache>
                <c:ptCount val="1"/>
                <c:pt idx="0">
                  <c:v>Total</c:v>
                </c:pt>
              </c:strCache>
            </c:strRef>
          </c:tx>
          <c:invertIfNegative val="0"/>
          <c:dPt>
            <c:idx val="0"/>
            <c:invertIfNegative val="0"/>
            <c:bubble3D val="0"/>
            <c:spPr>
              <a:solidFill>
                <a:schemeClr val="accent2">
                  <a:shade val="47000"/>
                </a:schemeClr>
              </a:solidFill>
              <a:ln>
                <a:noFill/>
              </a:ln>
              <a:effectLst/>
            </c:spPr>
            <c:extLst>
              <c:ext xmlns:c16="http://schemas.microsoft.com/office/drawing/2014/chart" uri="{C3380CC4-5D6E-409C-BE32-E72D297353CC}">
                <c16:uniqueId val="{00000004-329F-4CC7-B9A9-070275850AAC}"/>
              </c:ext>
            </c:extLst>
          </c:dPt>
          <c:dPt>
            <c:idx val="1"/>
            <c:invertIfNegative val="0"/>
            <c:bubble3D val="0"/>
            <c:spPr>
              <a:solidFill>
                <a:schemeClr val="accent2">
                  <a:shade val="65000"/>
                </a:schemeClr>
              </a:solidFill>
              <a:ln>
                <a:noFill/>
              </a:ln>
              <a:effectLst/>
            </c:spPr>
            <c:extLst>
              <c:ext xmlns:c16="http://schemas.microsoft.com/office/drawing/2014/chart" uri="{C3380CC4-5D6E-409C-BE32-E72D297353CC}">
                <c16:uniqueId val="{00000003-45E8-43EA-A349-46F6BE3B691F}"/>
              </c:ext>
            </c:extLst>
          </c:dPt>
          <c:dPt>
            <c:idx val="2"/>
            <c:invertIfNegative val="0"/>
            <c:bubble3D val="0"/>
            <c:spPr>
              <a:solidFill>
                <a:schemeClr val="accent2">
                  <a:shade val="82000"/>
                </a:schemeClr>
              </a:solidFill>
              <a:ln>
                <a:noFill/>
              </a:ln>
              <a:effectLst/>
            </c:spPr>
            <c:extLst>
              <c:ext xmlns:c16="http://schemas.microsoft.com/office/drawing/2014/chart" uri="{C3380CC4-5D6E-409C-BE32-E72D297353CC}">
                <c16:uniqueId val="{00000005-45E8-43EA-A349-46F6BE3B691F}"/>
              </c:ext>
            </c:extLst>
          </c:dPt>
          <c:dPt>
            <c:idx val="3"/>
            <c:invertIfNegative val="0"/>
            <c:bubble3D val="0"/>
            <c:spPr>
              <a:solidFill>
                <a:schemeClr val="accent2"/>
              </a:solidFill>
              <a:ln>
                <a:noFill/>
              </a:ln>
              <a:effectLst/>
            </c:spPr>
            <c:extLst>
              <c:ext xmlns:c16="http://schemas.microsoft.com/office/drawing/2014/chart" uri="{C3380CC4-5D6E-409C-BE32-E72D297353CC}">
                <c16:uniqueId val="{00000007-45E8-43EA-A349-46F6BE3B691F}"/>
              </c:ext>
            </c:extLst>
          </c:dPt>
          <c:dPt>
            <c:idx val="4"/>
            <c:invertIfNegative val="0"/>
            <c:bubble3D val="0"/>
            <c:spPr>
              <a:solidFill>
                <a:schemeClr val="accent2">
                  <a:tint val="83000"/>
                </a:schemeClr>
              </a:solidFill>
              <a:ln>
                <a:noFill/>
              </a:ln>
              <a:effectLst/>
            </c:spPr>
            <c:extLst>
              <c:ext xmlns:c16="http://schemas.microsoft.com/office/drawing/2014/chart" uri="{C3380CC4-5D6E-409C-BE32-E72D297353CC}">
                <c16:uniqueId val="{00000009-45E8-43EA-A349-46F6BE3B691F}"/>
              </c:ext>
            </c:extLst>
          </c:dPt>
          <c:dPt>
            <c:idx val="5"/>
            <c:invertIfNegative val="0"/>
            <c:bubble3D val="0"/>
            <c:spPr>
              <a:solidFill>
                <a:schemeClr val="accent2">
                  <a:tint val="65000"/>
                </a:schemeClr>
              </a:solidFill>
              <a:ln>
                <a:noFill/>
              </a:ln>
              <a:effectLst/>
            </c:spPr>
            <c:extLst>
              <c:ext xmlns:c16="http://schemas.microsoft.com/office/drawing/2014/chart" uri="{C3380CC4-5D6E-409C-BE32-E72D297353CC}">
                <c16:uniqueId val="{0000000B-45E8-43EA-A349-46F6BE3B691F}"/>
              </c:ext>
            </c:extLst>
          </c:dPt>
          <c:dPt>
            <c:idx val="6"/>
            <c:invertIfNegative val="0"/>
            <c:bubble3D val="0"/>
            <c:spPr>
              <a:solidFill>
                <a:schemeClr val="accent2">
                  <a:tint val="48000"/>
                </a:schemeClr>
              </a:solidFill>
              <a:ln>
                <a:noFill/>
              </a:ln>
              <a:effectLst/>
            </c:spPr>
            <c:extLst>
              <c:ext xmlns:c16="http://schemas.microsoft.com/office/drawing/2014/chart" uri="{C3380CC4-5D6E-409C-BE32-E72D297353CC}">
                <c16:uniqueId val="{0000000D-179B-40EA-B82F-AF432B62F771}"/>
              </c:ext>
            </c:extLst>
          </c:dPt>
          <c:dPt>
            <c:idx val="7"/>
            <c:invertIfNegative val="0"/>
            <c:bubble3D val="0"/>
            <c:spPr>
              <a:solidFill>
                <a:schemeClr val="accent2">
                  <a:tint val="30000"/>
                </a:schemeClr>
              </a:solidFill>
              <a:ln>
                <a:noFill/>
              </a:ln>
              <a:effectLst/>
            </c:spPr>
            <c:extLst>
              <c:ext xmlns:c16="http://schemas.microsoft.com/office/drawing/2014/chart" uri="{C3380CC4-5D6E-409C-BE32-E72D297353CC}">
                <c16:uniqueId val="{0000000F-179B-40EA-B82F-AF432B62F771}"/>
              </c:ext>
            </c:extLst>
          </c:dPt>
          <c:dPt>
            <c:idx val="8"/>
            <c:invertIfNegative val="0"/>
            <c:bubble3D val="0"/>
            <c:spPr>
              <a:solidFill>
                <a:schemeClr val="accent2">
                  <a:tint val="13000"/>
                </a:schemeClr>
              </a:solidFill>
              <a:ln>
                <a:noFill/>
              </a:ln>
              <a:effectLst/>
            </c:spPr>
            <c:extLst>
              <c:ext xmlns:c16="http://schemas.microsoft.com/office/drawing/2014/chart" uri="{C3380CC4-5D6E-409C-BE32-E72D297353CC}">
                <c16:uniqueId val="{00000011-179B-40EA-B82F-AF432B62F771}"/>
              </c:ext>
            </c:extLst>
          </c:dPt>
          <c:dPt>
            <c:idx val="9"/>
            <c:invertIfNegative val="0"/>
            <c:bubble3D val="0"/>
            <c:spPr>
              <a:solidFill>
                <a:schemeClr val="accent2">
                  <a:tint val="95000"/>
                </a:schemeClr>
              </a:solidFill>
              <a:ln>
                <a:noFill/>
              </a:ln>
              <a:effectLst/>
            </c:spPr>
            <c:extLst>
              <c:ext xmlns:c16="http://schemas.microsoft.com/office/drawing/2014/chart" uri="{C3380CC4-5D6E-409C-BE32-E72D297353CC}">
                <c16:uniqueId val="{00000013-179B-40EA-B82F-AF432B62F771}"/>
              </c:ext>
            </c:extLst>
          </c:dPt>
          <c:dPt>
            <c:idx val="10"/>
            <c:invertIfNegative val="0"/>
            <c:bubble3D val="0"/>
            <c:spPr>
              <a:solidFill>
                <a:schemeClr val="accent2">
                  <a:tint val="78000"/>
                </a:schemeClr>
              </a:solidFill>
              <a:ln>
                <a:noFill/>
              </a:ln>
              <a:effectLst/>
            </c:spPr>
            <c:extLst>
              <c:ext xmlns:c16="http://schemas.microsoft.com/office/drawing/2014/chart" uri="{C3380CC4-5D6E-409C-BE32-E72D297353CC}">
                <c16:uniqueId val="{00000015-179B-40EA-B82F-AF432B62F771}"/>
              </c:ext>
            </c:extLst>
          </c:dPt>
          <c:dPt>
            <c:idx val="11"/>
            <c:invertIfNegative val="0"/>
            <c:bubble3D val="0"/>
            <c:spPr>
              <a:solidFill>
                <a:schemeClr val="accent2">
                  <a:tint val="60000"/>
                </a:schemeClr>
              </a:solidFill>
              <a:ln>
                <a:noFill/>
              </a:ln>
              <a:effectLst/>
            </c:spPr>
            <c:extLst>
              <c:ext xmlns:c16="http://schemas.microsoft.com/office/drawing/2014/chart" uri="{C3380CC4-5D6E-409C-BE32-E72D297353CC}">
                <c16:uniqueId val="{00000017-179B-40EA-B82F-AF432B62F771}"/>
              </c:ext>
            </c:extLst>
          </c:dPt>
          <c:dPt>
            <c:idx val="12"/>
            <c:invertIfNegative val="0"/>
            <c:bubble3D val="0"/>
            <c:spPr>
              <a:solidFill>
                <a:schemeClr val="accent2">
                  <a:tint val="43000"/>
                </a:schemeClr>
              </a:solidFill>
              <a:ln>
                <a:noFill/>
              </a:ln>
              <a:effectLst/>
            </c:spPr>
            <c:extLst>
              <c:ext xmlns:c16="http://schemas.microsoft.com/office/drawing/2014/chart" uri="{C3380CC4-5D6E-409C-BE32-E72D297353CC}">
                <c16:uniqueId val="{00000019-179B-40EA-B82F-AF432B62F771}"/>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6F2FF"/>
                    </a:solidFill>
                    <a:latin typeface="+mn-lt"/>
                    <a:ea typeface="+mn-ea"/>
                    <a:cs typeface="+mn-cs"/>
                  </a:defRPr>
                </a:pPr>
                <a:endParaRPr lang="es-419"/>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Reporte!$V$8:$V$15</c:f>
              <c:strCache>
                <c:ptCount val="7"/>
                <c:pt idx="0">
                  <c:v>Asociada junior</c:v>
                </c:pt>
                <c:pt idx="1">
                  <c:v>Contadora</c:v>
                </c:pt>
                <c:pt idx="2">
                  <c:v>Socio</c:v>
                </c:pt>
                <c:pt idx="3">
                  <c:v>Asesor senior </c:v>
                </c:pt>
                <c:pt idx="4">
                  <c:v>Auxiliar administrativa</c:v>
                </c:pt>
                <c:pt idx="5">
                  <c:v>Asociado junior</c:v>
                </c:pt>
                <c:pt idx="6">
                  <c:v>Analista de Datos</c:v>
                </c:pt>
              </c:strCache>
            </c:strRef>
          </c:cat>
          <c:val>
            <c:numRef>
              <c:f>Reporte!$W$8:$W$15</c:f>
              <c:numCache>
                <c:formatCode>General</c:formatCode>
                <c:ptCount val="7"/>
                <c:pt idx="0">
                  <c:v>3</c:v>
                </c:pt>
                <c:pt idx="1">
                  <c:v>1</c:v>
                </c:pt>
                <c:pt idx="2">
                  <c:v>2</c:v>
                </c:pt>
                <c:pt idx="3">
                  <c:v>1</c:v>
                </c:pt>
                <c:pt idx="4">
                  <c:v>1</c:v>
                </c:pt>
                <c:pt idx="5">
                  <c:v>1</c:v>
                </c:pt>
                <c:pt idx="6">
                  <c:v>1</c:v>
                </c:pt>
              </c:numCache>
            </c:numRef>
          </c:val>
          <c:extLst>
            <c:ext xmlns:c16="http://schemas.microsoft.com/office/drawing/2014/chart" uri="{C3380CC4-5D6E-409C-BE32-E72D297353CC}">
              <c16:uniqueId val="{00000003-329F-4CC7-B9A9-070275850AAC}"/>
            </c:ext>
          </c:extLst>
        </c:ser>
        <c:dLbls>
          <c:dLblPos val="inEnd"/>
          <c:showLegendKey val="0"/>
          <c:showVal val="1"/>
          <c:showCatName val="0"/>
          <c:showSerName val="0"/>
          <c:showPercent val="0"/>
          <c:showBubbleSize val="0"/>
        </c:dLbls>
        <c:gapWidth val="219"/>
        <c:axId val="606322848"/>
        <c:axId val="169582192"/>
      </c:barChart>
      <c:catAx>
        <c:axId val="606322848"/>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s-419"/>
          </a:p>
        </c:txPr>
        <c:crossAx val="169582192"/>
        <c:crosses val="autoZero"/>
        <c:auto val="1"/>
        <c:lblAlgn val="ctr"/>
        <c:lblOffset val="100"/>
        <c:noMultiLvlLbl val="0"/>
      </c:catAx>
      <c:valAx>
        <c:axId val="169582192"/>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crossAx val="6063228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419"/>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doughnutChart>
        <c:varyColors val="1"/>
        <c:ser>
          <c:idx val="0"/>
          <c:order val="0"/>
          <c:explosion val="4"/>
          <c:dPt>
            <c:idx val="0"/>
            <c:bubble3D val="0"/>
            <c:spPr>
              <a:solidFill>
                <a:schemeClr val="accent2">
                  <a:shade val="76000"/>
                </a:schemeClr>
              </a:solidFill>
              <a:ln w="19050">
                <a:solidFill>
                  <a:schemeClr val="lt1"/>
                </a:solidFill>
              </a:ln>
              <a:effectLst/>
            </c:spPr>
            <c:extLst>
              <c:ext xmlns:c16="http://schemas.microsoft.com/office/drawing/2014/chart" uri="{C3380CC4-5D6E-409C-BE32-E72D297353CC}">
                <c16:uniqueId val="{00000001-B5F9-4FF6-9D31-67A536DDC0B6}"/>
              </c:ext>
            </c:extLst>
          </c:dPt>
          <c:dPt>
            <c:idx val="1"/>
            <c:bubble3D val="0"/>
            <c:spPr>
              <a:solidFill>
                <a:schemeClr val="accent2">
                  <a:tint val="77000"/>
                </a:schemeClr>
              </a:solidFill>
              <a:ln w="19050">
                <a:solidFill>
                  <a:schemeClr val="lt1"/>
                </a:solidFill>
              </a:ln>
              <a:effectLst/>
            </c:spPr>
            <c:extLst>
              <c:ext xmlns:c16="http://schemas.microsoft.com/office/drawing/2014/chart" uri="{C3380CC4-5D6E-409C-BE32-E72D297353CC}">
                <c16:uniqueId val="{00000003-B5F9-4FF6-9D31-67A536DDC0B6}"/>
              </c:ext>
            </c:extLst>
          </c:dPt>
          <c:dLbls>
            <c:spPr>
              <a:noFill/>
              <a:ln>
                <a:noFill/>
              </a:ln>
              <a:effectLst/>
            </c:spPr>
            <c:txPr>
              <a:bodyPr rot="0" spcFirstLastPara="1" vertOverflow="ellipsis" vert="horz" wrap="square" lIns="38100" tIns="19050" rIns="38100" bIns="19050" anchor="ctr" anchorCtr="1">
                <a:spAutoFit/>
              </a:bodyPr>
              <a:lstStyle/>
              <a:p>
                <a:pPr>
                  <a:defRPr sz="1600" b="0" i="0" u="none" strike="noStrike" baseline="0">
                    <a:solidFill>
                      <a:schemeClr val="lt1"/>
                    </a:solidFill>
                    <a:latin typeface="+mn-lt"/>
                    <a:ea typeface="+mn-ea"/>
                    <a:cs typeface="+mn-cs"/>
                  </a:defRPr>
                </a:pPr>
                <a:endParaRPr lang="es-419"/>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Reporte!$M$48:$M$49</c:f>
              <c:strCache>
                <c:ptCount val="2"/>
                <c:pt idx="0">
                  <c:v>Recordatorio de funciones</c:v>
                </c:pt>
                <c:pt idx="1">
                  <c:v>Diligencia de descargos</c:v>
                </c:pt>
              </c:strCache>
            </c:strRef>
          </c:cat>
          <c:val>
            <c:numRef>
              <c:f>Reporte!$N$48:$N$49</c:f>
              <c:numCache>
                <c:formatCode>General</c:formatCode>
                <c:ptCount val="2"/>
                <c:pt idx="0">
                  <c:v>0</c:v>
                </c:pt>
                <c:pt idx="1">
                  <c:v>0</c:v>
                </c:pt>
              </c:numCache>
            </c:numRef>
          </c:val>
          <c:extLst>
            <c:ext xmlns:c16="http://schemas.microsoft.com/office/drawing/2014/chart" uri="{C3380CC4-5D6E-409C-BE32-E72D297353CC}">
              <c16:uniqueId val="{00000000-FC79-453E-8DFB-F97C620C2B1B}"/>
            </c:ext>
          </c:extLst>
        </c:ser>
        <c:dLbls>
          <c:showLegendKey val="0"/>
          <c:showVal val="0"/>
          <c:showCatName val="0"/>
          <c:showSerName val="0"/>
          <c:showPercent val="0"/>
          <c:showBubbleSize val="0"/>
          <c:showLeaderLines val="1"/>
        </c:dLbls>
        <c:firstSliceAng val="0"/>
        <c:holeSize val="46"/>
      </c:doughnutChart>
      <c:spPr>
        <a:noFill/>
        <a:ln>
          <a:noFill/>
        </a:ln>
        <a:effectLst/>
      </c:spPr>
    </c:plotArea>
    <c:legend>
      <c:legendPos val="r"/>
      <c:layout>
        <c:manualLayout>
          <c:xMode val="edge"/>
          <c:yMode val="edge"/>
          <c:x val="0.59888250056350523"/>
          <c:y val="0.25591182535911089"/>
          <c:w val="0.37165671301907721"/>
          <c:h val="0.49388552780116829"/>
        </c:manualLayout>
      </c:layout>
      <c:overlay val="0"/>
      <c:spPr>
        <a:noFill/>
        <a:ln>
          <a:noFill/>
        </a:ln>
        <a:effectLst/>
      </c:spPr>
      <c:txPr>
        <a:bodyPr rot="0" spcFirstLastPara="1" vertOverflow="ellipsis" vert="horz" wrap="square" anchor="ctr" anchorCtr="1"/>
        <a:lstStyle/>
        <a:p>
          <a:pPr>
            <a:defRPr sz="1050" b="0" i="0" u="none" strike="noStrike" baseline="0">
              <a:solidFill>
                <a:schemeClr val="bg1"/>
              </a:solidFill>
              <a:latin typeface="+mn-lt"/>
              <a:ea typeface="+mn-ea"/>
              <a:cs typeface="+mn-cs"/>
            </a:defRPr>
          </a:pPr>
          <a:endParaRPr lang="es-419"/>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419"/>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_xlchart.v1.2</cx:f>
      </cx:numDim>
    </cx:data>
  </cx:chartData>
  <cx:chart>
    <cx:plotArea>
      <cx:plotAreaRegion>
        <cx:series layoutId="sunburst" uniqueId="{8BC07D85-3412-465A-BD90-B7DBA246A1EB}" formatIdx="2">
          <cx:tx>
            <cx:txData>
              <cx:f>_xlchart.v1.1</cx:f>
              <cx:v>Cantidad</cx:v>
            </cx:txData>
          </cx:tx>
          <cx:dataLabels>
            <cx:txPr>
              <a:bodyPr spcFirstLastPara="1" vertOverflow="ellipsis" horzOverflow="overflow" wrap="square" lIns="0" tIns="0" rIns="0" bIns="0" anchor="ctr" anchorCtr="1"/>
              <a:lstStyle/>
              <a:p>
                <a:pPr algn="ctr" rtl="0">
                  <a:defRPr sz="1600">
                    <a:solidFill>
                      <a:schemeClr val="bg1"/>
                    </a:solidFill>
                  </a:defRPr>
                </a:pPr>
                <a:endParaRPr lang="es-ES" sz="1600" b="0" i="0" u="none" strike="noStrike" baseline="0">
                  <a:solidFill>
                    <a:schemeClr val="bg1"/>
                  </a:solidFill>
                  <a:latin typeface="Calibri" panose="020F0502020204030204"/>
                </a:endParaRPr>
              </a:p>
            </cx:txPr>
            <cx:visibility seriesName="0" categoryName="0" value="1"/>
            <cx:separator>, </cx:separator>
          </cx:dataLabels>
          <cx:dataId val="0"/>
        </cx:series>
      </cx:plotAreaRegion>
    </cx:plotArea>
    <cx:legend pos="r" align="ctr" overlay="0">
      <cx:txPr>
        <a:bodyPr spcFirstLastPara="1" vertOverflow="ellipsis" horzOverflow="overflow" wrap="square" lIns="0" tIns="0" rIns="0" bIns="0" anchor="ctr" anchorCtr="1"/>
        <a:lstStyle/>
        <a:p>
          <a:pPr algn="ctr" rtl="0">
            <a:defRPr sz="1600">
              <a:solidFill>
                <a:schemeClr val="bg1"/>
              </a:solidFill>
            </a:defRPr>
          </a:pPr>
          <a:endParaRPr lang="es-ES" sz="1600" b="0" i="0" u="none" strike="noStrike" baseline="0">
            <a:solidFill>
              <a:schemeClr val="bg1"/>
            </a:solidFill>
            <a:latin typeface="Calibri" panose="020F0502020204030204"/>
          </a:endParaRPr>
        </a:p>
      </cx:txPr>
    </cx:legend>
  </cx:chart>
  <cx:spPr>
    <a:noFill/>
    <a:ln>
      <a:noFill/>
    </a:ln>
  </cx:spPr>
</cx:chartSpace>
</file>

<file path=xl/charts/colors1.xml><?xml version="1.0" encoding="utf-8"?>
<cs:colorStyle xmlns:cs="http://schemas.microsoft.com/office/drawing/2012/chartStyle" xmlns:a="http://schemas.openxmlformats.org/drawingml/2006/main" meth="withinLinear" id="15">
  <a:schemeClr val="accent2"/>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5">
  <a:schemeClr val="accent2"/>
</cs:colorStyle>
</file>

<file path=xl/charts/colors4.xml><?xml version="1.0" encoding="utf-8"?>
<cs:colorStyle xmlns:cs="http://schemas.microsoft.com/office/drawing/2012/chartStyle" xmlns:a="http://schemas.openxmlformats.org/drawingml/2006/main" meth="withinLinear" id="15">
  <a:schemeClr val="accent2"/>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8" Type="http://schemas.openxmlformats.org/officeDocument/2006/relationships/hyperlink" Target="#'Cto. general'!A1"/><Relationship Id="rId13" Type="http://schemas.openxmlformats.org/officeDocument/2006/relationships/hyperlink" Target="#'Otros&#237; pagos no salariales'!A1"/><Relationship Id="rId3" Type="http://schemas.openxmlformats.org/officeDocument/2006/relationships/hyperlink" Target="#'Confirmaci&#243;n datos'!A1"/><Relationship Id="rId7" Type="http://schemas.openxmlformats.org/officeDocument/2006/relationships/hyperlink" Target="#'Cto. individual'!A1"/><Relationship Id="rId12" Type="http://schemas.openxmlformats.org/officeDocument/2006/relationships/hyperlink" Target="#Empleadores!A1"/><Relationship Id="rId17" Type="http://schemas.openxmlformats.org/officeDocument/2006/relationships/hyperlink" Target="#'validador '!A1"/><Relationship Id="rId2" Type="http://schemas.openxmlformats.org/officeDocument/2006/relationships/hyperlink" Target="#Aleluya!A1"/><Relationship Id="rId16" Type="http://schemas.openxmlformats.org/officeDocument/2006/relationships/hyperlink" Target="#FECHASIMPORTANTES!A1"/><Relationship Id="rId1" Type="http://schemas.openxmlformats.org/officeDocument/2006/relationships/hyperlink" Target="#Reporte!A1"/><Relationship Id="rId6" Type="http://schemas.openxmlformats.org/officeDocument/2006/relationships/hyperlink" Target="#'Cert. lab.'!A1"/><Relationship Id="rId11" Type="http://schemas.openxmlformats.org/officeDocument/2006/relationships/hyperlink" Target="#'Cto. Aprendiz'!A1"/><Relationship Id="rId5" Type="http://schemas.openxmlformats.org/officeDocument/2006/relationships/hyperlink" Target="#'Recor. de funciones'!A1"/><Relationship Id="rId15" Type="http://schemas.openxmlformats.org/officeDocument/2006/relationships/hyperlink" Target="#DATOSDENOMINA!A1"/><Relationship Id="rId10" Type="http://schemas.openxmlformats.org/officeDocument/2006/relationships/hyperlink" Target="#'Documentos de retiro'!A1"/><Relationship Id="rId4" Type="http://schemas.openxmlformats.org/officeDocument/2006/relationships/hyperlink" Target="#'Correctivos y discip'!A1"/><Relationship Id="rId9" Type="http://schemas.openxmlformats.org/officeDocument/2006/relationships/hyperlink" Target="#'Llamado de atenci&#243;n'!A1"/><Relationship Id="rId14" Type="http://schemas.openxmlformats.org/officeDocument/2006/relationships/hyperlink" Target="#'Otros&#237;. individual'!A1"/></Relationships>
</file>

<file path=xl/drawings/_rels/drawing2.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chart" Target="../charts/chart2.xml"/><Relationship Id="rId7" Type="http://schemas.openxmlformats.org/officeDocument/2006/relationships/image" Target="../media/image3.svg"/><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image" Target="../media/image2.png"/><Relationship Id="rId11" Type="http://schemas.openxmlformats.org/officeDocument/2006/relationships/hyperlink" Target="#Inicio!A1"/><Relationship Id="rId5" Type="http://schemas.openxmlformats.org/officeDocument/2006/relationships/chart" Target="../charts/chart4.xml"/><Relationship Id="rId10" Type="http://schemas.microsoft.com/office/2014/relationships/chartEx" Target="../charts/chartEx1.xml"/><Relationship Id="rId4" Type="http://schemas.openxmlformats.org/officeDocument/2006/relationships/chart" Target="../charts/chart3.xml"/><Relationship Id="rId9" Type="http://schemas.openxmlformats.org/officeDocument/2006/relationships/image" Target="../media/image5.svg"/></Relationships>
</file>

<file path=xl/drawings/_rels/drawing3.xml.rels><?xml version="1.0" encoding="UTF-8" standalone="yes"?>
<Relationships xmlns="http://schemas.openxmlformats.org/package/2006/relationships"><Relationship Id="rId1" Type="http://schemas.openxmlformats.org/officeDocument/2006/relationships/hyperlink" Target="#Inicio!A1"/></Relationships>
</file>

<file path=xl/drawings/_rels/drawing4.xml.rels><?xml version="1.0" encoding="UTF-8" standalone="yes"?>
<Relationships xmlns="http://schemas.openxmlformats.org/package/2006/relationships"><Relationship Id="rId1" Type="http://schemas.openxmlformats.org/officeDocument/2006/relationships/hyperlink" Target="#Inicio!A1"/></Relationships>
</file>

<file path=xl/drawings/_rels/drawing5.xml.rels><?xml version="1.0" encoding="UTF-8" standalone="yes"?>
<Relationships xmlns="http://schemas.openxmlformats.org/package/2006/relationships"><Relationship Id="rId1" Type="http://schemas.openxmlformats.org/officeDocument/2006/relationships/hyperlink" Target="#Inicio!A1"/></Relationships>
</file>

<file path=xl/drawings/_rels/drawing6.xml.rels><?xml version="1.0" encoding="UTF-8" standalone="yes"?>
<Relationships xmlns="http://schemas.openxmlformats.org/package/2006/relationships"><Relationship Id="rId1" Type="http://schemas.openxmlformats.org/officeDocument/2006/relationships/hyperlink" Target="#Inicio!A1"/></Relationships>
</file>

<file path=xl/drawings/_rels/drawing7.xml.rels><?xml version="1.0" encoding="UTF-8" standalone="yes"?>
<Relationships xmlns="http://schemas.openxmlformats.org/package/2006/relationships"><Relationship Id="rId1" Type="http://schemas.openxmlformats.org/officeDocument/2006/relationships/hyperlink" Target="#Inicio!A1"/></Relationships>
</file>

<file path=xl/drawings/_rels/drawing8.xml.rels><?xml version="1.0" encoding="UTF-8" standalone="yes"?>
<Relationships xmlns="http://schemas.openxmlformats.org/package/2006/relationships"><Relationship Id="rId1" Type="http://schemas.openxmlformats.org/officeDocument/2006/relationships/hyperlink" Target="#Inicio!A1"/></Relationships>
</file>

<file path=xl/drawings/_rels/drawing9.xml.rels><?xml version="1.0" encoding="UTF-8" standalone="yes"?>
<Relationships xmlns="http://schemas.openxmlformats.org/package/2006/relationships"><Relationship Id="rId2" Type="http://schemas.openxmlformats.org/officeDocument/2006/relationships/hyperlink" Target="#Inicio!A1"/><Relationship Id="rId1" Type="http://schemas.openxmlformats.org/officeDocument/2006/relationships/image" Target="../media/image6.jpeg"/></Relationships>
</file>

<file path=xl/drawings/_rels/drawing10.xml.rels><?xml version="1.0" encoding="UTF-8" standalone="yes"?>
<Relationships xmlns="http://schemas.openxmlformats.org/package/2006/relationships"><Relationship Id="rId1" Type="http://schemas.openxmlformats.org/officeDocument/2006/relationships/hyperlink" Target="#Inicio!A1"/></Relationships>
</file>

<file path=xl/drawings/_rels/drawing11.xml.rels><?xml version="1.0" encoding="UTF-8" standalone="yes"?>
<Relationships xmlns="http://schemas.openxmlformats.org/package/2006/relationships"><Relationship Id="rId1" Type="http://schemas.openxmlformats.org/officeDocument/2006/relationships/hyperlink" Target="#Inicio!A1"/></Relationships>
</file>

<file path=xl/drawings/_rels/drawing12.xml.rels><?xml version="1.0" encoding="UTF-8" standalone="yes"?>
<Relationships xmlns="http://schemas.openxmlformats.org/package/2006/relationships"><Relationship Id="rId2" Type="http://schemas.openxmlformats.org/officeDocument/2006/relationships/hyperlink" Target="#Inicio!A1"/><Relationship Id="rId1" Type="http://schemas.openxmlformats.org/officeDocument/2006/relationships/image" Target="../media/image6.jpeg"/></Relationships>
</file>

<file path=xl/drawings/_rels/drawing13.xml.rels><?xml version="1.0" encoding="UTF-8" standalone="yes"?>
<Relationships xmlns="http://schemas.openxmlformats.org/package/2006/relationships"><Relationship Id="rId1" Type="http://schemas.openxmlformats.org/officeDocument/2006/relationships/hyperlink" Target="#Inicio!A1"/></Relationships>
</file>

<file path=xl/drawings/_rels/drawing14.xml.rels><?xml version="1.0" encoding="UTF-8" standalone="yes"?>
<Relationships xmlns="http://schemas.openxmlformats.org/package/2006/relationships"><Relationship Id="rId1" Type="http://schemas.openxmlformats.org/officeDocument/2006/relationships/hyperlink" Target="#Inicio!A1"/></Relationships>
</file>

<file path=xl/drawings/_rels/drawing15.xml.rels><?xml version="1.0" encoding="UTF-8" standalone="yes"?>
<Relationships xmlns="http://schemas.openxmlformats.org/package/2006/relationships"><Relationship Id="rId2" Type="http://schemas.openxmlformats.org/officeDocument/2006/relationships/hyperlink" Target="#Inicio!A1"/><Relationship Id="rId1" Type="http://schemas.openxmlformats.org/officeDocument/2006/relationships/image" Target="../media/image6.jpeg"/></Relationships>
</file>

<file path=xl/drawings/_rels/drawing16.xml.rels><?xml version="1.0" encoding="UTF-8" standalone="yes"?>
<Relationships xmlns="http://schemas.openxmlformats.org/package/2006/relationships"><Relationship Id="rId1" Type="http://schemas.openxmlformats.org/officeDocument/2006/relationships/hyperlink" Target="#Inicio!A1"/></Relationships>
</file>

<file path=xl/drawings/_rels/drawing17.xml.rels><?xml version="1.0" encoding="UTF-8" standalone="yes"?>
<Relationships xmlns="http://schemas.openxmlformats.org/package/2006/relationships"><Relationship Id="rId1" Type="http://schemas.openxmlformats.org/officeDocument/2006/relationships/hyperlink" Target="#Inicio!A1"/></Relationships>
</file>

<file path=xl/drawings/drawing1.xml><?xml version="1.0" encoding="utf-8"?>
<xdr:wsDr xmlns:xdr="http://schemas.openxmlformats.org/drawingml/2006/spreadsheetDrawing" xmlns:a="http://schemas.openxmlformats.org/drawingml/2006/main">
  <xdr:twoCellAnchor>
    <xdr:from>
      <xdr:col>1</xdr:col>
      <xdr:colOff>0</xdr:colOff>
      <xdr:row>3</xdr:row>
      <xdr:rowOff>0</xdr:rowOff>
    </xdr:from>
    <xdr:to>
      <xdr:col>3</xdr:col>
      <xdr:colOff>0</xdr:colOff>
      <xdr:row>5</xdr:row>
      <xdr:rowOff>0</xdr:rowOff>
    </xdr:to>
    <xdr:sp macro="[0]!Motrar_reporte" textlink="">
      <xdr:nvSpPr>
        <xdr:cNvPr id="2" name="Rectángulo: esquinas redondeadas 1">
          <a:hlinkClick xmlns:r="http://schemas.openxmlformats.org/officeDocument/2006/relationships" r:id="rId1"/>
          <a:extLst>
            <a:ext uri="{FF2B5EF4-FFF2-40B4-BE49-F238E27FC236}">
              <a16:creationId xmlns:a16="http://schemas.microsoft.com/office/drawing/2014/main" id="{174CD057-1068-F23D-76F6-91E1AEEFA318}"/>
            </a:ext>
          </a:extLst>
        </xdr:cNvPr>
        <xdr:cNvSpPr/>
      </xdr:nvSpPr>
      <xdr:spPr>
        <a:xfrm>
          <a:off x="838200" y="609600"/>
          <a:ext cx="1676400" cy="400050"/>
        </a:xfrm>
        <a:prstGeom prst="roundRect">
          <a:avLst/>
        </a:prstGeom>
        <a:solidFill>
          <a:srgbClr val="DFBE7B"/>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0" cap="none" spc="0">
              <a:ln w="0"/>
              <a:solidFill>
                <a:sysClr val="windowText" lastClr="000000"/>
              </a:solidFill>
              <a:effectLst>
                <a:glow rad="139700">
                  <a:schemeClr val="bg1">
                    <a:lumMod val="65000"/>
                    <a:alpha val="40000"/>
                  </a:schemeClr>
                </a:glow>
                <a:reflection blurRad="6350" stA="53000" endA="300" endPos="35500" dir="5400000" sy="-90000" algn="bl" rotWithShape="0"/>
              </a:effectLst>
            </a:rPr>
            <a:t>Reporte</a:t>
          </a:r>
        </a:p>
      </xdr:txBody>
    </xdr:sp>
    <xdr:clientData/>
  </xdr:twoCellAnchor>
  <xdr:twoCellAnchor>
    <xdr:from>
      <xdr:col>1</xdr:col>
      <xdr:colOff>0</xdr:colOff>
      <xdr:row>6</xdr:row>
      <xdr:rowOff>0</xdr:rowOff>
    </xdr:from>
    <xdr:to>
      <xdr:col>3</xdr:col>
      <xdr:colOff>0</xdr:colOff>
      <xdr:row>8</xdr:row>
      <xdr:rowOff>0</xdr:rowOff>
    </xdr:to>
    <xdr:sp macro="[0]!Motrar_aleleuya" textlink="">
      <xdr:nvSpPr>
        <xdr:cNvPr id="3" name="Rectángulo: esquinas redondeadas 2">
          <a:hlinkClick xmlns:r="http://schemas.openxmlformats.org/officeDocument/2006/relationships" r:id="rId2"/>
          <a:extLst>
            <a:ext uri="{FF2B5EF4-FFF2-40B4-BE49-F238E27FC236}">
              <a16:creationId xmlns:a16="http://schemas.microsoft.com/office/drawing/2014/main" id="{894EB8E9-104C-4D8B-B9FC-3955D4331DBF}"/>
            </a:ext>
          </a:extLst>
        </xdr:cNvPr>
        <xdr:cNvSpPr/>
      </xdr:nvSpPr>
      <xdr:spPr>
        <a:xfrm>
          <a:off x="838200" y="1209675"/>
          <a:ext cx="1676400" cy="400050"/>
        </a:xfrm>
        <a:prstGeom prst="roundRect">
          <a:avLst/>
        </a:prstGeom>
        <a:solidFill>
          <a:srgbClr val="DFBE7B"/>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0" cap="none" spc="0">
              <a:ln w="0"/>
              <a:solidFill>
                <a:sysClr val="windowText" lastClr="000000"/>
              </a:solidFill>
              <a:effectLst>
                <a:glow rad="139700">
                  <a:schemeClr val="bg1">
                    <a:lumMod val="65000"/>
                    <a:alpha val="40000"/>
                  </a:schemeClr>
                </a:glow>
                <a:reflection blurRad="6350" stA="53000" endA="300" endPos="35500" dir="5400000" sy="-90000" algn="bl" rotWithShape="0"/>
              </a:effectLst>
            </a:rPr>
            <a:t>Aleluya</a:t>
          </a:r>
        </a:p>
      </xdr:txBody>
    </xdr:sp>
    <xdr:clientData/>
  </xdr:twoCellAnchor>
  <xdr:twoCellAnchor>
    <xdr:from>
      <xdr:col>1</xdr:col>
      <xdr:colOff>0</xdr:colOff>
      <xdr:row>9</xdr:row>
      <xdr:rowOff>38100</xdr:rowOff>
    </xdr:from>
    <xdr:to>
      <xdr:col>3</xdr:col>
      <xdr:colOff>0</xdr:colOff>
      <xdr:row>11</xdr:row>
      <xdr:rowOff>38100</xdr:rowOff>
    </xdr:to>
    <xdr:sp macro="[0]!Motrar_confirmaciondatos" textlink="">
      <xdr:nvSpPr>
        <xdr:cNvPr id="5" name="Rectángulo: esquinas redondeadas 4">
          <a:hlinkClick xmlns:r="http://schemas.openxmlformats.org/officeDocument/2006/relationships" r:id="rId3"/>
          <a:extLst>
            <a:ext uri="{FF2B5EF4-FFF2-40B4-BE49-F238E27FC236}">
              <a16:creationId xmlns:a16="http://schemas.microsoft.com/office/drawing/2014/main" id="{907564DF-AC80-4883-83DB-AA01ECF0CD4B}"/>
            </a:ext>
          </a:extLst>
        </xdr:cNvPr>
        <xdr:cNvSpPr/>
      </xdr:nvSpPr>
      <xdr:spPr>
        <a:xfrm>
          <a:off x="838200" y="1847850"/>
          <a:ext cx="1676400" cy="400050"/>
        </a:xfrm>
        <a:prstGeom prst="roundRect">
          <a:avLst/>
        </a:prstGeom>
        <a:solidFill>
          <a:srgbClr val="DFBE7B"/>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0" cap="none" spc="0" baseline="0">
              <a:ln w="0"/>
              <a:solidFill>
                <a:sysClr val="windowText" lastClr="000000"/>
              </a:solidFill>
              <a:effectLst>
                <a:glow rad="139700">
                  <a:schemeClr val="bg1">
                    <a:lumMod val="65000"/>
                    <a:alpha val="40000"/>
                  </a:schemeClr>
                </a:glow>
                <a:reflection blurRad="6350" stA="53000" endA="300" endPos="35500" dir="5400000" sy="-90000" algn="bl" rotWithShape="0"/>
              </a:effectLst>
            </a:rPr>
            <a:t>Confirmacion Datos</a:t>
          </a:r>
        </a:p>
      </xdr:txBody>
    </xdr:sp>
    <xdr:clientData/>
  </xdr:twoCellAnchor>
  <xdr:twoCellAnchor>
    <xdr:from>
      <xdr:col>1</xdr:col>
      <xdr:colOff>0</xdr:colOff>
      <xdr:row>12</xdr:row>
      <xdr:rowOff>0</xdr:rowOff>
    </xdr:from>
    <xdr:to>
      <xdr:col>3</xdr:col>
      <xdr:colOff>0</xdr:colOff>
      <xdr:row>14</xdr:row>
      <xdr:rowOff>0</xdr:rowOff>
    </xdr:to>
    <xdr:sp macro="[0]!Motrar_correctivosydisc" textlink="">
      <xdr:nvSpPr>
        <xdr:cNvPr id="6" name="Rectángulo: esquinas redondeadas 5">
          <a:hlinkClick xmlns:r="http://schemas.openxmlformats.org/officeDocument/2006/relationships" r:id="rId4"/>
          <a:extLst>
            <a:ext uri="{FF2B5EF4-FFF2-40B4-BE49-F238E27FC236}">
              <a16:creationId xmlns:a16="http://schemas.microsoft.com/office/drawing/2014/main" id="{62D48635-7372-40BC-99D0-AD76649F903C}"/>
            </a:ext>
          </a:extLst>
        </xdr:cNvPr>
        <xdr:cNvSpPr/>
      </xdr:nvSpPr>
      <xdr:spPr>
        <a:xfrm>
          <a:off x="838200" y="2409825"/>
          <a:ext cx="1676400" cy="400050"/>
        </a:xfrm>
        <a:prstGeom prst="roundRect">
          <a:avLst/>
        </a:prstGeom>
        <a:solidFill>
          <a:srgbClr val="DFBE7B"/>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0" cap="none" spc="0">
              <a:ln w="0"/>
              <a:solidFill>
                <a:sysClr val="windowText" lastClr="000000"/>
              </a:solidFill>
              <a:effectLst>
                <a:glow rad="139700">
                  <a:schemeClr val="bg1">
                    <a:lumMod val="65000"/>
                    <a:alpha val="40000"/>
                  </a:schemeClr>
                </a:glow>
                <a:reflection blurRad="6350" stA="53000" endA="300" endPos="35500" dir="5400000" sy="-90000" algn="bl" rotWithShape="0"/>
              </a:effectLst>
            </a:rPr>
            <a:t>Correctivos y Discip</a:t>
          </a:r>
        </a:p>
      </xdr:txBody>
    </xdr:sp>
    <xdr:clientData/>
  </xdr:twoCellAnchor>
  <xdr:twoCellAnchor>
    <xdr:from>
      <xdr:col>4</xdr:col>
      <xdr:colOff>0</xdr:colOff>
      <xdr:row>3</xdr:row>
      <xdr:rowOff>0</xdr:rowOff>
    </xdr:from>
    <xdr:to>
      <xdr:col>6</xdr:col>
      <xdr:colOff>0</xdr:colOff>
      <xdr:row>5</xdr:row>
      <xdr:rowOff>0</xdr:rowOff>
    </xdr:to>
    <xdr:sp macro="[0]!Motrar_recordefunciones" textlink="">
      <xdr:nvSpPr>
        <xdr:cNvPr id="8" name="Rectángulo: esquinas redondeadas 7">
          <a:hlinkClick xmlns:r="http://schemas.openxmlformats.org/officeDocument/2006/relationships" r:id="rId5"/>
          <a:extLst>
            <a:ext uri="{FF2B5EF4-FFF2-40B4-BE49-F238E27FC236}">
              <a16:creationId xmlns:a16="http://schemas.microsoft.com/office/drawing/2014/main" id="{C2761E1F-C1DF-4EFA-B1E8-69B8299CAD72}"/>
            </a:ext>
          </a:extLst>
        </xdr:cNvPr>
        <xdr:cNvSpPr/>
      </xdr:nvSpPr>
      <xdr:spPr>
        <a:xfrm>
          <a:off x="3352800" y="609600"/>
          <a:ext cx="1676400" cy="400050"/>
        </a:xfrm>
        <a:prstGeom prst="roundRect">
          <a:avLst/>
        </a:prstGeom>
        <a:solidFill>
          <a:srgbClr val="DFBE7B"/>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0" cap="none" spc="0">
              <a:ln w="0"/>
              <a:solidFill>
                <a:sysClr val="windowText" lastClr="000000"/>
              </a:solidFill>
              <a:effectLst>
                <a:glow rad="139700">
                  <a:schemeClr val="bg1">
                    <a:lumMod val="65000"/>
                    <a:alpha val="40000"/>
                  </a:schemeClr>
                </a:glow>
                <a:reflection blurRad="6350" stA="53000" endA="300" endPos="35500" dir="5400000" sy="-90000" algn="bl" rotWithShape="0"/>
              </a:effectLst>
            </a:rPr>
            <a:t>Recor.de</a:t>
          </a:r>
          <a:r>
            <a:rPr lang="es-419" sz="1100" b="0" cap="none" spc="0" baseline="0">
              <a:ln w="0"/>
              <a:solidFill>
                <a:sysClr val="windowText" lastClr="000000"/>
              </a:solidFill>
              <a:effectLst>
                <a:glow rad="139700">
                  <a:schemeClr val="bg1">
                    <a:lumMod val="65000"/>
                    <a:alpha val="40000"/>
                  </a:schemeClr>
                </a:glow>
                <a:reflection blurRad="6350" stA="53000" endA="300" endPos="35500" dir="5400000" sy="-90000" algn="bl" rotWithShape="0"/>
              </a:effectLst>
            </a:rPr>
            <a:t> Funciones</a:t>
          </a:r>
          <a:endParaRPr lang="es-419" sz="1100" b="0" cap="none" spc="0">
            <a:ln w="0"/>
            <a:solidFill>
              <a:sysClr val="windowText" lastClr="000000"/>
            </a:solidFill>
            <a:effectLst>
              <a:glow rad="139700">
                <a:schemeClr val="bg1">
                  <a:lumMod val="65000"/>
                  <a:alpha val="40000"/>
                </a:schemeClr>
              </a:glow>
              <a:reflection blurRad="6350" stA="53000" endA="300" endPos="35500" dir="5400000" sy="-90000" algn="bl" rotWithShape="0"/>
            </a:effectLst>
          </a:endParaRPr>
        </a:p>
      </xdr:txBody>
    </xdr:sp>
    <xdr:clientData/>
  </xdr:twoCellAnchor>
  <xdr:twoCellAnchor>
    <xdr:from>
      <xdr:col>4</xdr:col>
      <xdr:colOff>0</xdr:colOff>
      <xdr:row>6</xdr:row>
      <xdr:rowOff>0</xdr:rowOff>
    </xdr:from>
    <xdr:to>
      <xdr:col>6</xdr:col>
      <xdr:colOff>0</xdr:colOff>
      <xdr:row>8</xdr:row>
      <xdr:rowOff>0</xdr:rowOff>
    </xdr:to>
    <xdr:sp macro="[0]!Motrar_certificadolaboral" textlink="">
      <xdr:nvSpPr>
        <xdr:cNvPr id="9" name="Rectángulo: esquinas redondeadas 8">
          <a:hlinkClick xmlns:r="http://schemas.openxmlformats.org/officeDocument/2006/relationships" r:id="rId6"/>
          <a:extLst>
            <a:ext uri="{FF2B5EF4-FFF2-40B4-BE49-F238E27FC236}">
              <a16:creationId xmlns:a16="http://schemas.microsoft.com/office/drawing/2014/main" id="{7DDFE101-0EC3-4202-B6AB-BFC9476A3BF0}"/>
            </a:ext>
          </a:extLst>
        </xdr:cNvPr>
        <xdr:cNvSpPr/>
      </xdr:nvSpPr>
      <xdr:spPr>
        <a:xfrm>
          <a:off x="3352800" y="1209675"/>
          <a:ext cx="1676400" cy="400050"/>
        </a:xfrm>
        <a:prstGeom prst="roundRect">
          <a:avLst/>
        </a:prstGeom>
        <a:solidFill>
          <a:srgbClr val="DFBE7B"/>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0" cap="none" spc="0">
              <a:ln w="0"/>
              <a:solidFill>
                <a:sysClr val="windowText" lastClr="000000"/>
              </a:solidFill>
              <a:effectLst>
                <a:glow rad="139700">
                  <a:schemeClr val="bg1">
                    <a:lumMod val="65000"/>
                    <a:alpha val="40000"/>
                  </a:schemeClr>
                </a:glow>
                <a:reflection blurRad="6350" stA="53000" endA="300" endPos="35500" dir="5400000" sy="-90000" algn="bl" rotWithShape="0"/>
              </a:effectLst>
            </a:rPr>
            <a:t>Certificado</a:t>
          </a:r>
          <a:r>
            <a:rPr lang="es-419" sz="1100" b="0" cap="none" spc="0" baseline="0">
              <a:ln w="0"/>
              <a:solidFill>
                <a:sysClr val="windowText" lastClr="000000"/>
              </a:solidFill>
              <a:effectLst>
                <a:glow rad="139700">
                  <a:schemeClr val="bg1">
                    <a:lumMod val="65000"/>
                    <a:alpha val="40000"/>
                  </a:schemeClr>
                </a:glow>
                <a:reflection blurRad="6350" stA="53000" endA="300" endPos="35500" dir="5400000" sy="-90000" algn="bl" rotWithShape="0"/>
              </a:effectLst>
            </a:rPr>
            <a:t> Laboral</a:t>
          </a:r>
          <a:endParaRPr lang="es-419" sz="1100" b="0" cap="none" spc="0">
            <a:ln w="0"/>
            <a:solidFill>
              <a:sysClr val="windowText" lastClr="000000"/>
            </a:solidFill>
            <a:effectLst>
              <a:glow rad="139700">
                <a:schemeClr val="bg1">
                  <a:lumMod val="65000"/>
                  <a:alpha val="40000"/>
                </a:schemeClr>
              </a:glow>
              <a:reflection blurRad="6350" stA="53000" endA="300" endPos="35500" dir="5400000" sy="-90000" algn="bl" rotWithShape="0"/>
            </a:effectLst>
          </a:endParaRPr>
        </a:p>
      </xdr:txBody>
    </xdr:sp>
    <xdr:clientData/>
  </xdr:twoCellAnchor>
  <xdr:twoCellAnchor>
    <xdr:from>
      <xdr:col>4</xdr:col>
      <xdr:colOff>0</xdr:colOff>
      <xdr:row>9</xdr:row>
      <xdr:rowOff>0</xdr:rowOff>
    </xdr:from>
    <xdr:to>
      <xdr:col>6</xdr:col>
      <xdr:colOff>0</xdr:colOff>
      <xdr:row>11</xdr:row>
      <xdr:rowOff>0</xdr:rowOff>
    </xdr:to>
    <xdr:sp macro="[0]!Motrar_contratoindividual" textlink="">
      <xdr:nvSpPr>
        <xdr:cNvPr id="10" name="Rectángulo: esquinas redondeadas 9">
          <a:hlinkClick xmlns:r="http://schemas.openxmlformats.org/officeDocument/2006/relationships" r:id="rId7"/>
          <a:extLst>
            <a:ext uri="{FF2B5EF4-FFF2-40B4-BE49-F238E27FC236}">
              <a16:creationId xmlns:a16="http://schemas.microsoft.com/office/drawing/2014/main" id="{66561858-365D-4422-920D-86695C517CD6}"/>
            </a:ext>
          </a:extLst>
        </xdr:cNvPr>
        <xdr:cNvSpPr/>
      </xdr:nvSpPr>
      <xdr:spPr>
        <a:xfrm>
          <a:off x="3352800" y="1809750"/>
          <a:ext cx="1676400" cy="400050"/>
        </a:xfrm>
        <a:prstGeom prst="roundRect">
          <a:avLst/>
        </a:prstGeom>
        <a:solidFill>
          <a:srgbClr val="DFBE7B"/>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0" cap="none" spc="0">
              <a:ln w="0"/>
              <a:solidFill>
                <a:sysClr val="windowText" lastClr="000000"/>
              </a:solidFill>
              <a:effectLst>
                <a:glow rad="139700">
                  <a:schemeClr val="bg1">
                    <a:lumMod val="65000"/>
                    <a:alpha val="40000"/>
                  </a:schemeClr>
                </a:glow>
                <a:reflection blurRad="6350" stA="53000" endA="300" endPos="35500" dir="5400000" sy="-90000" algn="bl" rotWithShape="0"/>
              </a:effectLst>
            </a:rPr>
            <a:t>Contrato</a:t>
          </a:r>
          <a:r>
            <a:rPr lang="es-419" sz="1100" b="0" cap="none" spc="0" baseline="0">
              <a:ln w="0"/>
              <a:solidFill>
                <a:sysClr val="windowText" lastClr="000000"/>
              </a:solidFill>
              <a:effectLst>
                <a:glow rad="139700">
                  <a:schemeClr val="bg1">
                    <a:lumMod val="65000"/>
                    <a:alpha val="40000"/>
                  </a:schemeClr>
                </a:glow>
                <a:reflection blurRad="6350" stA="53000" endA="300" endPos="35500" dir="5400000" sy="-90000" algn="bl" rotWithShape="0"/>
              </a:effectLst>
            </a:rPr>
            <a:t> Individual</a:t>
          </a:r>
          <a:endParaRPr lang="es-419" sz="1100" b="0" cap="none" spc="0">
            <a:ln w="0"/>
            <a:solidFill>
              <a:sysClr val="windowText" lastClr="000000"/>
            </a:solidFill>
            <a:effectLst>
              <a:glow rad="139700">
                <a:schemeClr val="bg1">
                  <a:lumMod val="65000"/>
                  <a:alpha val="40000"/>
                </a:schemeClr>
              </a:glow>
              <a:reflection blurRad="6350" stA="53000" endA="300" endPos="35500" dir="5400000" sy="-90000" algn="bl" rotWithShape="0"/>
            </a:effectLst>
          </a:endParaRPr>
        </a:p>
      </xdr:txBody>
    </xdr:sp>
    <xdr:clientData/>
  </xdr:twoCellAnchor>
  <xdr:twoCellAnchor>
    <xdr:from>
      <xdr:col>4</xdr:col>
      <xdr:colOff>0</xdr:colOff>
      <xdr:row>12</xdr:row>
      <xdr:rowOff>0</xdr:rowOff>
    </xdr:from>
    <xdr:to>
      <xdr:col>6</xdr:col>
      <xdr:colOff>0</xdr:colOff>
      <xdr:row>14</xdr:row>
      <xdr:rowOff>0</xdr:rowOff>
    </xdr:to>
    <xdr:sp macro="[0]!Motrar_contratogeneral" textlink="">
      <xdr:nvSpPr>
        <xdr:cNvPr id="11" name="Rectángulo: esquinas redondeadas 10">
          <a:hlinkClick xmlns:r="http://schemas.openxmlformats.org/officeDocument/2006/relationships" r:id="rId8"/>
          <a:extLst>
            <a:ext uri="{FF2B5EF4-FFF2-40B4-BE49-F238E27FC236}">
              <a16:creationId xmlns:a16="http://schemas.microsoft.com/office/drawing/2014/main" id="{A06DAFD2-41CC-44D6-AB92-87F6430CF1B6}"/>
            </a:ext>
          </a:extLst>
        </xdr:cNvPr>
        <xdr:cNvSpPr/>
      </xdr:nvSpPr>
      <xdr:spPr>
        <a:xfrm>
          <a:off x="3352800" y="2409825"/>
          <a:ext cx="1676400" cy="400050"/>
        </a:xfrm>
        <a:prstGeom prst="roundRect">
          <a:avLst/>
        </a:prstGeom>
        <a:solidFill>
          <a:srgbClr val="DFBE7B"/>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0" cap="none" spc="0">
              <a:ln w="0"/>
              <a:solidFill>
                <a:sysClr val="windowText" lastClr="000000"/>
              </a:solidFill>
              <a:effectLst>
                <a:glow rad="139700">
                  <a:schemeClr val="bg1">
                    <a:lumMod val="65000"/>
                    <a:alpha val="40000"/>
                  </a:schemeClr>
                </a:glow>
                <a:reflection blurRad="6350" stA="53000" endA="300" endPos="35500" dir="5400000" sy="-90000" algn="bl" rotWithShape="0"/>
              </a:effectLst>
            </a:rPr>
            <a:t>Contrato</a:t>
          </a:r>
          <a:r>
            <a:rPr lang="es-419" sz="1100" b="0" cap="none" spc="0" baseline="0">
              <a:ln w="0"/>
              <a:solidFill>
                <a:sysClr val="windowText" lastClr="000000"/>
              </a:solidFill>
              <a:effectLst>
                <a:glow rad="139700">
                  <a:schemeClr val="bg1">
                    <a:lumMod val="65000"/>
                    <a:alpha val="40000"/>
                  </a:schemeClr>
                </a:glow>
                <a:reflection blurRad="6350" stA="53000" endA="300" endPos="35500" dir="5400000" sy="-90000" algn="bl" rotWithShape="0"/>
              </a:effectLst>
            </a:rPr>
            <a:t> General</a:t>
          </a:r>
          <a:endParaRPr lang="es-419" sz="1100" b="0" cap="none" spc="0">
            <a:ln w="0"/>
            <a:solidFill>
              <a:sysClr val="windowText" lastClr="000000"/>
            </a:solidFill>
            <a:effectLst>
              <a:glow rad="139700">
                <a:schemeClr val="bg1">
                  <a:lumMod val="65000"/>
                  <a:alpha val="40000"/>
                </a:schemeClr>
              </a:glow>
              <a:reflection blurRad="6350" stA="53000" endA="300" endPos="35500" dir="5400000" sy="-90000" algn="bl" rotWithShape="0"/>
            </a:effectLst>
          </a:endParaRPr>
        </a:p>
      </xdr:txBody>
    </xdr:sp>
    <xdr:clientData/>
  </xdr:twoCellAnchor>
  <xdr:twoCellAnchor>
    <xdr:from>
      <xdr:col>1</xdr:col>
      <xdr:colOff>0</xdr:colOff>
      <xdr:row>15</xdr:row>
      <xdr:rowOff>0</xdr:rowOff>
    </xdr:from>
    <xdr:to>
      <xdr:col>3</xdr:col>
      <xdr:colOff>0</xdr:colOff>
      <xdr:row>17</xdr:row>
      <xdr:rowOff>0</xdr:rowOff>
    </xdr:to>
    <xdr:sp macro="[0]!Motrar_llamadosdeatencion" textlink="">
      <xdr:nvSpPr>
        <xdr:cNvPr id="13" name="Rectángulo: esquinas redondeadas 12">
          <a:hlinkClick xmlns:r="http://schemas.openxmlformats.org/officeDocument/2006/relationships" r:id="rId9"/>
          <a:extLst>
            <a:ext uri="{FF2B5EF4-FFF2-40B4-BE49-F238E27FC236}">
              <a16:creationId xmlns:a16="http://schemas.microsoft.com/office/drawing/2014/main" id="{1BD2C1D9-4981-44FC-A5D0-8C88680D4F3F}"/>
            </a:ext>
          </a:extLst>
        </xdr:cNvPr>
        <xdr:cNvSpPr/>
      </xdr:nvSpPr>
      <xdr:spPr>
        <a:xfrm>
          <a:off x="838200" y="3009900"/>
          <a:ext cx="1676400" cy="400050"/>
        </a:xfrm>
        <a:prstGeom prst="roundRect">
          <a:avLst/>
        </a:prstGeom>
        <a:solidFill>
          <a:srgbClr val="DFBE7B"/>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0" cap="none" spc="0">
              <a:ln w="0"/>
              <a:solidFill>
                <a:sysClr val="windowText" lastClr="000000"/>
              </a:solidFill>
              <a:effectLst>
                <a:glow rad="139700">
                  <a:schemeClr val="bg1">
                    <a:lumMod val="65000"/>
                    <a:alpha val="40000"/>
                  </a:schemeClr>
                </a:glow>
                <a:reflection blurRad="6350" stA="53000" endA="300" endPos="35500" dir="5400000" sy="-90000" algn="bl" rotWithShape="0"/>
              </a:effectLst>
            </a:rPr>
            <a:t>Llmado</a:t>
          </a:r>
          <a:r>
            <a:rPr lang="es-419" sz="1100" b="0" cap="none" spc="0" baseline="0">
              <a:ln w="0"/>
              <a:solidFill>
                <a:sysClr val="windowText" lastClr="000000"/>
              </a:solidFill>
              <a:effectLst>
                <a:glow rad="139700">
                  <a:schemeClr val="bg1">
                    <a:lumMod val="65000"/>
                    <a:alpha val="40000"/>
                  </a:schemeClr>
                </a:glow>
                <a:reflection blurRad="6350" stA="53000" endA="300" endPos="35500" dir="5400000" sy="-90000" algn="bl" rotWithShape="0"/>
              </a:effectLst>
            </a:rPr>
            <a:t> de Atención</a:t>
          </a:r>
          <a:endParaRPr lang="es-419" sz="1100" b="0" cap="none" spc="0">
            <a:ln w="0"/>
            <a:solidFill>
              <a:sysClr val="windowText" lastClr="000000"/>
            </a:solidFill>
            <a:effectLst>
              <a:glow rad="139700">
                <a:schemeClr val="bg1">
                  <a:lumMod val="65000"/>
                  <a:alpha val="40000"/>
                </a:schemeClr>
              </a:glow>
              <a:reflection blurRad="6350" stA="53000" endA="300" endPos="35500" dir="5400000" sy="-90000" algn="bl" rotWithShape="0"/>
            </a:effectLst>
          </a:endParaRPr>
        </a:p>
      </xdr:txBody>
    </xdr:sp>
    <xdr:clientData/>
  </xdr:twoCellAnchor>
  <xdr:twoCellAnchor>
    <xdr:from>
      <xdr:col>4</xdr:col>
      <xdr:colOff>0</xdr:colOff>
      <xdr:row>15</xdr:row>
      <xdr:rowOff>0</xdr:rowOff>
    </xdr:from>
    <xdr:to>
      <xdr:col>6</xdr:col>
      <xdr:colOff>0</xdr:colOff>
      <xdr:row>17</xdr:row>
      <xdr:rowOff>0</xdr:rowOff>
    </xdr:to>
    <xdr:sp macro="[0]!Motrar_documentoderetiro" textlink="">
      <xdr:nvSpPr>
        <xdr:cNvPr id="15" name="Rectángulo: esquinas redondeadas 14">
          <a:hlinkClick xmlns:r="http://schemas.openxmlformats.org/officeDocument/2006/relationships" r:id="rId10"/>
          <a:extLst>
            <a:ext uri="{FF2B5EF4-FFF2-40B4-BE49-F238E27FC236}">
              <a16:creationId xmlns:a16="http://schemas.microsoft.com/office/drawing/2014/main" id="{D3D82FF2-3844-49DC-B09B-0DEBB8ACCD68}"/>
            </a:ext>
          </a:extLst>
        </xdr:cNvPr>
        <xdr:cNvSpPr/>
      </xdr:nvSpPr>
      <xdr:spPr>
        <a:xfrm>
          <a:off x="3352800" y="3009900"/>
          <a:ext cx="1676400" cy="400050"/>
        </a:xfrm>
        <a:prstGeom prst="roundRect">
          <a:avLst/>
        </a:prstGeom>
        <a:solidFill>
          <a:srgbClr val="DFBE7B"/>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0" cap="none" spc="0">
              <a:ln w="0"/>
              <a:solidFill>
                <a:sysClr val="windowText" lastClr="000000"/>
              </a:solidFill>
              <a:effectLst>
                <a:glow rad="139700">
                  <a:schemeClr val="bg1">
                    <a:lumMod val="65000"/>
                    <a:alpha val="40000"/>
                  </a:schemeClr>
                </a:glow>
                <a:reflection blurRad="6350" stA="53000" endA="300" endPos="35500" dir="5400000" sy="-90000" algn="bl" rotWithShape="0"/>
              </a:effectLst>
            </a:rPr>
            <a:t>Documento</a:t>
          </a:r>
          <a:r>
            <a:rPr lang="es-419" sz="1100" b="0" cap="none" spc="0" baseline="0">
              <a:ln w="0"/>
              <a:solidFill>
                <a:sysClr val="windowText" lastClr="000000"/>
              </a:solidFill>
              <a:effectLst>
                <a:glow rad="139700">
                  <a:schemeClr val="bg1">
                    <a:lumMod val="65000"/>
                    <a:alpha val="40000"/>
                  </a:schemeClr>
                </a:glow>
                <a:reflection blurRad="6350" stA="53000" endA="300" endPos="35500" dir="5400000" sy="-90000" algn="bl" rotWithShape="0"/>
              </a:effectLst>
            </a:rPr>
            <a:t> de Retiro</a:t>
          </a:r>
          <a:endParaRPr lang="es-419" sz="1100" b="0" cap="none" spc="0">
            <a:ln w="0"/>
            <a:solidFill>
              <a:sysClr val="windowText" lastClr="000000"/>
            </a:solidFill>
            <a:effectLst>
              <a:glow rad="139700">
                <a:schemeClr val="bg1">
                  <a:lumMod val="65000"/>
                  <a:alpha val="40000"/>
                </a:schemeClr>
              </a:glow>
              <a:reflection blurRad="6350" stA="53000" endA="300" endPos="35500" dir="5400000" sy="-90000" algn="bl" rotWithShape="0"/>
            </a:effectLst>
          </a:endParaRPr>
        </a:p>
      </xdr:txBody>
    </xdr:sp>
    <xdr:clientData/>
  </xdr:twoCellAnchor>
  <xdr:twoCellAnchor>
    <xdr:from>
      <xdr:col>7</xdr:col>
      <xdr:colOff>0</xdr:colOff>
      <xdr:row>3</xdr:row>
      <xdr:rowOff>0</xdr:rowOff>
    </xdr:from>
    <xdr:to>
      <xdr:col>9</xdr:col>
      <xdr:colOff>0</xdr:colOff>
      <xdr:row>5</xdr:row>
      <xdr:rowOff>0</xdr:rowOff>
    </xdr:to>
    <xdr:sp macro="[0]!Motrar_Contratoaprendiz" textlink="">
      <xdr:nvSpPr>
        <xdr:cNvPr id="16" name="Rectángulo: esquinas redondeadas 15">
          <a:hlinkClick xmlns:r="http://schemas.openxmlformats.org/officeDocument/2006/relationships" r:id="rId11"/>
          <a:extLst>
            <a:ext uri="{FF2B5EF4-FFF2-40B4-BE49-F238E27FC236}">
              <a16:creationId xmlns:a16="http://schemas.microsoft.com/office/drawing/2014/main" id="{3F9131CB-0D10-43AE-A2D0-F6558B101305}"/>
            </a:ext>
          </a:extLst>
        </xdr:cNvPr>
        <xdr:cNvSpPr/>
      </xdr:nvSpPr>
      <xdr:spPr>
        <a:xfrm>
          <a:off x="5867400" y="609600"/>
          <a:ext cx="1676400" cy="400050"/>
        </a:xfrm>
        <a:prstGeom prst="roundRect">
          <a:avLst/>
        </a:prstGeom>
        <a:solidFill>
          <a:srgbClr val="DFBE7B"/>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0" cap="none" spc="0">
              <a:ln w="0"/>
              <a:solidFill>
                <a:sysClr val="windowText" lastClr="000000"/>
              </a:solidFill>
              <a:effectLst>
                <a:glow rad="139700">
                  <a:schemeClr val="bg1">
                    <a:lumMod val="65000"/>
                    <a:alpha val="40000"/>
                  </a:schemeClr>
                </a:glow>
                <a:reflection blurRad="6350" stA="53000" endA="300" endPos="35500" dir="5400000" sy="-90000" algn="bl" rotWithShape="0"/>
              </a:effectLst>
            </a:rPr>
            <a:t>Contrato Aprendiz</a:t>
          </a:r>
        </a:p>
      </xdr:txBody>
    </xdr:sp>
    <xdr:clientData/>
  </xdr:twoCellAnchor>
  <xdr:twoCellAnchor>
    <xdr:from>
      <xdr:col>7</xdr:col>
      <xdr:colOff>0</xdr:colOff>
      <xdr:row>6</xdr:row>
      <xdr:rowOff>0</xdr:rowOff>
    </xdr:from>
    <xdr:to>
      <xdr:col>9</xdr:col>
      <xdr:colOff>0</xdr:colOff>
      <xdr:row>8</xdr:row>
      <xdr:rowOff>0</xdr:rowOff>
    </xdr:to>
    <xdr:sp macro="[0]!Motrar_empleadores" textlink="">
      <xdr:nvSpPr>
        <xdr:cNvPr id="18" name="Rectángulo: esquinas redondeadas 17">
          <a:hlinkClick xmlns:r="http://schemas.openxmlformats.org/officeDocument/2006/relationships" r:id="rId12"/>
          <a:extLst>
            <a:ext uri="{FF2B5EF4-FFF2-40B4-BE49-F238E27FC236}">
              <a16:creationId xmlns:a16="http://schemas.microsoft.com/office/drawing/2014/main" id="{24FAEE6A-39DE-4770-A78E-F5138F81506E}"/>
            </a:ext>
          </a:extLst>
        </xdr:cNvPr>
        <xdr:cNvSpPr/>
      </xdr:nvSpPr>
      <xdr:spPr>
        <a:xfrm>
          <a:off x="5867400" y="1209675"/>
          <a:ext cx="1676400" cy="400050"/>
        </a:xfrm>
        <a:prstGeom prst="roundRect">
          <a:avLst/>
        </a:prstGeom>
        <a:solidFill>
          <a:srgbClr val="DFBE7B"/>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0" cap="none" spc="0">
              <a:ln w="0"/>
              <a:solidFill>
                <a:sysClr val="windowText" lastClr="000000"/>
              </a:solidFill>
              <a:effectLst>
                <a:glow rad="139700">
                  <a:schemeClr val="bg1">
                    <a:lumMod val="65000"/>
                    <a:alpha val="40000"/>
                  </a:schemeClr>
                </a:glow>
                <a:reflection blurRad="6350" stA="53000" endA="300" endPos="35500" dir="5400000" sy="-90000" algn="bl" rotWithShape="0"/>
              </a:effectLst>
            </a:rPr>
            <a:t>Empleadores</a:t>
          </a:r>
        </a:p>
      </xdr:txBody>
    </xdr:sp>
    <xdr:clientData/>
  </xdr:twoCellAnchor>
  <xdr:twoCellAnchor>
    <xdr:from>
      <xdr:col>7</xdr:col>
      <xdr:colOff>0</xdr:colOff>
      <xdr:row>9</xdr:row>
      <xdr:rowOff>0</xdr:rowOff>
    </xdr:from>
    <xdr:to>
      <xdr:col>9</xdr:col>
      <xdr:colOff>0</xdr:colOff>
      <xdr:row>11</xdr:row>
      <xdr:rowOff>0</xdr:rowOff>
    </xdr:to>
    <xdr:sp macro="[0]!Motrar_otrosipagos" textlink="">
      <xdr:nvSpPr>
        <xdr:cNvPr id="19" name="Rectángulo: esquinas redondeadas 18">
          <a:hlinkClick xmlns:r="http://schemas.openxmlformats.org/officeDocument/2006/relationships" r:id="rId13"/>
          <a:extLst>
            <a:ext uri="{FF2B5EF4-FFF2-40B4-BE49-F238E27FC236}">
              <a16:creationId xmlns:a16="http://schemas.microsoft.com/office/drawing/2014/main" id="{E928567C-9B83-4036-BBD3-46821C88E452}"/>
            </a:ext>
          </a:extLst>
        </xdr:cNvPr>
        <xdr:cNvSpPr/>
      </xdr:nvSpPr>
      <xdr:spPr>
        <a:xfrm>
          <a:off x="5867400" y="1809750"/>
          <a:ext cx="1676400" cy="400050"/>
        </a:xfrm>
        <a:prstGeom prst="roundRect">
          <a:avLst/>
        </a:prstGeom>
        <a:solidFill>
          <a:srgbClr val="DFBE7B"/>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0" cap="none" spc="0">
              <a:ln w="0"/>
              <a:solidFill>
                <a:sysClr val="windowText" lastClr="000000"/>
              </a:solidFill>
              <a:effectLst>
                <a:glow rad="139700">
                  <a:schemeClr val="bg1">
                    <a:lumMod val="65000"/>
                    <a:alpha val="40000"/>
                  </a:schemeClr>
                </a:glow>
                <a:reflection blurRad="6350" stA="53000" endA="300" endPos="35500" dir="5400000" sy="-90000" algn="bl" rotWithShape="0"/>
              </a:effectLst>
            </a:rPr>
            <a:t>Otrosi Pagos</a:t>
          </a:r>
          <a:r>
            <a:rPr lang="es-419" sz="1100" b="0" cap="none" spc="0" baseline="0">
              <a:ln w="0"/>
              <a:solidFill>
                <a:sysClr val="windowText" lastClr="000000"/>
              </a:solidFill>
              <a:effectLst>
                <a:glow rad="139700">
                  <a:schemeClr val="bg1">
                    <a:lumMod val="65000"/>
                    <a:alpha val="40000"/>
                  </a:schemeClr>
                </a:glow>
                <a:reflection blurRad="6350" stA="53000" endA="300" endPos="35500" dir="5400000" sy="-90000" algn="bl" rotWithShape="0"/>
              </a:effectLst>
            </a:rPr>
            <a:t> NO...</a:t>
          </a:r>
          <a:endParaRPr lang="es-419" sz="1100" b="0" cap="none" spc="0">
            <a:ln w="0"/>
            <a:solidFill>
              <a:sysClr val="windowText" lastClr="000000"/>
            </a:solidFill>
            <a:effectLst>
              <a:glow rad="139700">
                <a:schemeClr val="bg1">
                  <a:lumMod val="65000"/>
                  <a:alpha val="40000"/>
                </a:schemeClr>
              </a:glow>
              <a:reflection blurRad="6350" stA="53000" endA="300" endPos="35500" dir="5400000" sy="-90000" algn="bl" rotWithShape="0"/>
            </a:effectLst>
          </a:endParaRPr>
        </a:p>
      </xdr:txBody>
    </xdr:sp>
    <xdr:clientData/>
  </xdr:twoCellAnchor>
  <xdr:twoCellAnchor>
    <xdr:from>
      <xdr:col>7</xdr:col>
      <xdr:colOff>0</xdr:colOff>
      <xdr:row>12</xdr:row>
      <xdr:rowOff>0</xdr:rowOff>
    </xdr:from>
    <xdr:to>
      <xdr:col>9</xdr:col>
      <xdr:colOff>0</xdr:colOff>
      <xdr:row>14</xdr:row>
      <xdr:rowOff>0</xdr:rowOff>
    </xdr:to>
    <xdr:sp macro="[0]!Motrar_Otrosiindivuales" textlink="">
      <xdr:nvSpPr>
        <xdr:cNvPr id="20" name="Rectángulo: esquinas redondeadas 19">
          <a:hlinkClick xmlns:r="http://schemas.openxmlformats.org/officeDocument/2006/relationships" r:id="rId14"/>
          <a:extLst>
            <a:ext uri="{FF2B5EF4-FFF2-40B4-BE49-F238E27FC236}">
              <a16:creationId xmlns:a16="http://schemas.microsoft.com/office/drawing/2014/main" id="{EA858306-EFB2-40B5-ABA5-CD920AA91C05}"/>
            </a:ext>
          </a:extLst>
        </xdr:cNvPr>
        <xdr:cNvSpPr/>
      </xdr:nvSpPr>
      <xdr:spPr>
        <a:xfrm>
          <a:off x="5867400" y="2409825"/>
          <a:ext cx="1676400" cy="400050"/>
        </a:xfrm>
        <a:prstGeom prst="roundRect">
          <a:avLst/>
        </a:prstGeom>
        <a:solidFill>
          <a:srgbClr val="DFBE7B"/>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0" cap="none" spc="0">
              <a:ln w="0"/>
              <a:solidFill>
                <a:sysClr val="windowText" lastClr="000000"/>
              </a:solidFill>
              <a:effectLst>
                <a:glow rad="139700">
                  <a:schemeClr val="bg1">
                    <a:lumMod val="65000"/>
                    <a:alpha val="40000"/>
                  </a:schemeClr>
                </a:glow>
                <a:reflection blurRad="6350" stA="53000" endA="300" endPos="35500" dir="5400000" sy="-90000" algn="bl" rotWithShape="0"/>
              </a:effectLst>
            </a:rPr>
            <a:t>Otrosi Individuales</a:t>
          </a:r>
        </a:p>
      </xdr:txBody>
    </xdr:sp>
    <xdr:clientData/>
  </xdr:twoCellAnchor>
  <xdr:twoCellAnchor>
    <xdr:from>
      <xdr:col>7</xdr:col>
      <xdr:colOff>0</xdr:colOff>
      <xdr:row>15</xdr:row>
      <xdr:rowOff>0</xdr:rowOff>
    </xdr:from>
    <xdr:to>
      <xdr:col>9</xdr:col>
      <xdr:colOff>0</xdr:colOff>
      <xdr:row>17</xdr:row>
      <xdr:rowOff>0</xdr:rowOff>
    </xdr:to>
    <xdr:sp macro="[0]!Motrar_datosnomina" textlink="">
      <xdr:nvSpPr>
        <xdr:cNvPr id="21" name="Rectángulo: esquinas redondeadas 20">
          <a:hlinkClick xmlns:r="http://schemas.openxmlformats.org/officeDocument/2006/relationships" r:id="rId15"/>
          <a:extLst>
            <a:ext uri="{FF2B5EF4-FFF2-40B4-BE49-F238E27FC236}">
              <a16:creationId xmlns:a16="http://schemas.microsoft.com/office/drawing/2014/main" id="{71BD7203-D789-45B5-8635-DE32F10222F1}"/>
            </a:ext>
          </a:extLst>
        </xdr:cNvPr>
        <xdr:cNvSpPr/>
      </xdr:nvSpPr>
      <xdr:spPr>
        <a:xfrm>
          <a:off x="5867400" y="3009900"/>
          <a:ext cx="1676400" cy="400050"/>
        </a:xfrm>
        <a:prstGeom prst="roundRect">
          <a:avLst/>
        </a:prstGeom>
        <a:solidFill>
          <a:srgbClr val="DFBE7B"/>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0" cap="none" spc="0">
              <a:ln w="0"/>
              <a:solidFill>
                <a:sysClr val="windowText" lastClr="000000"/>
              </a:solidFill>
              <a:effectLst>
                <a:glow rad="139700">
                  <a:schemeClr val="bg1">
                    <a:lumMod val="65000"/>
                    <a:alpha val="40000"/>
                  </a:schemeClr>
                </a:glow>
                <a:reflection blurRad="6350" stA="53000" endA="300" endPos="35500" dir="5400000" sy="-90000" algn="bl" rotWithShape="0"/>
              </a:effectLst>
            </a:rPr>
            <a:t>Datos</a:t>
          </a:r>
          <a:r>
            <a:rPr lang="es-419" sz="1100" b="0" cap="none" spc="0" baseline="0">
              <a:ln w="0"/>
              <a:solidFill>
                <a:sysClr val="windowText" lastClr="000000"/>
              </a:solidFill>
              <a:effectLst>
                <a:glow rad="139700">
                  <a:schemeClr val="bg1">
                    <a:lumMod val="65000"/>
                    <a:alpha val="40000"/>
                  </a:schemeClr>
                </a:glow>
                <a:reflection blurRad="6350" stA="53000" endA="300" endPos="35500" dir="5400000" sy="-90000" algn="bl" rotWithShape="0"/>
              </a:effectLst>
            </a:rPr>
            <a:t> de Nomina</a:t>
          </a:r>
          <a:endParaRPr lang="es-419" sz="1100" b="0" cap="none" spc="0">
            <a:ln w="0"/>
            <a:solidFill>
              <a:sysClr val="windowText" lastClr="000000"/>
            </a:solidFill>
            <a:effectLst>
              <a:glow rad="139700">
                <a:schemeClr val="bg1">
                  <a:lumMod val="65000"/>
                  <a:alpha val="40000"/>
                </a:schemeClr>
              </a:glow>
              <a:reflection blurRad="6350" stA="53000" endA="300" endPos="35500" dir="5400000" sy="-90000" algn="bl" rotWithShape="0"/>
            </a:effectLst>
          </a:endParaRPr>
        </a:p>
      </xdr:txBody>
    </xdr:sp>
    <xdr:clientData/>
  </xdr:twoCellAnchor>
  <xdr:twoCellAnchor>
    <xdr:from>
      <xdr:col>10</xdr:col>
      <xdr:colOff>0</xdr:colOff>
      <xdr:row>3</xdr:row>
      <xdr:rowOff>0</xdr:rowOff>
    </xdr:from>
    <xdr:to>
      <xdr:col>12</xdr:col>
      <xdr:colOff>0</xdr:colOff>
      <xdr:row>5</xdr:row>
      <xdr:rowOff>0</xdr:rowOff>
    </xdr:to>
    <xdr:sp macro="[0]!Motrar_fechasimportantes" textlink="">
      <xdr:nvSpPr>
        <xdr:cNvPr id="22" name="Rectángulo: esquinas redondeadas 21">
          <a:hlinkClick xmlns:r="http://schemas.openxmlformats.org/officeDocument/2006/relationships" r:id="rId16"/>
          <a:extLst>
            <a:ext uri="{FF2B5EF4-FFF2-40B4-BE49-F238E27FC236}">
              <a16:creationId xmlns:a16="http://schemas.microsoft.com/office/drawing/2014/main" id="{E9EE5ED7-75E9-4699-B979-A89F3485B45A}"/>
            </a:ext>
          </a:extLst>
        </xdr:cNvPr>
        <xdr:cNvSpPr/>
      </xdr:nvSpPr>
      <xdr:spPr>
        <a:xfrm>
          <a:off x="8382000" y="609600"/>
          <a:ext cx="1676400" cy="400050"/>
        </a:xfrm>
        <a:prstGeom prst="roundRect">
          <a:avLst/>
        </a:prstGeom>
        <a:solidFill>
          <a:srgbClr val="DFBE7B"/>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0" cap="none" spc="0">
              <a:ln w="0"/>
              <a:solidFill>
                <a:sysClr val="windowText" lastClr="000000"/>
              </a:solidFill>
              <a:effectLst>
                <a:glow rad="139700">
                  <a:schemeClr val="bg1">
                    <a:lumMod val="65000"/>
                    <a:alpha val="40000"/>
                  </a:schemeClr>
                </a:glow>
                <a:reflection blurRad="6350" stA="53000" endA="300" endPos="35500" dir="5400000" sy="-90000" algn="bl" rotWithShape="0"/>
              </a:effectLst>
            </a:rPr>
            <a:t>Fechas</a:t>
          </a:r>
          <a:r>
            <a:rPr lang="es-419" sz="1100" b="0" cap="none" spc="0" baseline="0">
              <a:ln w="0"/>
              <a:solidFill>
                <a:sysClr val="windowText" lastClr="000000"/>
              </a:solidFill>
              <a:effectLst>
                <a:glow rad="139700">
                  <a:schemeClr val="bg1">
                    <a:lumMod val="65000"/>
                    <a:alpha val="40000"/>
                  </a:schemeClr>
                </a:glow>
                <a:reflection blurRad="6350" stA="53000" endA="300" endPos="35500" dir="5400000" sy="-90000" algn="bl" rotWithShape="0"/>
              </a:effectLst>
            </a:rPr>
            <a:t> Importantes</a:t>
          </a:r>
          <a:endParaRPr lang="es-419" sz="1100" b="0" cap="none" spc="0">
            <a:ln w="0"/>
            <a:solidFill>
              <a:sysClr val="windowText" lastClr="000000"/>
            </a:solidFill>
            <a:effectLst>
              <a:glow rad="139700">
                <a:schemeClr val="bg1">
                  <a:lumMod val="65000"/>
                  <a:alpha val="40000"/>
                </a:schemeClr>
              </a:glow>
              <a:reflection blurRad="6350" stA="53000" endA="300" endPos="35500" dir="5400000" sy="-90000" algn="bl" rotWithShape="0"/>
            </a:effectLst>
          </a:endParaRPr>
        </a:p>
      </xdr:txBody>
    </xdr:sp>
    <xdr:clientData/>
  </xdr:twoCellAnchor>
  <xdr:twoCellAnchor>
    <xdr:from>
      <xdr:col>10</xdr:col>
      <xdr:colOff>0</xdr:colOff>
      <xdr:row>6</xdr:row>
      <xdr:rowOff>0</xdr:rowOff>
    </xdr:from>
    <xdr:to>
      <xdr:col>12</xdr:col>
      <xdr:colOff>0</xdr:colOff>
      <xdr:row>8</xdr:row>
      <xdr:rowOff>0</xdr:rowOff>
    </xdr:to>
    <xdr:sp macro="[0]!Motrar_validador" textlink="">
      <xdr:nvSpPr>
        <xdr:cNvPr id="23" name="Rectángulo: esquinas redondeadas 22">
          <a:hlinkClick xmlns:r="http://schemas.openxmlformats.org/officeDocument/2006/relationships" r:id="rId17"/>
          <a:extLst>
            <a:ext uri="{FF2B5EF4-FFF2-40B4-BE49-F238E27FC236}">
              <a16:creationId xmlns:a16="http://schemas.microsoft.com/office/drawing/2014/main" id="{CABA1D38-7B78-486D-82CB-B22E9762B5BE}"/>
            </a:ext>
          </a:extLst>
        </xdr:cNvPr>
        <xdr:cNvSpPr/>
      </xdr:nvSpPr>
      <xdr:spPr>
        <a:xfrm>
          <a:off x="8382000" y="1209675"/>
          <a:ext cx="1676400" cy="400050"/>
        </a:xfrm>
        <a:prstGeom prst="roundRect">
          <a:avLst/>
        </a:prstGeom>
        <a:solidFill>
          <a:srgbClr val="DFBE7B"/>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0" cap="none" spc="0">
              <a:ln w="0"/>
              <a:solidFill>
                <a:sysClr val="windowText" lastClr="000000"/>
              </a:solidFill>
              <a:effectLst>
                <a:glow rad="139700">
                  <a:schemeClr val="bg1">
                    <a:lumMod val="65000"/>
                    <a:alpha val="40000"/>
                  </a:schemeClr>
                </a:glow>
                <a:reflection blurRad="6350" stA="53000" endA="300" endPos="35500" dir="5400000" sy="-90000" algn="bl" rotWithShape="0"/>
              </a:effectLst>
            </a:rPr>
            <a:t>Validador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477136</xdr:colOff>
      <xdr:row>24</xdr:row>
      <xdr:rowOff>17318</xdr:rowOff>
    </xdr:from>
    <xdr:to>
      <xdr:col>16</xdr:col>
      <xdr:colOff>0</xdr:colOff>
      <xdr:row>35</xdr:row>
      <xdr:rowOff>26846</xdr:rowOff>
    </xdr:to>
    <xdr:graphicFrame macro="">
      <xdr:nvGraphicFramePr>
        <xdr:cNvPr id="9" name="Gráfico 8">
          <a:extLst>
            <a:ext uri="{FF2B5EF4-FFF2-40B4-BE49-F238E27FC236}">
              <a16:creationId xmlns:a16="http://schemas.microsoft.com/office/drawing/2014/main" id="{32C1B6CD-01C6-2F30-DF75-2FA3AE4E24C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603844</xdr:colOff>
      <xdr:row>4</xdr:row>
      <xdr:rowOff>166688</xdr:rowOff>
    </xdr:from>
    <xdr:to>
      <xdr:col>18</xdr:col>
      <xdr:colOff>1317419</xdr:colOff>
      <xdr:row>5</xdr:row>
      <xdr:rowOff>516516</xdr:rowOff>
    </xdr:to>
    <xdr:pic>
      <xdr:nvPicPr>
        <xdr:cNvPr id="6" name="Imagen 5" descr="Logotipo&#10;&#10;Descripción generada automáticamente">
          <a:extLst>
            <a:ext uri="{FF2B5EF4-FFF2-40B4-BE49-F238E27FC236}">
              <a16:creationId xmlns:a16="http://schemas.microsoft.com/office/drawing/2014/main" id="{3872DBA4-F70A-77ED-7CC2-78AB3B87974C}"/>
            </a:ext>
          </a:extLst>
        </xdr:cNvPr>
        <xdr:cNvPicPr>
          <a:picLocks noChangeAspect="1"/>
        </xdr:cNvPicPr>
      </xdr:nvPicPr>
      <xdr:blipFill>
        <a:blip xmlns:r="http://schemas.openxmlformats.org/officeDocument/2006/relationships" r:embed="rId2">
          <a:alphaModFix/>
        </a:blip>
        <a:stretch>
          <a:fillRect/>
        </a:stretch>
      </xdr:blipFill>
      <xdr:spPr>
        <a:xfrm>
          <a:off x="15748594" y="476251"/>
          <a:ext cx="2189950" cy="1088015"/>
        </a:xfrm>
        <a:prstGeom prst="rect">
          <a:avLst/>
        </a:prstGeom>
      </xdr:spPr>
    </xdr:pic>
    <xdr:clientData/>
  </xdr:twoCellAnchor>
  <xdr:twoCellAnchor>
    <xdr:from>
      <xdr:col>2</xdr:col>
      <xdr:colOff>71437</xdr:colOff>
      <xdr:row>20</xdr:row>
      <xdr:rowOff>88900</xdr:rowOff>
    </xdr:from>
    <xdr:to>
      <xdr:col>6</xdr:col>
      <xdr:colOff>968375</xdr:colOff>
      <xdr:row>33</xdr:row>
      <xdr:rowOff>0</xdr:rowOff>
    </xdr:to>
    <xdr:graphicFrame macro="">
      <xdr:nvGraphicFramePr>
        <xdr:cNvPr id="11" name="Gráfico 10">
          <a:extLst>
            <a:ext uri="{FF2B5EF4-FFF2-40B4-BE49-F238E27FC236}">
              <a16:creationId xmlns:a16="http://schemas.microsoft.com/office/drawing/2014/main" id="{BA1C8DD9-DFFF-EDE4-A4E9-3773759A10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34637</xdr:colOff>
      <xdr:row>7</xdr:row>
      <xdr:rowOff>606135</xdr:rowOff>
    </xdr:from>
    <xdr:to>
      <xdr:col>9</xdr:col>
      <xdr:colOff>0</xdr:colOff>
      <xdr:row>18</xdr:row>
      <xdr:rowOff>-1</xdr:rowOff>
    </xdr:to>
    <xdr:graphicFrame macro="">
      <xdr:nvGraphicFramePr>
        <xdr:cNvPr id="22" name="Gráfico 21">
          <a:extLst>
            <a:ext uri="{FF2B5EF4-FFF2-40B4-BE49-F238E27FC236}">
              <a16:creationId xmlns:a16="http://schemas.microsoft.com/office/drawing/2014/main" id="{8054DD1C-5213-1AD7-E065-5822B7B759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0</xdr:colOff>
      <xdr:row>24</xdr:row>
      <xdr:rowOff>17318</xdr:rowOff>
    </xdr:from>
    <xdr:to>
      <xdr:col>12</xdr:col>
      <xdr:colOff>453324</xdr:colOff>
      <xdr:row>34</xdr:row>
      <xdr:rowOff>0</xdr:rowOff>
    </xdr:to>
    <xdr:graphicFrame macro="">
      <xdr:nvGraphicFramePr>
        <xdr:cNvPr id="27" name="Gráfico 26">
          <a:extLst>
            <a:ext uri="{FF2B5EF4-FFF2-40B4-BE49-F238E27FC236}">
              <a16:creationId xmlns:a16="http://schemas.microsoft.com/office/drawing/2014/main" id="{172D3F96-DC19-D8F6-09C7-8D3FCAE2E2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71437</xdr:colOff>
      <xdr:row>16</xdr:row>
      <xdr:rowOff>82463</xdr:rowOff>
    </xdr:from>
    <xdr:to>
      <xdr:col>2</xdr:col>
      <xdr:colOff>479252</xdr:colOff>
      <xdr:row>17</xdr:row>
      <xdr:rowOff>167755</xdr:rowOff>
    </xdr:to>
    <xdr:pic>
      <xdr:nvPicPr>
        <xdr:cNvPr id="4" name="Gráfico 3" descr="Hombre contorno">
          <a:extLst>
            <a:ext uri="{FF2B5EF4-FFF2-40B4-BE49-F238E27FC236}">
              <a16:creationId xmlns:a16="http://schemas.microsoft.com/office/drawing/2014/main" id="{42730967-404C-AC2C-FA7B-4608470B496E}"/>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452437" y="5035463"/>
          <a:ext cx="407815" cy="418667"/>
        </a:xfrm>
        <a:prstGeom prst="rect">
          <a:avLst/>
        </a:prstGeom>
      </xdr:spPr>
    </xdr:pic>
    <xdr:clientData/>
  </xdr:twoCellAnchor>
  <xdr:twoCellAnchor editAs="oneCell">
    <xdr:from>
      <xdr:col>3</xdr:col>
      <xdr:colOff>0</xdr:colOff>
      <xdr:row>16</xdr:row>
      <xdr:rowOff>82463</xdr:rowOff>
    </xdr:from>
    <xdr:to>
      <xdr:col>3</xdr:col>
      <xdr:colOff>417600</xdr:colOff>
      <xdr:row>17</xdr:row>
      <xdr:rowOff>174308</xdr:rowOff>
    </xdr:to>
    <xdr:pic>
      <xdr:nvPicPr>
        <xdr:cNvPr id="7" name="Gráfico 6" descr="Mujer contorno">
          <a:extLst>
            <a:ext uri="{FF2B5EF4-FFF2-40B4-BE49-F238E27FC236}">
              <a16:creationId xmlns:a16="http://schemas.microsoft.com/office/drawing/2014/main" id="{04E2F1EC-FC1C-0E24-8724-C208CD65DBD1}"/>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2238375" y="5035463"/>
          <a:ext cx="417600" cy="417600"/>
        </a:xfrm>
        <a:prstGeom prst="rect">
          <a:avLst/>
        </a:prstGeom>
      </xdr:spPr>
    </xdr:pic>
    <xdr:clientData/>
  </xdr:twoCellAnchor>
  <xdr:twoCellAnchor>
    <xdr:from>
      <xdr:col>12</xdr:col>
      <xdr:colOff>477136</xdr:colOff>
      <xdr:row>8</xdr:row>
      <xdr:rowOff>260005</xdr:rowOff>
    </xdr:from>
    <xdr:to>
      <xdr:col>16</xdr:col>
      <xdr:colOff>0</xdr:colOff>
      <xdr:row>17</xdr:row>
      <xdr:rowOff>0</xdr:rowOff>
    </xdr:to>
    <mc:AlternateContent xmlns:mc="http://schemas.openxmlformats.org/markup-compatibility/2006">
      <mc:Choice xmlns:cx1="http://schemas.microsoft.com/office/drawing/2015/9/8/chartex" Requires="cx1">
        <xdr:graphicFrame macro="">
          <xdr:nvGraphicFramePr>
            <xdr:cNvPr id="8" name="Gráfico 7">
              <a:extLst>
                <a:ext uri="{FF2B5EF4-FFF2-40B4-BE49-F238E27FC236}">
                  <a16:creationId xmlns:a16="http://schemas.microsoft.com/office/drawing/2014/main" id="{1B9F125F-6A86-910E-7BF4-ED820B93D02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13421611" y="4774855"/>
              <a:ext cx="4723514" cy="2721320"/>
            </a:xfrm>
            <a:prstGeom prst="rect">
              <a:avLst/>
            </a:prstGeom>
            <a:solidFill>
              <a:prstClr val="white"/>
            </a:solidFill>
            <a:ln w="1">
              <a:solidFill>
                <a:prstClr val="green"/>
              </a:solidFill>
            </a:ln>
          </xdr:spPr>
          <xdr:txBody>
            <a:bodyPr vertOverflow="clip" horzOverflow="clip"/>
            <a:lstStyle/>
            <a:p>
              <a:r>
                <a:rPr lang="es-419" sz="1100"/>
                <a:t>Este gráfico no está disponible en su versión de Excel.
Si edita esta forma o guarda el libro en un formato de archivo diferente, el gráfico no se podrá utilizar.</a:t>
              </a:r>
            </a:p>
          </xdr:txBody>
        </xdr:sp>
      </mc:Fallback>
    </mc:AlternateContent>
    <xdr:clientData/>
  </xdr:twoCellAnchor>
  <xdr:twoCellAnchor>
    <xdr:from>
      <xdr:col>0</xdr:col>
      <xdr:colOff>242455</xdr:colOff>
      <xdr:row>1</xdr:row>
      <xdr:rowOff>173182</xdr:rowOff>
    </xdr:from>
    <xdr:to>
      <xdr:col>1</xdr:col>
      <xdr:colOff>138545</xdr:colOff>
      <xdr:row>1</xdr:row>
      <xdr:rowOff>606136</xdr:rowOff>
    </xdr:to>
    <xdr:sp macro="[0]!MostrarHojaPrincipal" textlink="">
      <xdr:nvSpPr>
        <xdr:cNvPr id="5" name="Flecha: hacia la izquierda 4">
          <a:hlinkClick xmlns:r="http://schemas.openxmlformats.org/officeDocument/2006/relationships" r:id="rId11"/>
          <a:extLst>
            <a:ext uri="{FF2B5EF4-FFF2-40B4-BE49-F238E27FC236}">
              <a16:creationId xmlns:a16="http://schemas.microsoft.com/office/drawing/2014/main" id="{99301317-6E53-4E30-993D-4DC75F5B323C}"/>
            </a:ext>
          </a:extLst>
        </xdr:cNvPr>
        <xdr:cNvSpPr/>
      </xdr:nvSpPr>
      <xdr:spPr>
        <a:xfrm>
          <a:off x="242455" y="259773"/>
          <a:ext cx="640772" cy="432954"/>
        </a:xfrm>
        <a:prstGeom prst="leftArrow">
          <a:avLst/>
        </a:prstGeom>
        <a:solidFill>
          <a:srgbClr val="DFBE7B"/>
        </a:solidFill>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419"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100853</xdr:colOff>
      <xdr:row>0</xdr:row>
      <xdr:rowOff>145676</xdr:rowOff>
    </xdr:from>
    <xdr:to>
      <xdr:col>1</xdr:col>
      <xdr:colOff>11206</xdr:colOff>
      <xdr:row>0</xdr:row>
      <xdr:rowOff>392206</xdr:rowOff>
    </xdr:to>
    <xdr:sp macro="" textlink="">
      <xdr:nvSpPr>
        <xdr:cNvPr id="2" name="Flecha: hacia la izquierda 1">
          <a:hlinkClick xmlns:r="http://schemas.openxmlformats.org/officeDocument/2006/relationships" r:id="rId1"/>
          <a:extLst>
            <a:ext uri="{FF2B5EF4-FFF2-40B4-BE49-F238E27FC236}">
              <a16:creationId xmlns:a16="http://schemas.microsoft.com/office/drawing/2014/main" id="{EA72BC4E-7F33-46C2-9F3D-48B937F7BA93}"/>
            </a:ext>
          </a:extLst>
        </xdr:cNvPr>
        <xdr:cNvSpPr/>
      </xdr:nvSpPr>
      <xdr:spPr>
        <a:xfrm>
          <a:off x="100853" y="145676"/>
          <a:ext cx="392206" cy="246530"/>
        </a:xfrm>
        <a:prstGeom prst="leftArrow">
          <a:avLst/>
        </a:prstGeom>
        <a:solidFill>
          <a:srgbClr val="DFBE7B"/>
        </a:solidFill>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419"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109484</xdr:colOff>
      <xdr:row>0</xdr:row>
      <xdr:rowOff>109482</xdr:rowOff>
    </xdr:from>
    <xdr:to>
      <xdr:col>0</xdr:col>
      <xdr:colOff>514569</xdr:colOff>
      <xdr:row>1</xdr:row>
      <xdr:rowOff>164224</xdr:rowOff>
    </xdr:to>
    <xdr:sp macro="" textlink="">
      <xdr:nvSpPr>
        <xdr:cNvPr id="3" name="Flecha: hacia la izquierda 2">
          <a:hlinkClick xmlns:r="http://schemas.openxmlformats.org/officeDocument/2006/relationships" r:id="rId1"/>
          <a:extLst>
            <a:ext uri="{FF2B5EF4-FFF2-40B4-BE49-F238E27FC236}">
              <a16:creationId xmlns:a16="http://schemas.microsoft.com/office/drawing/2014/main" id="{4675FAED-B867-4E56-84FA-7EA824C31AAB}"/>
            </a:ext>
          </a:extLst>
        </xdr:cNvPr>
        <xdr:cNvSpPr/>
      </xdr:nvSpPr>
      <xdr:spPr>
        <a:xfrm>
          <a:off x="109484" y="109482"/>
          <a:ext cx="405085" cy="251811"/>
        </a:xfrm>
        <a:prstGeom prst="leftArrow">
          <a:avLst/>
        </a:prstGeom>
        <a:solidFill>
          <a:srgbClr val="DFBE7B"/>
        </a:solidFill>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419"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105834</xdr:colOff>
      <xdr:row>0</xdr:row>
      <xdr:rowOff>95250</xdr:rowOff>
    </xdr:from>
    <xdr:to>
      <xdr:col>0</xdr:col>
      <xdr:colOff>497417</xdr:colOff>
      <xdr:row>1</xdr:row>
      <xdr:rowOff>127000</xdr:rowOff>
    </xdr:to>
    <xdr:sp macro="" textlink="">
      <xdr:nvSpPr>
        <xdr:cNvPr id="2" name="Flecha: hacia la izquierda 1">
          <a:hlinkClick xmlns:r="http://schemas.openxmlformats.org/officeDocument/2006/relationships" r:id="rId1"/>
          <a:extLst>
            <a:ext uri="{FF2B5EF4-FFF2-40B4-BE49-F238E27FC236}">
              <a16:creationId xmlns:a16="http://schemas.microsoft.com/office/drawing/2014/main" id="{CD8AC1CB-BBB6-4F94-9862-36F74E19D996}"/>
            </a:ext>
          </a:extLst>
        </xdr:cNvPr>
        <xdr:cNvSpPr/>
      </xdr:nvSpPr>
      <xdr:spPr>
        <a:xfrm>
          <a:off x="105834" y="95250"/>
          <a:ext cx="391583" cy="232833"/>
        </a:xfrm>
        <a:prstGeom prst="leftArrow">
          <a:avLst/>
        </a:prstGeom>
        <a:solidFill>
          <a:srgbClr val="DFBE7B"/>
        </a:solidFill>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419"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105834</xdr:colOff>
      <xdr:row>0</xdr:row>
      <xdr:rowOff>105834</xdr:rowOff>
    </xdr:from>
    <xdr:to>
      <xdr:col>0</xdr:col>
      <xdr:colOff>497417</xdr:colOff>
      <xdr:row>1</xdr:row>
      <xdr:rowOff>148167</xdr:rowOff>
    </xdr:to>
    <xdr:sp macro="" textlink="">
      <xdr:nvSpPr>
        <xdr:cNvPr id="2" name="Flecha: hacia la izquierda 1">
          <a:hlinkClick xmlns:r="http://schemas.openxmlformats.org/officeDocument/2006/relationships" r:id="rId1"/>
          <a:extLst>
            <a:ext uri="{FF2B5EF4-FFF2-40B4-BE49-F238E27FC236}">
              <a16:creationId xmlns:a16="http://schemas.microsoft.com/office/drawing/2014/main" id="{B66AF425-D242-4DA4-85A4-9190E60CFABC}"/>
            </a:ext>
          </a:extLst>
        </xdr:cNvPr>
        <xdr:cNvSpPr/>
      </xdr:nvSpPr>
      <xdr:spPr>
        <a:xfrm>
          <a:off x="105834" y="105834"/>
          <a:ext cx="391583" cy="243416"/>
        </a:xfrm>
        <a:prstGeom prst="leftArrow">
          <a:avLst/>
        </a:prstGeom>
        <a:solidFill>
          <a:srgbClr val="DFBE7B"/>
        </a:solidFill>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419"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107155</xdr:colOff>
      <xdr:row>0</xdr:row>
      <xdr:rowOff>154782</xdr:rowOff>
    </xdr:from>
    <xdr:to>
      <xdr:col>0</xdr:col>
      <xdr:colOff>571500</xdr:colOff>
      <xdr:row>2</xdr:row>
      <xdr:rowOff>11906</xdr:rowOff>
    </xdr:to>
    <xdr:sp macro="" textlink="">
      <xdr:nvSpPr>
        <xdr:cNvPr id="2" name="Flecha: hacia la izquierda 1">
          <a:hlinkClick xmlns:r="http://schemas.openxmlformats.org/officeDocument/2006/relationships" r:id="rId1"/>
          <a:extLst>
            <a:ext uri="{FF2B5EF4-FFF2-40B4-BE49-F238E27FC236}">
              <a16:creationId xmlns:a16="http://schemas.microsoft.com/office/drawing/2014/main" id="{1EC0D766-AF34-4333-B562-70CE4FF86A0A}"/>
            </a:ext>
          </a:extLst>
        </xdr:cNvPr>
        <xdr:cNvSpPr/>
      </xdr:nvSpPr>
      <xdr:spPr>
        <a:xfrm>
          <a:off x="107155" y="154782"/>
          <a:ext cx="464345" cy="273843"/>
        </a:xfrm>
        <a:prstGeom prst="leftArrow">
          <a:avLst/>
        </a:prstGeom>
        <a:solidFill>
          <a:srgbClr val="DFBE7B"/>
        </a:solidFill>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419"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136074</xdr:colOff>
      <xdr:row>0</xdr:row>
      <xdr:rowOff>136072</xdr:rowOff>
    </xdr:from>
    <xdr:to>
      <xdr:col>0</xdr:col>
      <xdr:colOff>625930</xdr:colOff>
      <xdr:row>2</xdr:row>
      <xdr:rowOff>27215</xdr:rowOff>
    </xdr:to>
    <xdr:sp macro="" textlink="">
      <xdr:nvSpPr>
        <xdr:cNvPr id="2" name="Flecha: hacia la izquierda 1">
          <a:hlinkClick xmlns:r="http://schemas.openxmlformats.org/officeDocument/2006/relationships" r:id="rId1"/>
          <a:extLst>
            <a:ext uri="{FF2B5EF4-FFF2-40B4-BE49-F238E27FC236}">
              <a16:creationId xmlns:a16="http://schemas.microsoft.com/office/drawing/2014/main" id="{3A8604B5-B52B-447C-AEC1-8C1304A547D7}"/>
            </a:ext>
          </a:extLst>
        </xdr:cNvPr>
        <xdr:cNvSpPr/>
      </xdr:nvSpPr>
      <xdr:spPr>
        <a:xfrm>
          <a:off x="136074" y="136072"/>
          <a:ext cx="489856" cy="299357"/>
        </a:xfrm>
        <a:prstGeom prst="leftArrow">
          <a:avLst/>
        </a:prstGeom>
        <a:solidFill>
          <a:srgbClr val="DFBE7B"/>
        </a:solidFill>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419"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11</xdr:col>
      <xdr:colOff>605506</xdr:colOff>
      <xdr:row>1</xdr:row>
      <xdr:rowOff>154328</xdr:rowOff>
    </xdr:from>
    <xdr:to>
      <xdr:col>11</xdr:col>
      <xdr:colOff>1713579</xdr:colOff>
      <xdr:row>4</xdr:row>
      <xdr:rowOff>93792</xdr:rowOff>
    </xdr:to>
    <xdr:pic>
      <xdr:nvPicPr>
        <xdr:cNvPr id="3" name="Imagen 2" descr="Logotipo&#10;&#10;Descripción generada automáticamente">
          <a:extLst>
            <a:ext uri="{FF2B5EF4-FFF2-40B4-BE49-F238E27FC236}">
              <a16:creationId xmlns:a16="http://schemas.microsoft.com/office/drawing/2014/main" id="{8EE599E0-ABEF-EB0F-4DB1-E330BACBA229}"/>
            </a:ext>
          </a:extLst>
        </xdr:cNvPr>
        <xdr:cNvPicPr>
          <a:picLocks noChangeAspect="1"/>
        </xdr:cNvPicPr>
      </xdr:nvPicPr>
      <xdr:blipFill rotWithShape="1">
        <a:blip xmlns:r="http://schemas.openxmlformats.org/officeDocument/2006/relationships" r:embed="rId1" cstate="print">
          <a:clrChange>
            <a:clrFrom>
              <a:srgbClr val="FEFEFE"/>
            </a:clrFrom>
            <a:clrTo>
              <a:srgbClr val="FEFEFE">
                <a:alpha val="0"/>
              </a:srgbClr>
            </a:clrTo>
          </a:clrChange>
          <a:extLst>
            <a:ext uri="{28A0092B-C50C-407E-A947-70E740481C1C}">
              <a14:useLocalDpi xmlns:a14="http://schemas.microsoft.com/office/drawing/2010/main" val="0"/>
            </a:ext>
          </a:extLst>
        </a:blip>
        <a:srcRect l="20843" t="36667" r="25193" b="34756"/>
        <a:stretch/>
      </xdr:blipFill>
      <xdr:spPr>
        <a:xfrm>
          <a:off x="9749506" y="367240"/>
          <a:ext cx="1108073" cy="580328"/>
        </a:xfrm>
        <a:prstGeom prst="rect">
          <a:avLst/>
        </a:prstGeom>
      </xdr:spPr>
    </xdr:pic>
    <xdr:clientData/>
  </xdr:twoCellAnchor>
  <xdr:twoCellAnchor>
    <xdr:from>
      <xdr:col>0</xdr:col>
      <xdr:colOff>130971</xdr:colOff>
      <xdr:row>0</xdr:row>
      <xdr:rowOff>190500</xdr:rowOff>
    </xdr:from>
    <xdr:to>
      <xdr:col>0</xdr:col>
      <xdr:colOff>559595</xdr:colOff>
      <xdr:row>2</xdr:row>
      <xdr:rowOff>59531</xdr:rowOff>
    </xdr:to>
    <xdr:sp macro="" textlink="">
      <xdr:nvSpPr>
        <xdr:cNvPr id="4" name="Flecha: hacia la izquierda 3">
          <a:hlinkClick xmlns:r="http://schemas.openxmlformats.org/officeDocument/2006/relationships" r:id="rId2"/>
          <a:extLst>
            <a:ext uri="{FF2B5EF4-FFF2-40B4-BE49-F238E27FC236}">
              <a16:creationId xmlns:a16="http://schemas.microsoft.com/office/drawing/2014/main" id="{D3A85C0F-F226-47E2-A74F-FE1C35271FAC}"/>
            </a:ext>
          </a:extLst>
        </xdr:cNvPr>
        <xdr:cNvSpPr/>
      </xdr:nvSpPr>
      <xdr:spPr>
        <a:xfrm>
          <a:off x="130971" y="190500"/>
          <a:ext cx="428624" cy="285750"/>
        </a:xfrm>
        <a:prstGeom prst="leftArrow">
          <a:avLst/>
        </a:prstGeom>
        <a:solidFill>
          <a:srgbClr val="DFBE7B"/>
        </a:solidFill>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419"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137584</xdr:colOff>
      <xdr:row>1</xdr:row>
      <xdr:rowOff>105833</xdr:rowOff>
    </xdr:from>
    <xdr:to>
      <xdr:col>4</xdr:col>
      <xdr:colOff>518583</xdr:colOff>
      <xdr:row>2</xdr:row>
      <xdr:rowOff>127000</xdr:rowOff>
    </xdr:to>
    <xdr:sp macro="" textlink="">
      <xdr:nvSpPr>
        <xdr:cNvPr id="3" name="Flecha: hacia la izquierda 2">
          <a:hlinkClick xmlns:r="http://schemas.openxmlformats.org/officeDocument/2006/relationships" r:id="rId1"/>
          <a:extLst>
            <a:ext uri="{FF2B5EF4-FFF2-40B4-BE49-F238E27FC236}">
              <a16:creationId xmlns:a16="http://schemas.microsoft.com/office/drawing/2014/main" id="{55816C6F-27D8-47E8-BC94-F08C67B729C6}"/>
            </a:ext>
          </a:extLst>
        </xdr:cNvPr>
        <xdr:cNvSpPr/>
      </xdr:nvSpPr>
      <xdr:spPr>
        <a:xfrm>
          <a:off x="10572751" y="306916"/>
          <a:ext cx="380999" cy="222251"/>
        </a:xfrm>
        <a:prstGeom prst="leftArrow">
          <a:avLst/>
        </a:prstGeom>
        <a:solidFill>
          <a:srgbClr val="DFBE7B"/>
        </a:solidFill>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419"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151334</xdr:colOff>
      <xdr:row>0</xdr:row>
      <xdr:rowOff>160234</xdr:rowOff>
    </xdr:from>
    <xdr:to>
      <xdr:col>0</xdr:col>
      <xdr:colOff>489604</xdr:colOff>
      <xdr:row>1</xdr:row>
      <xdr:rowOff>106822</xdr:rowOff>
    </xdr:to>
    <xdr:sp macro="" textlink="">
      <xdr:nvSpPr>
        <xdr:cNvPr id="3" name="Flecha: hacia la izquierda 2">
          <a:hlinkClick xmlns:r="http://schemas.openxmlformats.org/officeDocument/2006/relationships" r:id="rId1"/>
          <a:extLst>
            <a:ext uri="{FF2B5EF4-FFF2-40B4-BE49-F238E27FC236}">
              <a16:creationId xmlns:a16="http://schemas.microsoft.com/office/drawing/2014/main" id="{C1213AFF-D271-4645-BC2F-7AB19DD20742}"/>
            </a:ext>
          </a:extLst>
        </xdr:cNvPr>
        <xdr:cNvSpPr/>
      </xdr:nvSpPr>
      <xdr:spPr>
        <a:xfrm>
          <a:off x="151334" y="160234"/>
          <a:ext cx="338270" cy="231448"/>
        </a:xfrm>
        <a:prstGeom prst="leftArrow">
          <a:avLst/>
        </a:prstGeom>
        <a:solidFill>
          <a:srgbClr val="DFBE7B"/>
        </a:solidFill>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419"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11</xdr:col>
      <xdr:colOff>605506</xdr:colOff>
      <xdr:row>1</xdr:row>
      <xdr:rowOff>154328</xdr:rowOff>
    </xdr:from>
    <xdr:to>
      <xdr:col>11</xdr:col>
      <xdr:colOff>1713579</xdr:colOff>
      <xdr:row>4</xdr:row>
      <xdr:rowOff>103317</xdr:rowOff>
    </xdr:to>
    <xdr:pic>
      <xdr:nvPicPr>
        <xdr:cNvPr id="2" name="Imagen 1" descr="Logotipo&#10;&#10;Descripción generada automáticamente">
          <a:extLst>
            <a:ext uri="{FF2B5EF4-FFF2-40B4-BE49-F238E27FC236}">
              <a16:creationId xmlns:a16="http://schemas.microsoft.com/office/drawing/2014/main" id="{976013F4-1A52-434C-B34F-BD9A1D3ED9F0}"/>
            </a:ext>
          </a:extLst>
        </xdr:cNvPr>
        <xdr:cNvPicPr>
          <a:picLocks noChangeAspect="1"/>
        </xdr:cNvPicPr>
      </xdr:nvPicPr>
      <xdr:blipFill rotWithShape="1">
        <a:blip xmlns:r="http://schemas.openxmlformats.org/officeDocument/2006/relationships" r:embed="rId1" cstate="print">
          <a:clrChange>
            <a:clrFrom>
              <a:srgbClr val="FEFEFE"/>
            </a:clrFrom>
            <a:clrTo>
              <a:srgbClr val="FEFEFE">
                <a:alpha val="0"/>
              </a:srgbClr>
            </a:clrTo>
          </a:clrChange>
          <a:extLst>
            <a:ext uri="{28A0092B-C50C-407E-A947-70E740481C1C}">
              <a14:useLocalDpi xmlns:a14="http://schemas.microsoft.com/office/drawing/2010/main" val="0"/>
            </a:ext>
          </a:extLst>
        </a:blip>
        <a:srcRect l="20843" t="36667" r="25193" b="34756"/>
        <a:stretch/>
      </xdr:blipFill>
      <xdr:spPr>
        <a:xfrm>
          <a:off x="9749506" y="363878"/>
          <a:ext cx="1108073" cy="568114"/>
        </a:xfrm>
        <a:prstGeom prst="rect">
          <a:avLst/>
        </a:prstGeom>
      </xdr:spPr>
    </xdr:pic>
    <xdr:clientData/>
  </xdr:twoCellAnchor>
  <xdr:twoCellAnchor>
    <xdr:from>
      <xdr:col>0</xdr:col>
      <xdr:colOff>95251</xdr:colOff>
      <xdr:row>0</xdr:row>
      <xdr:rowOff>130970</xdr:rowOff>
    </xdr:from>
    <xdr:to>
      <xdr:col>0</xdr:col>
      <xdr:colOff>535781</xdr:colOff>
      <xdr:row>2</xdr:row>
      <xdr:rowOff>0</xdr:rowOff>
    </xdr:to>
    <xdr:sp macro="" textlink="">
      <xdr:nvSpPr>
        <xdr:cNvPr id="4" name="Flecha: hacia la izquierda 3">
          <a:hlinkClick xmlns:r="http://schemas.openxmlformats.org/officeDocument/2006/relationships" r:id="rId2"/>
          <a:extLst>
            <a:ext uri="{FF2B5EF4-FFF2-40B4-BE49-F238E27FC236}">
              <a16:creationId xmlns:a16="http://schemas.microsoft.com/office/drawing/2014/main" id="{FE4A01E7-B70A-4935-98B3-B8169FBA1F10}"/>
            </a:ext>
          </a:extLst>
        </xdr:cNvPr>
        <xdr:cNvSpPr/>
      </xdr:nvSpPr>
      <xdr:spPr>
        <a:xfrm>
          <a:off x="95251" y="130970"/>
          <a:ext cx="440530" cy="285749"/>
        </a:xfrm>
        <a:prstGeom prst="leftArrow">
          <a:avLst/>
        </a:prstGeom>
        <a:solidFill>
          <a:srgbClr val="DFBE7B"/>
        </a:solidFill>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419"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114301</xdr:colOff>
      <xdr:row>0</xdr:row>
      <xdr:rowOff>152400</xdr:rowOff>
    </xdr:from>
    <xdr:to>
      <xdr:col>0</xdr:col>
      <xdr:colOff>466725</xdr:colOff>
      <xdr:row>1</xdr:row>
      <xdr:rowOff>171450</xdr:rowOff>
    </xdr:to>
    <xdr:sp macro="" textlink="">
      <xdr:nvSpPr>
        <xdr:cNvPr id="3" name="Flecha: hacia la izquierda 2">
          <a:hlinkClick xmlns:r="http://schemas.openxmlformats.org/officeDocument/2006/relationships" r:id="rId1"/>
          <a:extLst>
            <a:ext uri="{FF2B5EF4-FFF2-40B4-BE49-F238E27FC236}">
              <a16:creationId xmlns:a16="http://schemas.microsoft.com/office/drawing/2014/main" id="{4AD7BBD3-89FB-4965-85AB-E06AF6D306C5}"/>
            </a:ext>
          </a:extLst>
        </xdr:cNvPr>
        <xdr:cNvSpPr/>
      </xdr:nvSpPr>
      <xdr:spPr>
        <a:xfrm>
          <a:off x="114301" y="152400"/>
          <a:ext cx="352424" cy="219075"/>
        </a:xfrm>
        <a:prstGeom prst="leftArrow">
          <a:avLst/>
        </a:prstGeom>
        <a:solidFill>
          <a:srgbClr val="DFBE7B"/>
        </a:solidFill>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419" sz="1100"/>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86592</xdr:colOff>
      <xdr:row>0</xdr:row>
      <xdr:rowOff>112568</xdr:rowOff>
    </xdr:from>
    <xdr:to>
      <xdr:col>0</xdr:col>
      <xdr:colOff>424296</xdr:colOff>
      <xdr:row>1</xdr:row>
      <xdr:rowOff>86591</xdr:rowOff>
    </xdr:to>
    <xdr:sp macro="" textlink="">
      <xdr:nvSpPr>
        <xdr:cNvPr id="3" name="Flecha: hacia la izquierda 2">
          <a:hlinkClick xmlns:r="http://schemas.openxmlformats.org/officeDocument/2006/relationships" r:id="rId1"/>
          <a:extLst>
            <a:ext uri="{FF2B5EF4-FFF2-40B4-BE49-F238E27FC236}">
              <a16:creationId xmlns:a16="http://schemas.microsoft.com/office/drawing/2014/main" id="{F6A7D70F-2CD3-487E-A618-D6FC1FEE7C47}"/>
            </a:ext>
          </a:extLst>
        </xdr:cNvPr>
        <xdr:cNvSpPr/>
      </xdr:nvSpPr>
      <xdr:spPr>
        <a:xfrm>
          <a:off x="86592" y="112568"/>
          <a:ext cx="337704" cy="173182"/>
        </a:xfrm>
        <a:prstGeom prst="leftArrow">
          <a:avLst/>
        </a:prstGeom>
        <a:solidFill>
          <a:srgbClr val="DFBE7B"/>
        </a:solidFill>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419" sz="1100"/>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11</xdr:col>
      <xdr:colOff>605506</xdr:colOff>
      <xdr:row>1</xdr:row>
      <xdr:rowOff>154328</xdr:rowOff>
    </xdr:from>
    <xdr:to>
      <xdr:col>11</xdr:col>
      <xdr:colOff>1713579</xdr:colOff>
      <xdr:row>4</xdr:row>
      <xdr:rowOff>105222</xdr:rowOff>
    </xdr:to>
    <xdr:pic>
      <xdr:nvPicPr>
        <xdr:cNvPr id="2" name="Imagen 1" descr="Logotipo&#10;&#10;Descripción generada automáticamente">
          <a:extLst>
            <a:ext uri="{FF2B5EF4-FFF2-40B4-BE49-F238E27FC236}">
              <a16:creationId xmlns:a16="http://schemas.microsoft.com/office/drawing/2014/main" id="{3B05BE62-9940-4308-B2DD-0E70239995EA}"/>
            </a:ext>
          </a:extLst>
        </xdr:cNvPr>
        <xdr:cNvPicPr>
          <a:picLocks noChangeAspect="1"/>
        </xdr:cNvPicPr>
      </xdr:nvPicPr>
      <xdr:blipFill rotWithShape="1">
        <a:blip xmlns:r="http://schemas.openxmlformats.org/officeDocument/2006/relationships" r:embed="rId1" cstate="print">
          <a:clrChange>
            <a:clrFrom>
              <a:srgbClr val="FEFEFE"/>
            </a:clrFrom>
            <a:clrTo>
              <a:srgbClr val="FEFEFE">
                <a:alpha val="0"/>
              </a:srgbClr>
            </a:clrTo>
          </a:clrChange>
          <a:extLst>
            <a:ext uri="{28A0092B-C50C-407E-A947-70E740481C1C}">
              <a14:useLocalDpi xmlns:a14="http://schemas.microsoft.com/office/drawing/2010/main" val="0"/>
            </a:ext>
          </a:extLst>
        </a:blip>
        <a:srcRect l="20843" t="36667" r="25193" b="34756"/>
        <a:stretch/>
      </xdr:blipFill>
      <xdr:spPr>
        <a:xfrm>
          <a:off x="9749506" y="363878"/>
          <a:ext cx="1108073" cy="581449"/>
        </a:xfrm>
        <a:prstGeom prst="rect">
          <a:avLst/>
        </a:prstGeom>
      </xdr:spPr>
    </xdr:pic>
    <xdr:clientData/>
  </xdr:twoCellAnchor>
  <xdr:twoCellAnchor>
    <xdr:from>
      <xdr:col>0</xdr:col>
      <xdr:colOff>95252</xdr:colOff>
      <xdr:row>0</xdr:row>
      <xdr:rowOff>171450</xdr:rowOff>
    </xdr:from>
    <xdr:to>
      <xdr:col>0</xdr:col>
      <xdr:colOff>457200</xdr:colOff>
      <xdr:row>2</xdr:row>
      <xdr:rowOff>0</xdr:rowOff>
    </xdr:to>
    <xdr:sp macro="" textlink="">
      <xdr:nvSpPr>
        <xdr:cNvPr id="4" name="Flecha: hacia la izquierda 3">
          <a:hlinkClick xmlns:r="http://schemas.openxmlformats.org/officeDocument/2006/relationships" r:id="rId2"/>
          <a:extLst>
            <a:ext uri="{FF2B5EF4-FFF2-40B4-BE49-F238E27FC236}">
              <a16:creationId xmlns:a16="http://schemas.microsoft.com/office/drawing/2014/main" id="{E123047C-7308-4AA5-9C65-481C1F8AA567}"/>
            </a:ext>
          </a:extLst>
        </xdr:cNvPr>
        <xdr:cNvSpPr/>
      </xdr:nvSpPr>
      <xdr:spPr>
        <a:xfrm>
          <a:off x="95252" y="171450"/>
          <a:ext cx="361948" cy="238125"/>
        </a:xfrm>
        <a:prstGeom prst="leftArrow">
          <a:avLst/>
        </a:prstGeom>
        <a:solidFill>
          <a:srgbClr val="DFBE7B"/>
        </a:solidFill>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419" sz="1100"/>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123826</xdr:colOff>
      <xdr:row>0</xdr:row>
      <xdr:rowOff>104775</xdr:rowOff>
    </xdr:from>
    <xdr:to>
      <xdr:col>0</xdr:col>
      <xdr:colOff>485776</xdr:colOff>
      <xdr:row>1</xdr:row>
      <xdr:rowOff>133350</xdr:rowOff>
    </xdr:to>
    <xdr:sp macro="" textlink="">
      <xdr:nvSpPr>
        <xdr:cNvPr id="3" name="Flecha: hacia la izquierda 2">
          <a:hlinkClick xmlns:r="http://schemas.openxmlformats.org/officeDocument/2006/relationships" r:id="rId1"/>
          <a:extLst>
            <a:ext uri="{FF2B5EF4-FFF2-40B4-BE49-F238E27FC236}">
              <a16:creationId xmlns:a16="http://schemas.microsoft.com/office/drawing/2014/main" id="{9AAD3E48-C84B-4B07-8434-AACE936FEE62}"/>
            </a:ext>
          </a:extLst>
        </xdr:cNvPr>
        <xdr:cNvSpPr/>
      </xdr:nvSpPr>
      <xdr:spPr>
        <a:xfrm>
          <a:off x="123826" y="104775"/>
          <a:ext cx="361950" cy="228600"/>
        </a:xfrm>
        <a:prstGeom prst="leftArrow">
          <a:avLst/>
        </a:prstGeom>
        <a:solidFill>
          <a:srgbClr val="DFBE7B"/>
        </a:solidFill>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419" sz="110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152400</xdr:colOff>
      <xdr:row>0</xdr:row>
      <xdr:rowOff>123825</xdr:rowOff>
    </xdr:from>
    <xdr:to>
      <xdr:col>0</xdr:col>
      <xdr:colOff>485775</xdr:colOff>
      <xdr:row>1</xdr:row>
      <xdr:rowOff>133350</xdr:rowOff>
    </xdr:to>
    <xdr:sp macro="" textlink="">
      <xdr:nvSpPr>
        <xdr:cNvPr id="3" name="Flecha: hacia la izquierda 2">
          <a:hlinkClick xmlns:r="http://schemas.openxmlformats.org/officeDocument/2006/relationships" r:id="rId1"/>
          <a:extLst>
            <a:ext uri="{FF2B5EF4-FFF2-40B4-BE49-F238E27FC236}">
              <a16:creationId xmlns:a16="http://schemas.microsoft.com/office/drawing/2014/main" id="{7DC7E457-39FF-40EB-BAC7-08F5D1266C7F}"/>
            </a:ext>
          </a:extLst>
        </xdr:cNvPr>
        <xdr:cNvSpPr/>
      </xdr:nvSpPr>
      <xdr:spPr>
        <a:xfrm>
          <a:off x="152400" y="123825"/>
          <a:ext cx="333375" cy="209550"/>
        </a:xfrm>
        <a:prstGeom prst="leftArrow">
          <a:avLst/>
        </a:prstGeom>
        <a:solidFill>
          <a:srgbClr val="DFBE7B"/>
        </a:solidFill>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419"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gomezvalencia.sharepoint.com/Users/User/Downloads/Agencia_Alquimia_SAS_importar_personas%20(3).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user\AppData\Local\Microsoft\Windows\INetCache\Content.Outlook\JUVGXQM0\Copia%20de%20Buses_Armenia_S.A._importar_personas%20(1)-1%20(002).xlsx" TargetMode="External"/><Relationship Id="rId1" Type="http://schemas.openxmlformats.org/officeDocument/2006/relationships/externalLinkPath" Target="/Users/user/AppData/Local/Microsoft/Windows/INetCache/Content.Outlook/JUVGXQM0/Copia%20de%20Buses_Armenia_S.A._importar_personas%20(1)-1%20(00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ciones"/>
      <sheetName val="Información"/>
      <sheetName val="Datos"/>
      <sheetName val="Validacion"/>
    </sheetNames>
    <sheetDataSet>
      <sheetData sheetId="0" refreshError="1"/>
      <sheetData sheetId="1" refreshError="1"/>
      <sheetData sheetId="2"/>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strucciones"/>
      <sheetName val="Información"/>
      <sheetName val="Datos"/>
      <sheetName val="Validacion"/>
    </sheetNames>
    <sheetDataSet>
      <sheetData sheetId="0" refreshError="1"/>
      <sheetData sheetId="1" refreshError="1"/>
      <sheetData sheetId="2">
        <row r="2">
          <cell r="K2" t="str">
            <v>Alineador</v>
          </cell>
        </row>
        <row r="3">
          <cell r="K3" t="str">
            <v>Aprendiz SENA</v>
          </cell>
        </row>
        <row r="4">
          <cell r="K4" t="str">
            <v>Asesor Jurídico</v>
          </cell>
        </row>
        <row r="5">
          <cell r="K5" t="str">
            <v>Asistente de Gerencia</v>
          </cell>
        </row>
        <row r="6">
          <cell r="K6" t="str">
            <v>Asistente de Mantenimiento</v>
          </cell>
        </row>
        <row r="7">
          <cell r="K7" t="str">
            <v>Auxiliar Administrativo</v>
          </cell>
        </row>
        <row r="8">
          <cell r="K8" t="str">
            <v>Auxiliar Almacén</v>
          </cell>
        </row>
        <row r="9">
          <cell r="K9" t="str">
            <v>Auxiliar Nomina</v>
          </cell>
        </row>
        <row r="10">
          <cell r="K10" t="str">
            <v>Auxiliar Producido</v>
          </cell>
        </row>
        <row r="11">
          <cell r="K11" t="str">
            <v>Auxiliar Sistemas</v>
          </cell>
        </row>
        <row r="12">
          <cell r="K12" t="str">
            <v>Cajero Administrativo</v>
          </cell>
        </row>
        <row r="13">
          <cell r="K13" t="str">
            <v>Carrocero - Pintor</v>
          </cell>
        </row>
        <row r="14">
          <cell r="K14" t="str">
            <v>Conductor de Vehículo - Patiero</v>
          </cell>
        </row>
        <row r="15">
          <cell r="K15" t="str">
            <v>Contadora</v>
          </cell>
        </row>
        <row r="16">
          <cell r="K16" t="str">
            <v>Coordinador</v>
          </cell>
        </row>
        <row r="17">
          <cell r="K17" t="str">
            <v>Coordinador de Monitoreo</v>
          </cell>
        </row>
        <row r="18">
          <cell r="K18" t="str">
            <v>Despachador de Ruta</v>
          </cell>
        </row>
        <row r="19">
          <cell r="K19" t="str">
            <v>Ejecutivo Comercial</v>
          </cell>
        </row>
        <row r="20">
          <cell r="K20" t="str">
            <v>Electricista</v>
          </cell>
        </row>
        <row r="21">
          <cell r="K21" t="str">
            <v>Encuestadora</v>
          </cell>
        </row>
        <row r="22">
          <cell r="K22" t="str">
            <v>Gerente General</v>
          </cell>
        </row>
        <row r="23">
          <cell r="K23" t="str">
            <v>Ingeniero Mecánico</v>
          </cell>
        </row>
        <row r="24">
          <cell r="K24" t="str">
            <v>Inspector de Llantas</v>
          </cell>
        </row>
        <row r="25">
          <cell r="K25" t="str">
            <v>Inspector de Ruta</v>
          </cell>
        </row>
        <row r="26">
          <cell r="K26" t="str">
            <v>Jefe Almacén</v>
          </cell>
        </row>
        <row r="27">
          <cell r="K27" t="str">
            <v>Jefe Gestión Documental</v>
          </cell>
        </row>
        <row r="28">
          <cell r="K28" t="str">
            <v>Jefe Gestión Humana</v>
          </cell>
        </row>
        <row r="29">
          <cell r="K29" t="str">
            <v>Jefe Operativa</v>
          </cell>
        </row>
        <row r="30">
          <cell r="K30" t="str">
            <v>Jefe Recurso Humano (E)</v>
          </cell>
        </row>
        <row r="31">
          <cell r="K31" t="str">
            <v>Jefe Salud Ocupacional</v>
          </cell>
        </row>
        <row r="32">
          <cell r="K32" t="str">
            <v>Jefe Sistemas</v>
          </cell>
        </row>
        <row r="33">
          <cell r="K33" t="str">
            <v>Jefe de Lavadores</v>
          </cell>
        </row>
        <row r="34">
          <cell r="K34" t="str">
            <v>Latonero</v>
          </cell>
        </row>
        <row r="35">
          <cell r="K35" t="str">
            <v>Lavador de Vehículo</v>
          </cell>
        </row>
        <row r="36">
          <cell r="K36" t="str">
            <v>Lubricador</v>
          </cell>
        </row>
        <row r="37">
          <cell r="K37" t="str">
            <v>Mecánico</v>
          </cell>
        </row>
        <row r="38">
          <cell r="K38" t="str">
            <v>Mecánico Electricista</v>
          </cell>
        </row>
        <row r="39">
          <cell r="K39" t="str">
            <v>Mecánico- Carro Taller</v>
          </cell>
        </row>
        <row r="40">
          <cell r="K40" t="str">
            <v>Medidor Ace</v>
          </cell>
        </row>
        <row r="41">
          <cell r="K41" t="str">
            <v>Mensajero</v>
          </cell>
        </row>
        <row r="42">
          <cell r="K42" t="str">
            <v>Montallantas</v>
          </cell>
        </row>
        <row r="43">
          <cell r="K43" t="str">
            <v>Operador De Vehículo</v>
          </cell>
        </row>
        <row r="44">
          <cell r="K44" t="str">
            <v>Operador De Vehículo (Otro)</v>
          </cell>
        </row>
        <row r="45">
          <cell r="K45" t="str">
            <v>Pasante Universitario</v>
          </cell>
        </row>
        <row r="46">
          <cell r="K46" t="str">
            <v>Pintor</v>
          </cell>
        </row>
        <row r="47">
          <cell r="K47" t="str">
            <v>Polichador</v>
          </cell>
        </row>
        <row r="48">
          <cell r="K48" t="str">
            <v>Profesional en Transporte y Carga</v>
          </cell>
        </row>
        <row r="49">
          <cell r="K49" t="str">
            <v>Secretaria Auxiliar</v>
          </cell>
        </row>
        <row r="50">
          <cell r="K50" t="str">
            <v>Servicios Generales</v>
          </cell>
        </row>
        <row r="51">
          <cell r="K51" t="str">
            <v>Subgerencia Administrativa</v>
          </cell>
        </row>
        <row r="52">
          <cell r="K52" t="str">
            <v>Subgerencia De Operaciones</v>
          </cell>
        </row>
        <row r="53">
          <cell r="K53" t="str">
            <v>Vigilante Nocturno</v>
          </cell>
        </row>
      </sheetData>
      <sheetData sheetId="3"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niel Valencia" refreshedDate="45386.498970370369" createdVersion="8" refreshedVersion="8" minRefreshableVersion="3" recordCount="541" xr:uid="{650DF748-4664-47AD-8620-5D5E764254B5}">
  <cacheSource type="worksheet">
    <worksheetSource name="Tabla1"/>
  </cacheSource>
  <cacheFields count="57">
    <cacheField name="#" numFmtId="0">
      <sharedItems containsBlank="1" containsMixedTypes="1" containsNumber="1" containsInteger="1" minValue="1" maxValue="545"/>
    </cacheField>
    <cacheField name="Nombre*" numFmtId="0">
      <sharedItems containsBlank="1" count="357">
        <s v="Liliana Patricia"/>
        <s v="Soler Andres"/>
        <s v="Carlos Eduardo"/>
        <s v="Julio Alberto"/>
        <s v="Aleiro"/>
        <s v="Luz Adriana"/>
        <s v="Orlando"/>
        <s v="Jaime Hugo"/>
        <s v="Jhon Jairo"/>
        <s v="Jose Eduardo"/>
        <s v="Jose Exadit"/>
        <s v="Luis Ancizar"/>
        <s v="Santiago"/>
        <s v="Marcela"/>
        <s v="Jesus Bernardo"/>
        <s v="Dora Lilia"/>
        <s v="Luisa Fernanda"/>
        <s v="Maria Alejandra"/>
        <s v="Monica Beatriz"/>
        <s v="Lorena Nathalia"/>
        <s v="Juan Gonzalo"/>
        <s v="Carlos Jose"/>
        <s v="Catalina"/>
        <s v="Jhon Freddy"/>
        <s v="Orlay de Jesus"/>
        <s v="César Agusto"/>
        <s v="Newman Jose"/>
        <s v="Diana Yulieth"/>
        <s v="Jorge Ivan"/>
        <s v="Olga"/>
        <s v="Maria Isabel"/>
        <s v="Victor  Manuel"/>
        <s v="Mauricio"/>
        <s v="Jose Manuel"/>
        <s v="Uban"/>
        <s v="Diego Fernando"/>
        <s v="Juan Daniel"/>
        <s v="Ferney Antonio"/>
        <s v="Carlos Julian"/>
        <s v="Lida Esther"/>
        <s v="Deicy"/>
        <s v="Juan Carlos"/>
        <s v="Liliana"/>
        <s v="Antonio Jose"/>
        <s v="Lady Tatiana"/>
        <s v="Gustavo Adolfo"/>
        <s v="Alberto"/>
        <s v="Arley"/>
        <s v="Angela Yaneth"/>
        <s v="Jessica Andrea"/>
        <s v="Monica Viviana"/>
        <s v="Sandra Carolina"/>
        <s v="Yesica"/>
        <s v="Laura Margrieth"/>
        <s v="Ruben Dario"/>
        <s v="Alejandra"/>
        <s v="Andres Gonzalo"/>
        <s v="Angelica Maria"/>
        <s v="Fabio Augusto"/>
        <s v="Felix Jose"/>
        <s v="Jhonatan"/>
        <s v="Jose Alejandro"/>
        <s v="Mario Alexander"/>
        <s v="Paula Juliana"/>
        <s v="Claudia Patricia"/>
        <s v="Bladimir "/>
        <s v="Lina Marcela"/>
        <s v="Marlon"/>
        <s v="Yerson"/>
        <s v="Jose Rubiel"/>
        <s v="Diana Milena"/>
        <s v="Bibiana María"/>
        <s v="Luis Fernando"/>
        <s v="Sandra Milena"/>
        <s v="Cristian Augusto"/>
        <s v="Paula Andrea"/>
        <s v="Maria Andrea"/>
        <s v="Wilmer"/>
        <s v="Oswaldo Manuel"/>
        <s v="Jose Saul"/>
        <s v="Juan David"/>
        <s v="Ysaias Jose"/>
        <s v="Fabio"/>
        <s v="Yesenia"/>
        <s v="Alex Fabian"/>
        <s v="Edelmira"/>
        <s v="Maria Fernanda"/>
        <s v="Andrea"/>
        <s v="Marcela Andrea"/>
        <s v="Angelica María"/>
        <s v="Cristian Camilo"/>
        <s v="Hernan Dario"/>
        <s v="Delia"/>
        <s v="Carlos Horacio"/>
        <s v="Esneider"/>
        <s v="Olga Lucia"/>
        <s v="Oscar Andres"/>
        <s v="Yuli Andrea"/>
        <s v="Ingrid Yohana"/>
        <s v="Grey Valentin"/>
        <s v="Lina Maria"/>
        <s v="Aldinever"/>
        <s v="Jose Guillermo"/>
        <s v="German"/>
        <s v="Manuela"/>
        <s v="Angie Juliana"/>
        <s v="David Alexander"/>
        <s v="Edison"/>
        <s v="Lennin"/>
        <s v="Yonatan Estiben"/>
        <s v="Paola Andrea"/>
        <s v="Angel David"/>
        <s v="Hector Favio"/>
        <s v="Prospero Antonio"/>
        <s v="Jose Allender"/>
        <s v="David"/>
        <s v="Rafael Francisco"/>
        <s v="Jesus Alberto"/>
        <s v="Norberto"/>
        <s v="Katherin "/>
        <s v="Luis Alfredo "/>
        <s v="Eglis Yaneth"/>
        <s v="Beatriz Adriana"/>
        <s v="Constanza Helena"/>
        <s v="Gloria Isabel"/>
        <s v="Jose Abdullaly"/>
        <s v="Juan Diego"/>
        <s v="Maykel Alexander"/>
        <s v="Walter "/>
        <s v="German de Jesus "/>
        <s v="Camilo"/>
        <s v="Gildardo de Jesus"/>
        <s v="Jarbin"/>
        <s v="Yoneider"/>
        <s v="Mersi Nelly"/>
        <s v="Natalia"/>
        <s v="Keduin Alejandro"/>
        <s v="Kelly Vanessa"/>
        <s v="Valeria"/>
        <s v="Carlos Alberto"/>
        <s v="Luz Patricia"/>
        <s v="Andrés Felipe"/>
        <s v="Efrain"/>
        <s v="Ana Milena"/>
        <s v="Orduwey"/>
        <s v="Daniela "/>
        <s v="Henry Fernando"/>
        <s v="Jefferson Alexander"/>
        <s v="Jose Daniel"/>
        <s v="Joana Andrea"/>
        <s v="Julián Andrés"/>
        <s v="Drida María"/>
        <s v="Janer Giovanny"/>
        <s v="Martha Isabel"/>
        <s v="Anderson Leandro"/>
        <s v="Bertha Alejandra"/>
        <s v="Brayan Estid"/>
        <s v="Camila Andrea"/>
        <s v="Dayana Kathalina"/>
        <s v="Diana Maria"/>
        <s v="Erik Dallan"/>
        <s v="Johan Sebastian"/>
        <s v="Jose Norbey"/>
        <s v="Juan Camilo"/>
        <s v="Juan David "/>
        <s v="Juan Diego "/>
        <s v="Kerly Alejandra"/>
        <s v="Luna del Mar "/>
        <s v="Manuel Sebastian"/>
        <s v="Nicols Steven"/>
        <s v="Yancarlos "/>
        <s v="Robinson"/>
        <s v="Ingry Yulieth"/>
        <s v="Armando Enrique"/>
        <s v="Diana Magaly"/>
        <s v="Erika Johana"/>
        <s v="Nicolas Alejandro"/>
        <s v="Javison"/>
        <s v="Natali"/>
        <s v="Jesus Arley"/>
        <s v="Sarai Priscila"/>
        <s v="JAMES WINTER"/>
        <s v="Israel"/>
        <s v="Estiven"/>
        <s v="Esteban"/>
        <s v="German Dario"/>
        <s v="Yenny Yuliana"/>
        <s v="Germán Dario "/>
        <s v="Maria Belen"/>
        <s v="Angela Victoria"/>
        <s v="Tania Liseth"/>
        <s v="Carolina"/>
        <s v="Biviana Andrea "/>
        <s v="Martha Lucia "/>
        <s v="Jose Ferney"/>
        <s v="Maria Catalina "/>
        <s v="Daniel Andrés"/>
        <s v="Ana Rubelia"/>
        <s v="Maria Eugenia"/>
        <s v="Edward Adolfo"/>
        <s v="Luisa Fernanda "/>
        <s v="Luz Elena"/>
        <s v="Yuliana"/>
        <s v="Elizabeth "/>
        <s v="Fernando"/>
        <s v="Isabel Eugenia"/>
        <s v="Johon Jairo"/>
        <s v="Luz Elida "/>
        <s v="Yenny Marcela "/>
        <s v="Wilder Alejandro"/>
        <s v="Michael Steven"/>
        <s v="Claudia "/>
        <s v="José Luis"/>
        <s v="Héctor Augusto"/>
        <s v="Rafael Gabriel"/>
        <s v="Victor Alberto"/>
        <s v="Maria Alicia "/>
        <s v="Amparo"/>
        <s v="Dayanna"/>
        <s v="Milton Eduardo"/>
        <s v="Carlos Andres"/>
        <s v="Ana Sofía"/>
        <s v="Amanda Patricia"/>
        <s v="Valentina"/>
        <s v="Sebastian"/>
        <s v="Jennifer Lorena"/>
        <s v="Jhon Alexander "/>
        <s v="Juan Pablo"/>
        <s v="Patricia "/>
        <s v="Jose Joaquín"/>
        <s v="Marlyn Julie"/>
        <s v="Nathalia"/>
        <s v="Andrea Sofía"/>
        <s v="Lesly Tatiana"/>
        <s v="Dayan Carolina"/>
        <s v="Zuli"/>
        <s v="Noreya"/>
        <s v="Pedro Pablo"/>
        <s v="Jefferson"/>
        <s v="Marta Noemy"/>
        <s v="Leandro"/>
        <s v="Durialys Milfre"/>
        <s v="Clara Helena"/>
        <s v="Edinson"/>
        <s v="Jesus Antonio"/>
        <s v="Lizeth Magnolia "/>
        <s v="Santiago "/>
        <s v="José  Urley"/>
        <s v="Yuldor Yesit"/>
        <s v="Gustavo Jesús"/>
        <s v="Alejandro"/>
        <s v="Jingwell "/>
        <s v="Gabriel Angel"/>
        <s v="Jesica Julieth"/>
        <s v="María"/>
        <s v="Laura Ximena"/>
        <s v="Miguel Angel"/>
        <s v="Alexander"/>
        <s v="Franky Rosvery"/>
        <s v="Heber"/>
        <s v="Mario Rafael"/>
        <s v="Carlos Andrés"/>
        <s v="Jhon James"/>
        <s v="José Alonso"/>
        <s v="Klaus Alexander"/>
        <s v="Liliana "/>
        <s v="Luz Dary "/>
        <s v="Margarita María "/>
        <s v="Oris Margarita "/>
        <s v="Soley Cristina "/>
        <s v="Alexander "/>
        <s v="James"/>
        <s v="Luis Alberto "/>
        <s v="Viviana Andrea"/>
        <s v="Carlos Augusto"/>
        <s v="Cesar Humberto "/>
        <s v="Hugo Hermel"/>
        <s v="Luis Enrique"/>
        <s v="Ana Patricia"/>
        <s v="Melissa"/>
        <s v="Diego Mauricio"/>
        <s v="Mateo"/>
        <s v="Yefry Alejandro"/>
        <s v="Jonathan Enrique"/>
        <s v="Luis Guillermo"/>
        <s v="Margoth"/>
        <s v="María Ensueño"/>
        <s v="María Esnery"/>
        <s v="Adriana Sofía"/>
        <s v="Jonathan Mauricio "/>
        <s v="Henry "/>
        <s v="María Carolina"/>
        <s v="Saul Andrés "/>
        <s v="Nataly"/>
        <s v="Dania María"/>
        <s v="Yorleny"/>
        <s v="María Aurora "/>
        <s v="Albeiro"/>
        <s v="William "/>
        <s v="Jovany"/>
        <s v="Yenny "/>
        <s v="Rosa Cleotilde"/>
        <s v="Mariela"/>
        <s v="María José "/>
        <s v="Andrea Marcela"/>
        <s v="Karol Dahiana "/>
        <s v="Alba Milena"/>
        <s v="María Rubiela"/>
        <s v="Alba Patricia"/>
        <s v="Luisa María "/>
        <s v="Paola"/>
        <s v="Yenny Ancelly"/>
        <s v="Yenifer"/>
        <s v="Andres Mauricio"/>
        <s v="Diana Marcela"/>
        <s v="Jorge Mauricio"/>
        <s v="José Julián"/>
        <s v="María Jimena"/>
        <s v="Norma Lucia"/>
        <s v="Rubén Dario"/>
        <s v="Aleyda "/>
        <s v="Felix Enrique"/>
        <s v="Aydee"/>
        <s v="Beatriz"/>
        <s v="Carlos Enrique"/>
        <s v="Hoover"/>
        <s v="Jorge"/>
        <s v="Leidy Johana"/>
        <s v="Yohana Maria"/>
        <s v="Luz Mary"/>
        <s v="Rosember"/>
        <s v="Emilia "/>
        <s v="Lucero "/>
        <s v="Jesús Alexander"/>
        <s v="Laura Daniela "/>
        <s v="Daniel"/>
        <s v="Lady Johanna "/>
        <s v="Albeiro "/>
        <s v="Miguel Angel "/>
        <s v="Jovany "/>
        <s v="Jennifer"/>
        <s v="Kevin Esteban"/>
        <s v="Jairo"/>
        <s v="Royber de Jesús "/>
        <s v="Miguel de Jesús "/>
        <s v="Eduardo Antonio"/>
        <s v="Joan Denilson"/>
        <s v="Selena Dahiana"/>
        <s v="Luz Stella"/>
        <s v="Miller Lady"/>
        <s v="Dayana Dubraska"/>
        <s v="Maria Andrea "/>
        <s v="Felix Omar"/>
        <m/>
        <s v="Pedro Luis "/>
        <s v="Beatriz Escobar" u="1"/>
        <s v="Saúl Andrés " u="1"/>
      </sharedItems>
    </cacheField>
    <cacheField name="Apellidos*" numFmtId="0">
      <sharedItems containsBlank="1"/>
    </cacheField>
    <cacheField name="Tipo de documento*" numFmtId="0">
      <sharedItems containsBlank="1"/>
    </cacheField>
    <cacheField name="Número documento*" numFmtId="0">
      <sharedItems containsBlank="1" containsMixedTypes="1" containsNumber="1" containsInteger="1" minValue="423560" maxValue="1233494863"/>
    </cacheField>
    <cacheField name="Tipo de Contrato*" numFmtId="0">
      <sharedItems containsBlank="1"/>
    </cacheField>
    <cacheField name="Término del Contrato*" numFmtId="0">
      <sharedItems containsBlank="1"/>
    </cacheField>
    <cacheField name="Fecha de Contratación (dd/mm/yyyy)*" numFmtId="0">
      <sharedItems containsNonDate="0" containsDate="1" containsString="0" containsBlank="1" minDate="1973-05-04T00:00:00" maxDate="2024-04-02T00:00:00" count="202">
        <d v="2000-01-05T00:00:00"/>
        <d v="2003-01-01T00:00:00"/>
        <d v="2007-03-01T00:00:00"/>
        <d v="2009-10-01T00:00:00"/>
        <d v="2010-10-01T00:00:00"/>
        <d v="2012-10-06T00:00:00"/>
        <d v="2018-04-10T00:00:00"/>
        <d v="2019-02-01T00:00:00"/>
        <d v="2019-02-20T00:00:00"/>
        <d v="2019-05-01T00:00:00"/>
        <d v="2019-06-03T00:00:00"/>
        <d v="2019-11-01T00:00:00"/>
        <d v="2020-07-01T00:00:00"/>
        <d v="2020-08-01T00:00:00"/>
        <d v="2020-10-15T00:00:00"/>
        <d v="2020-11-01T00:00:00"/>
        <d v="2021-05-24T00:00:00"/>
        <d v="2021-06-01T00:00:00"/>
        <d v="2021-08-12T00:00:00"/>
        <d v="2021-09-01T00:00:00"/>
        <d v="2022-09-01T00:00:00"/>
        <d v="2021-10-06T00:00:00"/>
        <d v="2021-10-09T00:00:00"/>
        <d v="2021-11-17T00:00:00"/>
        <d v="2021-12-01T00:00:00"/>
        <d v="2022-02-01T00:00:00"/>
        <d v="2022-02-03T00:00:00"/>
        <d v="2022-03-01T00:00:00"/>
        <d v="2022-03-08T00:00:00"/>
        <d v="2022-04-01T00:00:00"/>
        <d v="2022-04-21T00:00:00"/>
        <d v="2022-05-09T00:00:00"/>
        <d v="2022-05-11T00:00:00"/>
        <d v="2022-05-16T00:00:00"/>
        <d v="2022-05-28T00:00:00"/>
        <d v="2022-06-01T00:00:00"/>
        <d v="2022-06-02T00:00:00"/>
        <d v="2022-06-06T00:00:00"/>
        <d v="2022-06-28T00:00:00"/>
        <d v="2022-07-01T00:00:00"/>
        <d v="2022-07-23T00:00:00"/>
        <d v="2022-08-01T00:00:00"/>
        <d v="2022-08-22T00:00:00"/>
        <d v="2022-09-13T00:00:00"/>
        <d v="2022-09-15T00:00:00"/>
        <d v="2022-10-01T00:00:00"/>
        <d v="2022-11-01T00:00:00"/>
        <d v="2022-12-01T00:00:00"/>
        <d v="2023-01-01T00:00:00"/>
        <d v="2023-01-03T00:00:00"/>
        <d v="2023-01-21T00:00:00"/>
        <d v="2023-01-23T00:00:00"/>
        <d v="2023-02-01T00:00:00"/>
        <d v="2023-02-02T00:00:00"/>
        <d v="2023-02-07T00:00:00"/>
        <d v="2023-02-08T00:00:00"/>
        <d v="2023-02-13T00:00:00"/>
        <d v="2023-02-16T00:00:00"/>
        <d v="2023-02-21T00:00:00"/>
        <d v="2023-02-23T00:00:00"/>
        <d v="2023-03-01T00:00:00"/>
        <d v="2023-03-07T00:00:00"/>
        <d v="2023-03-09T00:00:00"/>
        <d v="2023-03-18T00:00:00"/>
        <d v="2023-03-21T00:00:00"/>
        <d v="2023-04-16T00:00:00"/>
        <d v="2023-04-17T00:00:00"/>
        <d v="2023-04-19T00:00:00"/>
        <d v="2023-04-20T00:00:00"/>
        <d v="2023-05-01T00:00:00"/>
        <d v="2023-05-08T00:00:00"/>
        <d v="2023-05-14T00:00:00"/>
        <d v="2023-05-17T00:00:00"/>
        <d v="2023-05-31T00:00:00"/>
        <d v="2023-06-01T00:00:00"/>
        <d v="2024-02-16T00:00:00"/>
        <d v="2023-06-08T00:00:00"/>
        <d v="2023-06-16T00:00:00"/>
        <d v="2023-06-27T00:00:00"/>
        <d v="2023-07-01T00:00:00"/>
        <d v="2023-07-02T00:00:00"/>
        <d v="2023-07-13T00:00:00"/>
        <d v="2023-07-17T00:00:00"/>
        <d v="2023-07-19T00:00:00"/>
        <d v="2023-07-22T00:00:00"/>
        <d v="2023-07-24T00:00:00"/>
        <d v="2023-07-25T00:00:00"/>
        <d v="2023-07-27T00:00:00"/>
        <d v="2023-08-01T00:00:00"/>
        <d v="2023-08-03T00:00:00"/>
        <d v="2023-08-05T00:00:00"/>
        <d v="2023-08-08T00:00:00"/>
        <d v="2023-08-09T00:00:00"/>
        <d v="2023-08-14T00:00:00"/>
        <d v="2023-08-15T00:00:00"/>
        <d v="2023-08-19T00:00:00"/>
        <d v="2023-08-22T00:00:00"/>
        <d v="2023-08-24T00:00:00"/>
        <d v="2023-08-25T00:00:00"/>
        <d v="2023-09-01T00:00:00"/>
        <d v="2024-01-16T00:00:00"/>
        <d v="2023-09-04T00:00:00"/>
        <d v="2023-09-07T00:00:00"/>
        <d v="2023-09-11T00:00:00"/>
        <d v="2023-09-17T00:00:00"/>
        <d v="2023-09-18T00:00:00"/>
        <d v="2023-09-20T00:00:00"/>
        <d v="2023-09-22T00:00:00"/>
        <d v="2023-09-26T00:00:00"/>
        <d v="2023-09-29T00:00:00"/>
        <d v="2023-09-30T00:00:00"/>
        <d v="2023-10-01T00:00:00"/>
        <d v="2023-10-09T00:00:00"/>
        <d v="2023-10-10T00:00:00"/>
        <d v="2023-10-16T00:00:00"/>
        <d v="2023-10-17T00:00:00"/>
        <d v="2023-10-20T00:00:00"/>
        <d v="2023-10-23T00:00:00"/>
        <d v="2023-10-24T00:00:00"/>
        <d v="2023-11-01T00:00:00"/>
        <d v="2023-11-16T00:00:00"/>
        <d v="2023-11-20T00:00:00"/>
        <d v="2023-11-21T00:00:00"/>
        <d v="2023-11-28T00:00:00"/>
        <d v="2023-11-29T00:00:00"/>
        <d v="2023-12-01T00:00:00"/>
        <d v="2023-12-05T00:00:00"/>
        <d v="2023-12-11T00:00:00"/>
        <d v="2023-12-12T00:00:00"/>
        <d v="2023-12-14T00:00:00"/>
        <d v="2023-12-15T00:00:00"/>
        <d v="2023-12-21T00:00:00"/>
        <d v="2024-01-01T00:00:00"/>
        <d v="2024-01-05T00:00:00"/>
        <d v="2024-01-09T00:00:00"/>
        <d v="2024-01-18T00:00:00"/>
        <d v="2024-01-19T00:00:00"/>
        <d v="2024-01-24T00:00:00"/>
        <d v="2023-01-15T00:00:00"/>
        <d v="2023-07-05T00:00:00"/>
        <d v="2024-01-08T00:00:00"/>
        <d v="2024-01-22T00:00:00"/>
        <d v="2024-01-23T00:00:00"/>
        <d v="2023-12-16T00:00:00"/>
        <d v="2023-01-26T00:00:00"/>
        <d v="2018-07-23T00:00:00"/>
        <d v="2022-12-17T00:00:00"/>
        <d v="2023-08-26T00:00:00"/>
        <d v="2019-01-01T00:00:00"/>
        <d v="2021-11-16T00:00:00"/>
        <d v="2023-05-04T00:00:00"/>
        <d v="2021-09-13T00:00:00"/>
        <d v="2024-02-01T00:00:00"/>
        <d v="2024-03-12T00:00:00"/>
        <d v="2017-09-20T00:00:00"/>
        <d v="2020-01-16T00:00:00"/>
        <d v="2022-09-21T00:00:00"/>
        <d v="2018-02-01T00:00:00"/>
        <d v="2022-03-24T00:00:00"/>
        <d v="2023-03-06T00:00:00"/>
        <d v="2020-06-24T00:00:00"/>
        <d v="1973-08-17T00:00:00"/>
        <d v="1996-10-30T00:00:00"/>
        <d v="2024-01-14T00:00:00"/>
        <d v="2024-02-15T00:00:00"/>
        <d v="2024-01-29T00:00:00"/>
        <m/>
        <d v="2022-05-01T00:00:00"/>
        <d v="2024-02-05T00:00:00"/>
        <d v="2020-11-03T00:00:00"/>
        <d v="2020-08-03T00:00:00"/>
        <d v="2022-10-10T00:00:00"/>
        <d v="2021-02-09T00:00:00"/>
        <d v="2019-02-16T00:00:00"/>
        <d v="2020-12-01T00:00:00"/>
        <d v="2023-05-02T00:00:00"/>
        <d v="2024-02-14T00:00:00"/>
        <d v="2024-02-20T00:00:00"/>
        <d v="2024-02-21T00:00:00"/>
        <d v="2024-02-22T00:00:00"/>
        <d v="2024-02-23T00:00:00"/>
        <d v="2024-02-28T00:00:00"/>
        <d v="2024-02-24T00:00:00"/>
        <d v="2024-02-26T00:00:00"/>
        <d v="2024-03-01T00:00:00"/>
        <d v="2024-03-04T00:00:00"/>
        <d v="2023-06-30T00:00:00"/>
        <d v="2024-03-05T00:00:00"/>
        <d v="2024-03-06T00:00:00"/>
        <d v="2023-12-10T00:00:00"/>
        <d v="2024-03-11T00:00:00"/>
        <d v="2024-03-15T00:00:00"/>
        <d v="2024-03-18T00:00:00"/>
        <d v="2024-03-19T00:00:00"/>
        <d v="2024-03-20T00:00:00"/>
        <d v="2024-03-17T00:00:00"/>
        <d v="2024-04-01T00:00:00"/>
        <d v="2024-03-24T00:00:00"/>
        <d v="2024-03-26T00:00:00"/>
        <d v="2024-03-28T00:00:00"/>
        <d v="1973-05-04T00:00:00" u="1"/>
        <d v="2023-01-07T00:00:00" u="1"/>
      </sharedItems>
      <fieldGroup par="50"/>
    </cacheField>
    <cacheField name="Fecha finalización contrato (dd/mm/yyyy)" numFmtId="0">
      <sharedItems containsDate="1" containsBlank="1" containsMixedTypes="1" minDate="2023-01-16T00:00:00" maxDate="2024-07-21T00:00:00"/>
    </cacheField>
    <cacheField name="Tipo Salario*" numFmtId="0">
      <sharedItems containsBlank="1"/>
    </cacheField>
    <cacheField name="Salario/Honorarios mensuales*" numFmtId="0">
      <sharedItems containsString="0" containsBlank="1" containsNumber="1" containsInteger="1" minValue="130000" maxValue="30000000"/>
    </cacheField>
    <cacheField name="Subsidio de Transporte (SI/NO)*" numFmtId="0">
      <sharedItems containsBlank="1"/>
    </cacheField>
    <cacheField name="Centro de trabajo (Nivel de Riesgo)*" numFmtId="0">
      <sharedItems containsBlank="1"/>
    </cacheField>
    <cacheField name="¿Permitir acceso online?" numFmtId="0">
      <sharedItems containsBlank="1"/>
    </cacheField>
    <cacheField name="Correo electrónico" numFmtId="0">
      <sharedItems containsBlank="1"/>
    </cacheField>
    <cacheField name="¿Días de vacaciones acumulados?" numFmtId="0">
      <sharedItems containsNonDate="0" containsString="0" containsBlank="1"/>
    </cacheField>
    <cacheField name="Medio de Pago" numFmtId="0">
      <sharedItems containsBlank="1"/>
    </cacheField>
    <cacheField name="Banco" numFmtId="0">
      <sharedItems containsBlank="1"/>
    </cacheField>
    <cacheField name="Tipo de Cuenta" numFmtId="0">
      <sharedItems containsBlank="1"/>
    </cacheField>
    <cacheField name="Número de cuenta" numFmtId="0">
      <sharedItems containsBlank="1" containsMixedTypes="1" containsNumber="1" containsInteger="1" minValue="314806147" maxValue="570136270182001"/>
    </cacheField>
    <cacheField name="Fecha Nacimento (dd/mm/yyyy)" numFmtId="0">
      <sharedItems containsNonDate="0" containsDate="1" containsString="0" containsBlank="1" minDate="1947-04-05T00:00:00" maxDate="2877-06-19T00:00:00" count="365">
        <d v="1969-10-30T00:00:00"/>
        <d v="1980-10-15T00:00:00"/>
        <d v="1962-08-23T00:00:00"/>
        <d v="1964-07-20T00:00:00"/>
        <d v="1968-05-04T00:00:00"/>
        <d v="1979-02-17T00:00:00"/>
        <d v="1986-09-22T00:00:00"/>
        <d v="1975-05-24T00:00:00"/>
        <d v="1975-06-15T00:00:00"/>
        <d v="1969-07-28T00:00:00"/>
        <d v="1961-10-30T00:00:00"/>
        <d v="1955-08-22T00:00:00"/>
        <d v="1995-07-05T00:00:00"/>
        <d v="1969-02-17T00:00:00"/>
        <d v="1968-01-24T00:00:00"/>
        <d v="1972-12-02T00:00:00"/>
        <d v="1995-05-19T00:00:00"/>
        <d v="1976-07-13T00:00:00"/>
        <d v="1976-07-22T00:00:00"/>
        <d v="1994-07-01T00:00:00"/>
        <d v="1958-04-25T00:00:00"/>
        <d v="1992-11-26T00:00:00"/>
        <d v="1982-05-19T00:00:00"/>
        <m/>
        <d v="1970-08-01T00:00:00"/>
        <d v="1978-07-28T00:00:00"/>
        <d v="1994-08-01T00:00:00"/>
        <d v="1987-12-16T00:00:00"/>
        <d v="1974-07-01T00:00:00"/>
        <d v="1975-09-18T00:00:00"/>
        <d v="1980-07-01T00:00:00"/>
        <d v="1979-11-07T00:00:00"/>
        <d v="1979-08-14T00:00:00"/>
        <d v="1966-09-24T00:00:00"/>
        <d v="1981-12-11T00:00:00"/>
        <d v="1968-09-02T00:00:00"/>
        <d v="1992-05-16T00:00:00"/>
        <d v="1981-11-09T00:00:00"/>
        <d v="1993-02-19T00:00:00"/>
        <d v="1991-08-02T00:00:00"/>
        <d v="1996-07-14T00:00:00"/>
        <d v="1993-02-02T00:00:00"/>
        <d v="1982-12-10T00:00:00"/>
        <d v="1988-11-13T00:00:00"/>
        <d v="2000-09-05T00:00:00"/>
        <d v="1972-10-28T00:00:00"/>
        <d v="1985-01-21T00:00:00"/>
        <d v="1993-06-18T00:00:00"/>
        <d v="1995-04-17T00:00:00"/>
        <d v="1973-03-12T00:00:00"/>
        <d v="1982-11-25T00:00:00"/>
        <d v="1985-12-01T00:00:00"/>
        <d v="1999-04-09T00:00:00"/>
        <d v="1980-07-03T00:00:00"/>
        <d v="1990-10-22T00:00:00"/>
        <d v="1995-10-04T00:00:00"/>
        <d v="1984-09-25T00:00:00"/>
        <d v="2000-03-04T00:00:00"/>
        <d v="2002-12-27T00:00:00"/>
        <d v="1956-10-16T00:00:00"/>
        <d v="1977-10-02T00:00:00"/>
        <d v="1985-01-19T00:00:00"/>
        <d v="1969-06-22T00:00:00"/>
        <d v="1979-06-23T00:00:00"/>
        <d v="1981-06-02T00:00:00"/>
        <d v="1992-12-05T00:00:00"/>
        <d v="1995-02-04T00:00:00"/>
        <d v="1977-07-07T00:00:00"/>
        <d v="1971-07-12T00:00:00"/>
        <d v="1983-06-28T00:00:00"/>
        <d v="1997-07-31T00:00:00"/>
        <d v="1979-09-15T00:00:00"/>
        <d v="2004-01-20T00:00:00"/>
        <d v="1997-08-13T00:00:00"/>
        <d v="1983-06-23T00:00:00"/>
        <d v="1997-09-04T00:00:00"/>
        <d v="1998-03-07T00:00:00"/>
        <d v="1974-06-28T00:00:00"/>
        <d v="1995-10-21T00:00:00"/>
        <d v="1984-09-01T00:00:00"/>
        <d v="1985-01-03T00:00:00"/>
        <d v="1993-09-09T00:00:00"/>
        <d v="1988-03-29T00:00:00"/>
        <d v="1971-09-28T00:00:00"/>
        <d v="1973-03-04T00:00:00"/>
        <d v="1979-12-14T00:00:00"/>
        <d v="1995-12-17T00:00:00"/>
        <d v="1995-08-24T00:00:00"/>
        <d v="1970-01-25T00:00:00"/>
        <d v="1977-08-12T00:00:00"/>
        <d v="1987-08-24T00:00:00"/>
        <d v="2001-10-08T00:00:00"/>
        <d v="2000-01-26T00:00:00"/>
        <d v="1984-10-08T00:00:00"/>
        <d v="1985-11-15T00:00:00"/>
        <d v="1981-12-08T00:00:00"/>
        <d v="1992-04-26T00:00:00"/>
        <d v="1993-09-29T00:00:00"/>
        <d v="1969-06-04T00:00:00"/>
        <d v="2005-05-01T00:00:00"/>
        <d v="1992-12-28T00:00:00"/>
        <d v="1986-12-19T00:00:00"/>
        <d v="1990-12-07T00:00:00"/>
        <d v="1972-01-02T00:00:00"/>
        <d v="1967-04-14T00:00:00"/>
        <d v="1973-08-06T00:00:00"/>
        <d v="1974-12-22T00:00:00"/>
        <d v="1947-04-05T00:00:00"/>
        <d v="1972-08-05T00:00:00"/>
        <d v="1996-04-06T00:00:00"/>
        <d v="1976-11-24T00:00:00"/>
        <d v="1982-05-30T00:00:00"/>
        <d v="1995-02-20T00:00:00"/>
        <d v="1976-08-11T00:00:00"/>
        <d v="1998-04-01T00:00:00"/>
        <d v="1959-10-20T00:00:00"/>
        <d v="1996-02-03T00:00:00"/>
        <d v="1985-08-17T00:00:00"/>
        <d v="1987-03-18T00:00:00"/>
        <d v="2001-10-26T00:00:00"/>
        <d v="1973-01-30T00:00:00"/>
        <d v="2005-02-27T00:00:00"/>
        <d v="1996-10-30T00:00:00"/>
        <d v="2001-09-14T00:00:00"/>
        <d v="1985-07-22T00:00:00"/>
        <d v="1976-03-31T00:00:00"/>
        <d v="1996-08-03T00:00:00"/>
        <d v="1989-02-07T00:00:00"/>
        <d v="1986-01-11T00:00:00"/>
        <d v="1983-11-28T00:00:00"/>
        <d v="1997-10-08T00:00:00"/>
        <d v="1991-10-06T00:00:00"/>
        <d v="1990-04-08T00:00:00"/>
        <d v="1991-02-22T00:00:00"/>
        <d v="1975-11-12T00:00:00"/>
        <d v="1983-07-19T00:00:00"/>
        <d v="1979-02-05T00:00:00"/>
        <d v="1968-10-04T00:00:00"/>
        <d v="2003-09-21T00:00:00"/>
        <d v="1990-11-24T00:00:00"/>
        <d v="2005-04-23T00:00:00"/>
        <d v="1994-04-27T00:00:00"/>
        <d v="2001-07-04T00:00:00"/>
        <d v="1976-10-02T00:00:00"/>
        <d v="2001-06-26T00:00:00"/>
        <d v="2001-12-16T00:00:00"/>
        <d v="2005-05-26T00:00:00"/>
        <d v="2001-06-16T00:00:00"/>
        <d v="2001-04-14T00:00:00"/>
        <d v="2004-12-14T00:00:00"/>
        <d v="2002-12-25T00:00:00"/>
        <d v="2003-05-16T00:00:00"/>
        <d v="1988-01-02T00:00:00"/>
        <d v="2000-08-21T00:00:00"/>
        <d v="1977-06-18T00:00:00"/>
        <d v="1978-07-01T00:00:00"/>
        <d v="1992-07-02T00:00:00"/>
        <d v="1991-06-23T00:00:00"/>
        <d v="1992-07-18T00:00:00"/>
        <d v="1971-07-26T00:00:00"/>
        <d v="1991-05-27T00:00:00"/>
        <d v="1994-07-11T00:00:00"/>
        <d v="2001-10-29T00:00:00"/>
        <d v="1969-10-08T00:00:00"/>
        <d v="1978-05-03T00:00:00"/>
        <d v="2002-04-12T00:00:00"/>
        <d v="2002-05-05T00:00:00"/>
        <d v="2004-04-17T00:00:00"/>
        <d v="2000-01-02T00:00:00"/>
        <d v="1985-02-12T00:00:00"/>
        <d v="1991-11-06T00:00:00"/>
        <d v="1994-08-12T00:00:00"/>
        <d v="1974-08-10T00:00:00"/>
        <d v="1975-07-30T00:00:00"/>
        <d v="1972-01-10T00:00:00"/>
        <d v="1967-06-15T00:00:00"/>
        <d v="1989-05-16T00:00:00"/>
        <d v="1999-10-22T00:00:00"/>
        <d v="1964-11-12T00:00:00"/>
        <d v="1973-08-07T00:00:00"/>
        <d v="1999-04-08T00:00:00"/>
        <d v="1981-09-02T00:00:00"/>
        <d v="1967-08-01T00:00:00"/>
        <d v="2003-07-09T00:00:00"/>
        <d v="1970-04-18T00:00:00"/>
        <d v="1970-01-30T00:00:00"/>
        <d v="1962-12-14T00:00:00"/>
        <d v="1971-02-25T00:00:00"/>
        <d v="1966-11-09T00:00:00"/>
        <d v="1964-04-16T00:00:00"/>
        <d v="1961-05-21T00:00:00"/>
        <d v="1987-01-04T00:00:00"/>
        <d v="1995-10-17T00:00:00"/>
        <d v="1981-08-22T00:00:00"/>
        <d v="2001-02-11T00:00:00"/>
        <d v="1964-05-29T00:00:00"/>
        <d v="1978-03-01T00:00:00"/>
        <d v="1978-10-29T00:00:00"/>
        <d v="1975-03-26T00:00:00"/>
        <d v="1986-09-21T00:00:00"/>
        <d v="1995-09-06T00:00:00"/>
        <d v="1988-02-17T00:00:00"/>
        <d v="1978-06-20T00:00:00"/>
        <d v="1998-02-19T00:00:00"/>
        <d v="2001-01-11T00:00:00"/>
        <d v="1987-08-27T00:00:00"/>
        <d v="2004-02-14T00:00:00"/>
        <d v="1979-03-04T00:00:00"/>
        <d v="2004-06-23T00:00:00"/>
        <d v="1993-04-30T00:00:00"/>
        <d v="1997-09-14T00:00:00"/>
        <d v="1991-08-20T00:00:00"/>
        <d v="1986-06-12T00:00:00"/>
        <d v="1990-07-20T00:00:00"/>
        <d v="1977-05-08T00:00:00"/>
        <d v="1970-09-01T00:00:00"/>
        <d v="1996-01-17T00:00:00"/>
        <d v="1998-06-12T00:00:00"/>
        <d v="1983-08-28T00:00:00"/>
        <d v="2005-05-17T00:00:00"/>
        <d v="1989-04-27T00:00:00"/>
        <d v="1990-04-06T00:00:00"/>
        <d v="1973-04-16T00:00:00"/>
        <d v="1974-02-11T00:00:00"/>
        <d v="1993-06-15T00:00:00"/>
        <d v="1997-02-28T00:00:00"/>
        <d v="1984-09-06T00:00:00"/>
        <d v="1965-02-05T00:00:00"/>
        <d v="1996-04-10T00:00:00"/>
        <d v="1988-02-12T00:00:00"/>
        <d v="2003-07-25T00:00:00"/>
        <d v="1994-10-08T00:00:00"/>
        <d v="1993-12-28T00:00:00"/>
        <d v="1997-07-15T00:00:00"/>
        <d v="1995-09-20T00:00:00"/>
        <d v="1981-06-05T00:00:00"/>
        <d v="2002-01-29T00:00:00"/>
        <d v="1975-12-25T00:00:00"/>
        <d v="1990-09-24T00:00:00"/>
        <d v="2003-07-19T00:00:00"/>
        <d v="1988-05-08T00:00:00"/>
        <d v="1982-09-07T00:00:00"/>
        <d v="1972-04-29T00:00:00"/>
        <d v="2000-09-10T00:00:00"/>
        <d v="1975-07-27T00:00:00"/>
        <d v="1994-07-02T00:00:00"/>
        <d v="1995-11-07T00:00:00"/>
        <d v="2005-08-27T00:00:00"/>
        <d v="1997-08-28T00:00:00"/>
        <d v="1980-11-07T00:00:00"/>
        <d v="2001-12-01T00:00:00"/>
        <d v="1972-11-02T00:00:00"/>
        <d v="2002-01-12T00:00:00"/>
        <d v="1976-09-24T00:00:00"/>
        <d v="1986-02-11T00:00:00"/>
        <d v="1970-05-07T00:00:00"/>
        <d v="1969-05-05T00:00:00"/>
        <d v="1984-05-25T00:00:00"/>
        <d v="1959-07-27T00:00:00"/>
        <d v="1968-04-22T00:00:00"/>
        <d v="1985-12-14T00:00:00"/>
        <d v="1969-12-02T00:00:00"/>
        <d v="1978-11-28T00:00:00"/>
        <d v="1979-04-13T00:00:00"/>
        <d v="1973-04-10T00:00:00"/>
        <d v="2006-01-21T00:00:00"/>
        <d v="1995-04-20T00:00:00"/>
        <d v="1972-04-02T00:00:00"/>
        <d v="1975-10-26T00:00:00"/>
        <d v="1970-04-15T00:00:00"/>
        <d v="1976-06-04T00:00:00"/>
        <d v="1978-05-01T00:00:00"/>
        <d v="1996-12-23T00:00:00"/>
        <d v="2001-05-14T00:00:00"/>
        <d v="1991-01-02T00:00:00"/>
        <d v="1980-11-16T00:00:00"/>
        <d v="1994-05-03T00:00:00"/>
        <d v="1998-09-24T00:00:00"/>
        <d v="1985-04-30T00:00:00"/>
        <d v="1993-06-12T00:00:00"/>
        <d v="1972-01-31T00:00:00"/>
        <d v="1988-11-01T00:00:00"/>
        <d v="1973-08-17T00:00:00"/>
        <d v="2002-11-27T00:00:00"/>
        <d v="1994-04-08T00:00:00"/>
        <d v="1979-04-12T00:00:00"/>
        <d v="1987-03-06T00:00:00"/>
        <d v="2006-01-02T00:00:00"/>
        <d v="1994-11-08T00:00:00"/>
        <d v="2003-04-15T00:00:00"/>
        <d v="1996-12-16T00:00:00"/>
        <d v="1975-09-03T00:00:00"/>
        <d v="1976-12-06T00:00:00"/>
        <d v="1979-09-29T00:00:00"/>
        <d v="1976-07-10T00:00:00"/>
        <d v="1981-03-18T00:00:00"/>
        <d v="1984-11-13T00:00:00"/>
        <d v="1958-10-12T00:00:00"/>
        <d v="1951-09-26T00:00:00"/>
        <d v="1979-03-19T00:00:00"/>
        <d v="1988-07-08T00:00:00"/>
        <d v="1995-02-08T00:00:00"/>
        <d v="1978-04-24T00:00:00"/>
        <d v="1957-05-21T00:00:00"/>
        <d v="1967-12-25T00:00:00"/>
        <d v="1985-06-21T00:00:00"/>
        <d v="1984-11-25T00:00:00"/>
        <d v="1985-05-04T00:00:00"/>
        <d v="1990-10-16T00:00:00"/>
        <d v="1986-11-26T00:00:00"/>
        <d v="1994-01-07T00:00:00"/>
        <d v="1997-12-04T00:00:00"/>
        <d v="1994-06-21T00:00:00"/>
        <d v="1993-03-26T00:00:00"/>
        <d v="1992-06-09T00:00:00"/>
        <d v="1973-05-04T00:00:00"/>
        <d v="1978-05-25T00:00:00"/>
        <d v="1980-08-06T00:00:00"/>
        <d v="1959-08-13T00:00:00"/>
        <d v="1964-03-09T00:00:00"/>
        <d v="1965-02-01T00:00:00"/>
        <d v="1975-05-20T00:00:00"/>
        <d v="1973-11-04T00:00:00"/>
        <d v="1986-04-20T00:00:00"/>
        <d v="1986-11-15T00:00:00"/>
        <d v="1976-08-12T00:00:00"/>
        <d v="1962-11-30T00:00:00"/>
        <d v="2006-02-17T00:00:00"/>
        <d v="1974-06-09T00:00:00"/>
        <d v="1993-08-25T00:00:00"/>
        <d v="1999-04-03T00:00:00"/>
        <d v="1983-11-21T00:00:00"/>
        <d v="1993-01-22T00:00:00"/>
        <d v="2000-03-31T00:00:00"/>
        <d v="2000-04-17T00:00:00"/>
        <d v="1982-10-28T00:00:00"/>
        <d v="1985-10-17T00:00:00"/>
        <d v="2000-09-11T00:00:00"/>
        <d v="1999-01-20T00:00:00"/>
        <d v="1967-07-02T00:00:00"/>
        <d v="1968-10-21T00:00:00"/>
        <d v="1959-12-01T00:00:00"/>
        <d v="1970-06-15T00:00:00"/>
        <d v="1998-03-08T00:00:00"/>
        <d v="2001-05-03T00:00:00"/>
        <d v="2003-07-21T00:00:00"/>
        <d v="1981-05-03T00:00:00"/>
        <d v="1986-07-30T00:00:00"/>
        <d v="1983-10-04T00:00:00"/>
        <d v="1988-08-18T00:00:00"/>
        <d v="1996-03-30T00:00:00"/>
        <d v="1979-10-02T00:00:00"/>
        <d v="1970-12-01T00:00:00"/>
        <d v="1996-03-08T00:00:00" u="1"/>
        <d v="1978-05-20T00:00:00" u="1"/>
        <d v="1992-02-02T00:00:00" u="1"/>
        <d v="1992-02-01T00:00:00" u="1"/>
        <d v="1996-03-02T00:00:00" u="1"/>
        <d v="1983-11-29T00:00:00" u="1"/>
        <d v="1992-07-25T00:00:00" u="1"/>
        <d v="1987-06-18T00:00:00" u="1"/>
        <d v="2008-05-01T00:00:00" u="1"/>
        <d v="1990-07-24T00:00:00" u="1"/>
        <d v="2022-04-23T00:00:00" u="1"/>
        <d v="2877-06-18T00:00:00" u="1"/>
      </sharedItems>
      <fieldGroup par="53"/>
    </cacheField>
    <cacheField name="Dirección" numFmtId="0">
      <sharedItems containsBlank="1"/>
    </cacheField>
    <cacheField name="Celular" numFmtId="0">
      <sharedItems containsBlank="1" containsMixedTypes="1" containsNumber="1" containsInteger="1" minValue="3002613555" maxValue="3508143419"/>
    </cacheField>
    <cacheField name="Sede" numFmtId="0">
      <sharedItems containsBlank="1"/>
    </cacheField>
    <cacheField name="Area" numFmtId="0">
      <sharedItems containsBlank="1"/>
    </cacheField>
    <cacheField name="Cargo" numFmtId="0">
      <sharedItems containsBlank="1" count="151">
        <s v="Gerente de ventas"/>
        <s v="Jefe de bodega"/>
        <s v="Mensajero"/>
        <s v="Conductor"/>
        <s v="Conductor/Auxiliar de cargue y descargue/Montacarguista"/>
        <s v="Servicio Domestico"/>
        <s v="Oficios Varios"/>
        <s v="Vaquero"/>
        <s v="Gestor de stock"/>
        <s v="Gerente"/>
        <s v="Contadora"/>
        <s v="Gerente de mercadeo"/>
        <s v="Gestos de proyectos"/>
        <s v="Subgerente "/>
        <s v="Contador y Director Administrativo"/>
        <s v="Director de Campo"/>
        <s v="Director Operativo"/>
        <s v="Mayordomo "/>
        <s v="Coordinador de cocina"/>
        <s v="Auxiliar de restaurante"/>
        <s v="Conserje"/>
        <s v="Coordinador de restaurante"/>
        <s v="Administrador de Finca"/>
        <s v="Auxiliar de servicio"/>
        <s v="Vaquero Campo"/>
        <s v="Jefactura Técnica"/>
        <s v="Director de Operaciones"/>
        <s v="Gerente General"/>
        <s v="Administrador General"/>
        <s v="Lider diseño"/>
        <s v="Líder Contabilidad"/>
        <s v="Auxiliar contable"/>
        <s v="Gerente y representante legal"/>
        <s v="SGSST"/>
        <s v="Productor"/>
        <s v="Cajera"/>
        <s v="Auxiliar de cargue y descargue "/>
        <s v="Gestor comercial"/>
        <s v="Conductor y auxiliar de cargue y descargue "/>
        <s v="Bodeguero"/>
        <s v="Coordinadora Administrativa"/>
        <s v="Domiciliario"/>
        <s v="Operario Maquinaria Agrícola"/>
        <s v="Coordinador administrativo"/>
        <s v="Auxiliar de cocina"/>
        <s v="Coordinador"/>
        <s v="Administrador de Cultivo"/>
        <s v="Mantenimiento"/>
        <s v="Serivicio Domestico"/>
        <s v="Diseño junior"/>
        <s v="Servicios Generales"/>
        <s v="Cajero"/>
        <s v="Asistente administrativa"/>
        <s v="Coordinador de producción"/>
        <s v="S"/>
        <s v="Operario"/>
        <s v="Cajero - Mesero"/>
        <s v="Guadañero"/>
        <s v="Proyect Manager"/>
        <s v="Integrador de Mundos"/>
        <s v="Coordinadora de Eventos"/>
        <s v="Auxiliar equino"/>
        <s v="Socio"/>
        <s v="Servicio Doméstico"/>
        <s v="Asesora comercial"/>
        <s v="Aprendiz"/>
        <s v="Lider talento humano"/>
        <s v="Asociada junior"/>
        <s v="Visitador"/>
        <s v="Mayordomo"/>
        <s v="Vendedora/ Transferencista"/>
        <s v="Promotor"/>
        <s v="Ejecutiva Comercial"/>
        <s v="Volanteador"/>
        <s v="Trabajador de Campo"/>
        <m/>
        <s v="Merca Impulsadora"/>
        <s v="Merca Impulsadora Transferencista "/>
        <s v="Descargador"/>
        <s v="Operaria"/>
        <s v="Tractorista"/>
        <s v="Auxiliar Administrativa y Contable "/>
        <s v="Administrador"/>
        <s v="Bartender"/>
        <s v="Chef"/>
        <s v="Vendedora Transferencista Senior Zona Atlantica"/>
        <s v="Gestor Comercial / Auxiliar de Bodega"/>
        <s v="Representante de Ventas"/>
        <s v="Camarera"/>
        <s v="Auxiliar Administrativa "/>
        <s v="Mesera"/>
        <s v="Transferencista "/>
        <s v="Recepcionista"/>
        <s v="Mesero"/>
        <s v="Líder de Cocina"/>
        <s v="Auxiliar administrativo, contabilidad y cartera. "/>
        <s v="Administrador/Oficios varios"/>
        <s v="Auxiliar equino "/>
        <s v="Administrador "/>
        <s v="Asesor senior "/>
        <s v="Gerente de operaciones "/>
        <s v="Auxiliar operativo "/>
        <s v="Gerente de recursos humanos "/>
        <s v="Gerente administrativo"/>
        <s v="Oficios varios agrícolas "/>
        <s v="Auxiliar de campo"/>
        <s v="Lider operativo"/>
        <s v="Lider de producción y logística "/>
        <s v="Gerente de producción"/>
        <s v="Lider comercial"/>
        <s v="Auxiliar de producción y logistica "/>
        <s v="Análista contable y administrativa "/>
        <s v="Ejecutiva de Cuenta JR."/>
        <s v="Gerente "/>
        <s v="Auxiliar administrativa"/>
        <s v="Tutora Pedagógica"/>
        <s v="Oficios  varios"/>
        <s v="Líder de terapia ocupacional y neurodesarrollo"/>
        <s v="Esteticista "/>
        <s v="Secretaria"/>
        <s v="Niñera"/>
        <s v="Servicios domésticos"/>
        <s v="Key Account Manager"/>
        <s v="Gerente financiero y administrativo"/>
        <s v="Administrador de  finca"/>
        <s v="Operaria de Aseo"/>
        <s v="Administradora"/>
        <s v="Auxiliar de mantenimiento"/>
        <s v="Técnico plomero"/>
        <s v="Monitora"/>
        <s v="Directora comercial"/>
        <s v="Coordinadora de producción "/>
        <s v="Cotizador"/>
        <s v="Servicios varios"/>
        <s v="Asistente de Calidades y Administrativa"/>
        <s v="Auxiliar de información "/>
        <s v="Asociado junior"/>
        <s v="Analista de Datos"/>
        <s v="Asistente Adminsitrativa"/>
        <s v="Trasnferencista"/>
        <s v="Auxiliar de Cocina "/>
        <s v="Servicio"/>
        <s v="Lider de Compras" u="1"/>
        <s v="Oficios varios " u="1"/>
        <s v="Administrador Finca" u="1"/>
        <s v="Apoyo a talento humano" u="1"/>
        <s v="Auxiliar Cocina" u="1"/>
        <s v="AUXILIAR DE CARGUE Y DESCARGUE" u="1"/>
        <s v="CONDUCTOR Y AUXILIAR DE CARGUE Y DESCARGUE" u="1"/>
        <s v="GESTOR DE PROYECTOS" u="1"/>
        <s v="Productora" u="1"/>
      </sharedItems>
    </cacheField>
    <cacheField name="Centro de Costos" numFmtId="0">
      <sharedItems containsBlank="1"/>
    </cacheField>
    <cacheField name="EPS" numFmtId="0">
      <sharedItems containsBlank="1"/>
    </cacheField>
    <cacheField name="Pensiones" numFmtId="0">
      <sharedItems containsBlank="1"/>
    </cacheField>
    <cacheField name="Cesantias" numFmtId="0">
      <sharedItems containsBlank="1"/>
    </cacheField>
    <cacheField name="Empleador" numFmtId="0">
      <sharedItems containsBlank="1" count="36">
        <s v="Inversora Fercementos S.A.S."/>
        <s v="Magda Ines Montoya Naranjo"/>
        <s v="MOEMPA S.A.S."/>
        <s v="Valencia Echeverry S.A.S."/>
        <s v="Inversora II MEP S.A.S."/>
        <s v="Ivan Gutierrez Velez"/>
        <s v="Gregorio Gutierrez"/>
        <s v="Ameragrubs S.A.S."/>
        <s v="Juan Gabriel Gómez Hoyos"/>
        <s v="Agencia Alquimia S.A.S."/>
        <s v="Grupo Gacama S.A.S."/>
        <s v="HEYDAY GROUP S.A.S"/>
        <s v="Maria del Mar Gutierrez Gonzalez"/>
        <s v="El Solar AXM S.A.S."/>
        <s v="Lederer Group S.A.S."/>
        <s v="Corporación Vaqueros Quindio"/>
        <s v="Gómez Valencia S.A.S."/>
        <s v="Supertintas y Suministros  S.A.S."/>
        <s v="Valentina Roa"/>
        <s v="Moempa Servicios S.A.S"/>
        <s v="La Terreza de la Cava "/>
        <s v="María José Aristizábal Rincón "/>
        <s v="Palta Eco S.A.S."/>
        <s v="Luis Alfonso Gonzalez"/>
        <s v="Marien Agudelo Ramirez "/>
        <s v="Carissa Saffon"/>
        <s v="Zebra Groups S.A.S"/>
        <s v="Natgreen Internacional"/>
        <m/>
        <s v="Agronegocios Santa Clara "/>
        <s v="Natalia Montoya Moreno"/>
        <s v="Gloria Helena López "/>
        <s v="Mocawa Plaza "/>
        <s v="Qima Cofee Colombia S.A.S."/>
        <s v="Edificio Clínica Central del Quindío"/>
        <s v="Mocawa Plaza Ph" u="1"/>
      </sharedItems>
    </cacheField>
    <cacheField name="Género" numFmtId="0">
      <sharedItems containsBlank="1"/>
    </cacheField>
    <cacheField name="Clasificación personal" numFmtId="0">
      <sharedItems containsBlank="1"/>
    </cacheField>
    <cacheField name="Auxilio no contitutivo de salario" numFmtId="0">
      <sharedItems containsBlank="1"/>
    </cacheField>
    <cacheField name="Monto auxilio no constitutivo de salario" numFmtId="165">
      <sharedItems containsBlank="1" containsMixedTypes="1" containsNumber="1" containsInteger="1" minValue="12800" maxValue="29000000"/>
    </cacheField>
    <cacheField name="Desea afiliar a beneficiarios Si/no" numFmtId="0">
      <sharedItems containsBlank="1"/>
    </cacheField>
    <cacheField name="Padres,  conyuge o compañero permanente y hijos" numFmtId="0">
      <sharedItems containsBlank="1"/>
    </cacheField>
    <cacheField name="Anexos EPS:" numFmtId="0">
      <sharedItems containsBlank="1"/>
    </cacheField>
    <cacheField name="Desea afiliar a beneficiarios si/no " numFmtId="0">
      <sharedItems containsBlank="1"/>
    </cacheField>
    <cacheField name="Padres,  conyuge o compañero permanente y hijos2" numFmtId="0">
      <sharedItems containsBlank="1"/>
    </cacheField>
    <cacheField name="Anexos CCF:" numFmtId="0">
      <sharedItems containsBlank="1"/>
    </cacheField>
    <cacheField name="Fecha de retiro" numFmtId="167">
      <sharedItems containsNonDate="0" containsDate="1" containsString="0" containsBlank="1" minDate="2023-01-01T00:00:00" maxDate="2025-01-01T00:00:00" count="75">
        <m/>
        <d v="2024-02-21T00:00:00"/>
        <d v="2024-01-15T00:00:00"/>
        <d v="2023-12-30T00:00:00"/>
        <d v="2024-01-31T00:00:00"/>
        <d v="2023-10-20T00:00:00"/>
        <d v="2024-03-27T00:00:00"/>
        <d v="2024-03-30T00:00:00"/>
        <d v="2023-12-23T00:00:00"/>
        <d v="2024-03-23T00:00:00"/>
        <d v="2024-01-21T00:00:00"/>
        <d v="2024-03-13T00:00:00"/>
        <d v="2023-11-26T00:00:00"/>
        <d v="2024-01-05T00:00:00"/>
        <d v="2023-11-30T00:00:00"/>
        <d v="2023-07-22T00:00:00"/>
        <d v="2024-02-10T00:00:00"/>
        <d v="2023-12-31T00:00:00"/>
        <d v="2024-02-16T00:00:00"/>
        <d v="2024-03-15T00:00:00"/>
        <d v="2023-10-14T00:00:00"/>
        <d v="2023-10-03T00:00:00"/>
        <d v="2023-09-16T00:00:00"/>
        <d v="2024-02-29T00:00:00"/>
        <d v="2023-07-29T00:00:00"/>
        <d v="2023-08-09T00:00:00"/>
        <d v="2023-11-02T00:00:00"/>
        <d v="2023-10-06T00:00:00"/>
        <d v="2023-11-09T00:00:00"/>
        <d v="2023-09-19T00:00:00"/>
        <d v="2023-08-26T00:00:00"/>
        <d v="2024-01-29T00:00:00"/>
        <d v="2023-10-08T00:00:00"/>
        <d v="2023-09-28T00:00:00"/>
        <d v="2023-08-25T00:00:00"/>
        <d v="2023-08-16T00:00:00"/>
        <d v="2023-08-08T00:00:00"/>
        <d v="2023-09-20T00:00:00"/>
        <d v="2023-08-23T00:00:00"/>
        <d v="2023-08-15T00:00:00"/>
        <d v="2023-09-02T00:00:00"/>
        <d v="2023-11-12T00:00:00"/>
        <d v="2023-09-21T00:00:00"/>
        <d v="2023-09-15T00:00:00"/>
        <d v="2023-09-30T00:00:00"/>
        <d v="2023-01-01T00:00:00"/>
        <d v="2023-11-08T00:00:00"/>
        <d v="2023-10-05T00:00:00"/>
        <d v="2024-01-20T00:00:00"/>
        <d v="2023-11-07T00:00:00"/>
        <d v="2024-01-07T00:00:00"/>
        <d v="2023-10-21T00:00:00"/>
        <d v="2024-01-16T00:00:00"/>
        <d v="2023-12-15T00:00:00"/>
        <d v="2023-12-22T00:00:00"/>
        <d v="2024-01-17T00:00:00"/>
        <d v="2024-03-10T00:00:00"/>
        <d v="2024-02-24T00:00:00"/>
        <d v="2023-12-14T00:00:00"/>
        <d v="2024-04-01T00:00:00"/>
        <d v="2023-12-11T00:00:00"/>
        <d v="2024-01-30T00:00:00"/>
        <d v="2024-01-08T00:00:00"/>
        <d v="2024-01-13T00:00:00"/>
        <d v="2024-03-04T00:00:00"/>
        <d v="2024-02-19T00:00:00"/>
        <d v="2024-02-20T00:00:00"/>
        <d v="2023-02-28T00:00:00"/>
        <d v="2024-03-29T00:00:00"/>
        <d v="2024-03-02T00:00:00"/>
        <d v="2024-01-12T00:00:00"/>
        <d v="2024-03-05T00:00:00"/>
        <d v="2024-02-09T00:00:00"/>
        <d v="2024-01-26T00:00:00" u="1"/>
        <d v="2024-12-31T00:00:00" u="1"/>
      </sharedItems>
      <fieldGroup par="56"/>
    </cacheField>
    <cacheField name="Causal de terminación" numFmtId="0">
      <sharedItems containsBlank="1"/>
    </cacheField>
    <cacheField name="Motivo de retiro" numFmtId="0">
      <sharedItems containsBlank="1"/>
    </cacheField>
    <cacheField name="Recomendado" numFmtId="0">
      <sharedItems containsBlank="1"/>
    </cacheField>
    <cacheField name="Status" numFmtId="0">
      <sharedItems containsBlank="1" count="5">
        <s v="Activo"/>
        <s v="Inactivo"/>
        <m/>
        <s v=""/>
        <e v="#REF!" u="1"/>
      </sharedItems>
    </cacheField>
    <cacheField name="Antigüedad" numFmtId="0">
      <sharedItems containsBlank="1" containsMixedTypes="1" containsNumber="1" containsInteger="1" minValue="-253" maxValue="45386"/>
    </cacheField>
    <cacheField name="Edad" numFmtId="1">
      <sharedItems containsBlank="1" containsMixedTypes="1" containsNumber="1" minValue="18.130555555555556" maxValue="76.99722222222222"/>
    </cacheField>
    <cacheField name="Meses (Fecha de Contratación (dd/mm/yyyy)*)" numFmtId="0" databaseField="0">
      <fieldGroup base="7">
        <rangePr groupBy="months" startDate="1973-08-17T00:00:00" endDate="2024-04-02T00:00:00"/>
        <groupItems count="14">
          <s v="&lt;17/08/1973"/>
          <s v="ene"/>
          <s v="feb"/>
          <s v="mar"/>
          <s v="abr"/>
          <s v="may"/>
          <s v="jun"/>
          <s v="jul"/>
          <s v="ago"/>
          <s v="sep"/>
          <s v="oct"/>
          <s v="nov"/>
          <s v="dic"/>
          <s v="&gt;2/04/2024"/>
        </groupItems>
      </fieldGroup>
    </cacheField>
    <cacheField name="Trimestres (Fecha de Contratación (dd/mm/yyyy)*)" numFmtId="0" databaseField="0">
      <fieldGroup base="7">
        <rangePr groupBy="quarters" startDate="1973-08-17T00:00:00" endDate="2024-04-02T00:00:00"/>
        <groupItems count="6">
          <s v="&lt;17/08/1973"/>
          <s v="Trim.1"/>
          <s v="Trim.2"/>
          <s v="Trim.3"/>
          <s v="Trim.4"/>
          <s v="&gt;2/04/2024"/>
        </groupItems>
      </fieldGroup>
    </cacheField>
    <cacheField name="Años (Fecha de Contratación (dd/mm/yyyy)*)" numFmtId="0" databaseField="0">
      <fieldGroup base="7">
        <rangePr groupBy="years" startDate="1973-08-17T00:00:00" endDate="2024-04-02T00:00:00"/>
        <groupItems count="54">
          <s v="&lt;17/08/1973"/>
          <s v="1973"/>
          <s v="1974"/>
          <s v="1975"/>
          <s v="1976"/>
          <s v="1977"/>
          <s v="1978"/>
          <s v="1979"/>
          <s v="1980"/>
          <s v="1981"/>
          <s v="1982"/>
          <s v="1983"/>
          <s v="1984"/>
          <s v="1985"/>
          <s v="1986"/>
          <s v="1987"/>
          <s v="1988"/>
          <s v="1989"/>
          <s v="1990"/>
          <s v="1991"/>
          <s v="1992"/>
          <s v="1993"/>
          <s v="1994"/>
          <s v="1995"/>
          <s v="1996"/>
          <s v="1997"/>
          <s v="1998"/>
          <s v="1999"/>
          <s v="2000"/>
          <s v="2001"/>
          <s v="2002"/>
          <s v="2003"/>
          <s v="2004"/>
          <s v="2005"/>
          <s v="2006"/>
          <s v="2007"/>
          <s v="2008"/>
          <s v="2009"/>
          <s v="2010"/>
          <s v="2011"/>
          <s v="2012"/>
          <s v="2013"/>
          <s v="2014"/>
          <s v="2015"/>
          <s v="2016"/>
          <s v="2017"/>
          <s v="2018"/>
          <s v="2019"/>
          <s v="2020"/>
          <s v="2021"/>
          <s v="2022"/>
          <s v="2023"/>
          <s v="2024"/>
          <s v="&gt;2/04/2024"/>
        </groupItems>
      </fieldGroup>
    </cacheField>
    <cacheField name="Meses (Fecha Nacimento (dd/mm/yyyy))" numFmtId="0" databaseField="0">
      <fieldGroup base="20">
        <rangePr groupBy="months" startDate="1947-04-05T00:00:00" endDate="2006-02-18T00:00:00"/>
        <groupItems count="14">
          <s v="&lt;5/04/1947"/>
          <s v="ene"/>
          <s v="feb"/>
          <s v="mar"/>
          <s v="abr"/>
          <s v="may"/>
          <s v="jun"/>
          <s v="jul"/>
          <s v="ago"/>
          <s v="sep"/>
          <s v="oct"/>
          <s v="nov"/>
          <s v="dic"/>
          <s v="&gt;18/02/2006"/>
        </groupItems>
      </fieldGroup>
    </cacheField>
    <cacheField name="Trimestres (Fecha Nacimento (dd/mm/yyyy))" numFmtId="0" databaseField="0">
      <fieldGroup base="20">
        <rangePr groupBy="quarters" startDate="1947-04-05T00:00:00" endDate="2006-02-18T00:00:00"/>
        <groupItems count="6">
          <s v="&lt;5/04/1947"/>
          <s v="Trim.1"/>
          <s v="Trim.2"/>
          <s v="Trim.3"/>
          <s v="Trim.4"/>
          <s v="&gt;18/02/2006"/>
        </groupItems>
      </fieldGroup>
    </cacheField>
    <cacheField name="Años (Fecha Nacimento (dd/mm/yyyy))" numFmtId="0" databaseField="0">
      <fieldGroup base="20">
        <rangePr groupBy="years" startDate="1947-04-05T00:00:00" endDate="2006-02-18T00:00:00"/>
        <groupItems count="62">
          <s v="&lt;5/04/1947"/>
          <s v="1947"/>
          <s v="1948"/>
          <s v="1949"/>
          <s v="1950"/>
          <s v="1951"/>
          <s v="1952"/>
          <s v="1953"/>
          <s v="1954"/>
          <s v="1955"/>
          <s v="1956"/>
          <s v="1957"/>
          <s v="1958"/>
          <s v="1959"/>
          <s v="1960"/>
          <s v="1961"/>
          <s v="1962"/>
          <s v="1963"/>
          <s v="1964"/>
          <s v="1965"/>
          <s v="1966"/>
          <s v="1967"/>
          <s v="1968"/>
          <s v="1969"/>
          <s v="1970"/>
          <s v="1971"/>
          <s v="1972"/>
          <s v="1973"/>
          <s v="1974"/>
          <s v="1975"/>
          <s v="1976"/>
          <s v="1977"/>
          <s v="1978"/>
          <s v="1979"/>
          <s v="1980"/>
          <s v="1981"/>
          <s v="1982"/>
          <s v="1983"/>
          <s v="1984"/>
          <s v="1985"/>
          <s v="1986"/>
          <s v="1987"/>
          <s v="1988"/>
          <s v="1989"/>
          <s v="1990"/>
          <s v="1991"/>
          <s v="1992"/>
          <s v="1993"/>
          <s v="1994"/>
          <s v="1995"/>
          <s v="1996"/>
          <s v="1997"/>
          <s v="1998"/>
          <s v="1999"/>
          <s v="2000"/>
          <s v="2001"/>
          <s v="2002"/>
          <s v="2003"/>
          <s v="2004"/>
          <s v="2005"/>
          <s v="2006"/>
          <s v="&gt;18/02/2006"/>
        </groupItems>
      </fieldGroup>
    </cacheField>
    <cacheField name="Meses (Fecha de retiro)" numFmtId="0" databaseField="0">
      <fieldGroup base="41">
        <rangePr groupBy="months" startDate="2023-01-01T00:00:00" endDate="2024-04-02T00:00:00"/>
        <groupItems count="14">
          <s v="&lt;1/01/2023"/>
          <s v="ene"/>
          <s v="feb"/>
          <s v="mar"/>
          <s v="abr"/>
          <s v="may"/>
          <s v="jun"/>
          <s v="jul"/>
          <s v="ago"/>
          <s v="sep"/>
          <s v="oct"/>
          <s v="nov"/>
          <s v="dic"/>
          <s v="&gt;2/04/2024"/>
        </groupItems>
      </fieldGroup>
    </cacheField>
    <cacheField name="Trimestres (Fecha de retiro)" numFmtId="0" databaseField="0">
      <fieldGroup base="41">
        <rangePr groupBy="quarters" startDate="2023-01-01T00:00:00" endDate="2024-04-02T00:00:00"/>
        <groupItems count="6">
          <s v="&lt;1/01/2023"/>
          <s v="Trim.1"/>
          <s v="Trim.2"/>
          <s v="Trim.3"/>
          <s v="Trim.4"/>
          <s v="&gt;2/04/2024"/>
        </groupItems>
      </fieldGroup>
    </cacheField>
    <cacheField name="Años (Fecha de retiro)" numFmtId="0" databaseField="0">
      <fieldGroup base="41">
        <rangePr groupBy="years" startDate="2023-01-01T00:00:00" endDate="2024-04-02T00:00:00"/>
        <groupItems count="4">
          <s v="&lt;1/01/2023"/>
          <s v="2023"/>
          <s v="2024"/>
          <s v="&gt;2/04/2024"/>
        </groupItems>
      </fieldGroup>
    </cacheField>
  </cacheFields>
  <extLst>
    <ext xmlns:x14="http://schemas.microsoft.com/office/spreadsheetml/2009/9/main" uri="{725AE2AE-9491-48be-B2B4-4EB974FC3084}">
      <x14:pivotCacheDefinition pivotCacheId="101400815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41">
  <r>
    <n v="1"/>
    <x v="0"/>
    <s v="Londoño Duque"/>
    <s v="Cédula de ciudadanía"/>
    <n v="41919308"/>
    <s v="Empleado"/>
    <s v="Término indefinido"/>
    <x v="0"/>
    <m/>
    <s v="Mensual"/>
    <n v="2600000"/>
    <s v="Si"/>
    <s v="Centro de trabajo Riesgo 4"/>
    <m/>
    <s v="gemelitas0519@hotmail.com"/>
    <m/>
    <s v="Transferencia Bancaria"/>
    <s v="Bancolombia"/>
    <s v="Cuenta de Ahorros"/>
    <s v="72471408561"/>
    <x v="0"/>
    <s v="CALLE 23 A NORTE #19-47"/>
    <s v="3104237424"/>
    <s v="Armenia"/>
    <s v="Administrativa"/>
    <x v="0"/>
    <s v="Armenia Administrativo"/>
    <s v="EPS Sura"/>
    <s v="Colpensiones"/>
    <s v="Porvenir"/>
    <x v="0"/>
    <s v="Mujer"/>
    <s v="dirección, confianza y/o manejo"/>
    <s v="No"/>
    <m/>
    <m/>
    <m/>
    <m/>
    <m/>
    <m/>
    <m/>
    <x v="0"/>
    <m/>
    <m/>
    <m/>
    <x v="0"/>
    <n v="8856"/>
    <n v="54.427777777777777"/>
  </r>
  <r>
    <n v="2"/>
    <x v="1"/>
    <s v="Garcia Arcila"/>
    <s v="Cédula de ciudadanía"/>
    <n v="9726182"/>
    <s v="Empleado"/>
    <s v="Término indefinido"/>
    <x v="1"/>
    <m/>
    <s v="Mensual"/>
    <n v="1300000"/>
    <s v="Si"/>
    <s v="Centro de trabajo Riesgo 4"/>
    <m/>
    <s v="solerandres1086@gmail.com"/>
    <m/>
    <s v="Transferencia Bancaria"/>
    <s v="Banco Davivienda"/>
    <s v="Cuenta de Ahorros"/>
    <s v="488414223740"/>
    <x v="1"/>
    <s v="CR 17 # 2-30"/>
    <s v="3103885658"/>
    <s v="Armenia"/>
    <s v="Operativa"/>
    <x v="1"/>
    <s v="Operativo"/>
    <s v="Nueva EPS"/>
    <s v="Colpensiones"/>
    <s v="Porvenir"/>
    <x v="0"/>
    <s v="Hombre"/>
    <s v="ordinario"/>
    <s v="No"/>
    <m/>
    <m/>
    <m/>
    <m/>
    <m/>
    <m/>
    <m/>
    <x v="0"/>
    <m/>
    <m/>
    <m/>
    <x v="0"/>
    <n v="7764"/>
    <n v="43.469444444444441"/>
  </r>
  <r>
    <n v="3"/>
    <x v="2"/>
    <s v="Gomez Urrea"/>
    <s v="Cédula de ciudadanía"/>
    <n v="7539559"/>
    <s v="Empleado"/>
    <s v="Término indefinido"/>
    <x v="2"/>
    <m/>
    <s v="Mensual"/>
    <n v="1300000"/>
    <s v="Si"/>
    <s v="Centro de trabajo Riesgo 4"/>
    <m/>
    <s v="gcaliche587@gmail.com"/>
    <m/>
    <s v="Transferencia Bancaria"/>
    <s v="Banco Davivienda"/>
    <s v="Cuenta de Ahorros"/>
    <s v="550488432995667"/>
    <x v="2"/>
    <s v="BR QUINTA DE LOS ANDES MZ 1 5B"/>
    <s v="3226770395"/>
    <s v="Armenia"/>
    <s v="Mensajeria"/>
    <x v="2"/>
    <s v="Operativo"/>
    <s v="Salud Total"/>
    <s v="Colpensiones"/>
    <s v="Porvenir"/>
    <x v="0"/>
    <s v="Hombre"/>
    <s v="ordinario"/>
    <s v="No"/>
    <m/>
    <m/>
    <m/>
    <m/>
    <m/>
    <m/>
    <m/>
    <x v="0"/>
    <m/>
    <m/>
    <m/>
    <x v="0"/>
    <n v="6244"/>
    <n v="61.613888888888887"/>
  </r>
  <r>
    <n v="4"/>
    <x v="3"/>
    <s v="Rios Garcia"/>
    <s v="Cédula de ciudadanía"/>
    <n v="70414396"/>
    <s v="Empleado"/>
    <s v="Término indefinido"/>
    <x v="3"/>
    <m/>
    <s v="Mensual"/>
    <n v="1300000"/>
    <s v="Si"/>
    <s v="Centro de trabajo Riesgo 4"/>
    <m/>
    <s v="julioriosgarcia1964@gmail.com"/>
    <m/>
    <s v="Transferencia Bancaria"/>
    <s v="Banco Davivienda"/>
    <s v="Cuenta de Ahorros"/>
    <s v="488432986641"/>
    <x v="3"/>
    <s v="B. BELENCITO Mz I # 26"/>
    <s v="3104178627"/>
    <s v="Armenia"/>
    <s v="Operativa"/>
    <x v="3"/>
    <s v="Operativo"/>
    <s v="Nueva EPS"/>
    <s v="Colpensiones"/>
    <s v="Porvenir"/>
    <x v="0"/>
    <s v="Hombre"/>
    <s v="ordinario"/>
    <s v="No"/>
    <m/>
    <m/>
    <m/>
    <m/>
    <m/>
    <m/>
    <m/>
    <x v="0"/>
    <m/>
    <m/>
    <m/>
    <x v="0"/>
    <n v="5299"/>
    <n v="59.705555555555556"/>
  </r>
  <r>
    <n v="5"/>
    <x v="4"/>
    <s v="Carmona Carmona"/>
    <s v="Cédula de ciudadanía"/>
    <n v="18464811"/>
    <s v="Empleado"/>
    <s v="Término indefinido"/>
    <x v="4"/>
    <m/>
    <s v="Mensual"/>
    <n v="1300000"/>
    <s v="Si"/>
    <s v="Centro de trabajo Riesgo 4"/>
    <m/>
    <s v="carmonacarmonaaleiro@gmail.com"/>
    <m/>
    <s v="Transferencia Bancaria"/>
    <s v="Banco Davivienda"/>
    <s v="Cuenta de Ahorros"/>
    <s v="488432983531"/>
    <x v="4"/>
    <s v="BRR. LA FACHADA  Mz 2 CA4"/>
    <s v="3106124967"/>
    <s v="Armenia"/>
    <s v="Operativa"/>
    <x v="4"/>
    <s v="Operativo"/>
    <s v="Nueva EPS"/>
    <s v="Colpensiones"/>
    <s v="Porvenir"/>
    <x v="0"/>
    <s v="Hombre"/>
    <s v="ordinario"/>
    <s v="No"/>
    <m/>
    <m/>
    <m/>
    <m/>
    <m/>
    <m/>
    <m/>
    <x v="0"/>
    <m/>
    <m/>
    <m/>
    <x v="0"/>
    <n v="4934"/>
    <n v="55.916666666666664"/>
  </r>
  <r>
    <n v="6"/>
    <x v="5"/>
    <s v="Bucuru Rivera"/>
    <s v="Cédula de ciudadanía"/>
    <n v="41945941"/>
    <s v="Empleado"/>
    <s v="Término indefinido"/>
    <x v="5"/>
    <m/>
    <s v="Mensual"/>
    <n v="1300000"/>
    <s v="No"/>
    <s v="Centro de trabajo Riesgo 2"/>
    <m/>
    <s v="adrianabucuru79@gmail.com"/>
    <m/>
    <s v="Efectivo"/>
    <m/>
    <m/>
    <m/>
    <x v="5"/>
    <s v="barrio puerto espejo, ciudadela chilacoa torre 11apt 303"/>
    <s v="3137924856"/>
    <s v="Condominio el eden casa 13"/>
    <s v="Domestico"/>
    <x v="5"/>
    <s v="Mano de Obra Directa"/>
    <s v="S.O.S. Servicio Occidental de Salud S.A."/>
    <s v="Porvenir"/>
    <s v="Porvenir"/>
    <x v="1"/>
    <s v="Mujer"/>
    <s v="ordinario"/>
    <s v="No"/>
    <m/>
    <s v="No"/>
    <s v="No aplica"/>
    <s v="No aplica"/>
    <s v="No"/>
    <s v="No aplica"/>
    <s v="No aplica"/>
    <x v="0"/>
    <m/>
    <m/>
    <m/>
    <x v="0"/>
    <n v="4198"/>
    <n v="45.130555555555553"/>
  </r>
  <r>
    <n v="7"/>
    <x v="6"/>
    <s v="Marin Osorio"/>
    <s v="Cédula de ciudadanía"/>
    <n v="1094892149"/>
    <s v="Empleado"/>
    <s v="Término indefinido"/>
    <x v="6"/>
    <m/>
    <s v="Mensual"/>
    <n v="1310000"/>
    <s v="Si"/>
    <s v="Centro de trabajo Riesgo 2"/>
    <m/>
    <s v=""/>
    <m/>
    <s v="Transferencia Bancaria"/>
    <s v="Bancolombia"/>
    <s v="Cuenta de Ahorros"/>
    <s v="76100001321"/>
    <x v="6"/>
    <s v="FINCA LA ESMERALDA"/>
    <s v="3235226008"/>
    <s v="La Esmeralda"/>
    <s v="Operaciones"/>
    <x v="6"/>
    <s v="Mano de Obra Directa"/>
    <s v="Nueva EPS"/>
    <s v="Colpensiones"/>
    <s v="Porvenir"/>
    <x v="2"/>
    <s v="Hombre"/>
    <s v="ordinario"/>
    <m/>
    <m/>
    <m/>
    <m/>
    <m/>
    <m/>
    <m/>
    <m/>
    <x v="1"/>
    <s v="Terminación sin justa causa"/>
    <m/>
    <m/>
    <x v="1"/>
    <n v="2143"/>
    <n v="37.533333333333331"/>
  </r>
  <r>
    <n v="8"/>
    <x v="7"/>
    <s v="Romero Garzon"/>
    <s v="Cédula de ciudadanía"/>
    <n v="94230001"/>
    <s v="Empleado"/>
    <s v="Término indefinido"/>
    <x v="7"/>
    <m/>
    <s v="Mensual"/>
    <n v="1390000"/>
    <s v="Si"/>
    <s v="Centro de trabajo Riesgo 2 "/>
    <m/>
    <s v=""/>
    <m/>
    <s v="Transferencia Bancaria"/>
    <s v="Bancolombia"/>
    <s v="Cuenta de Ahorros"/>
    <s v="76100001311"/>
    <x v="7"/>
    <s v="CORREGIMIENTO QUEBRADANUEVA FINCA LA DUQUESA"/>
    <s v="3128141672"/>
    <s v="La Duquesa"/>
    <s v="Operaciones"/>
    <x v="7"/>
    <s v="Mano de Obra Directa"/>
    <s v="Emssanar"/>
    <s v="Colpensiones"/>
    <s v="Porvenir"/>
    <x v="2"/>
    <s v="Hombre"/>
    <s v="ordinario"/>
    <m/>
    <m/>
    <m/>
    <m/>
    <m/>
    <m/>
    <m/>
    <m/>
    <x v="2"/>
    <s v="Terminación por mutuo acuerdo"/>
    <s v="Reestructuración empresarial"/>
    <m/>
    <x v="1"/>
    <n v="1809"/>
    <n v="48.861111111111114"/>
  </r>
  <r>
    <n v="9"/>
    <x v="8"/>
    <s v="Zapata"/>
    <s v="Cédula de ciudadanía"/>
    <n v="2699896"/>
    <s v="Empleado"/>
    <s v="Término indefinido"/>
    <x v="7"/>
    <m/>
    <s v="Mensual"/>
    <n v="1300000"/>
    <s v="Si"/>
    <s v="Centro de trabajo Riesgo 2 "/>
    <m/>
    <s v=""/>
    <m/>
    <s v="Transferencia Bancaria"/>
    <s v="Bancolombia"/>
    <s v="Cuenta de Ahorros"/>
    <s v="06956182423"/>
    <x v="8"/>
    <s v="CORREGIMIENTO QUEBRADANUEVA"/>
    <s v="3142617312"/>
    <s v="La Duquesa"/>
    <s v="Operaciones"/>
    <x v="6"/>
    <s v="Mano de Obra Directa"/>
    <s v="Emssanar"/>
    <s v="Porvenir"/>
    <s v="Porvenir"/>
    <x v="2"/>
    <s v="Hombre"/>
    <s v="ordinario"/>
    <m/>
    <m/>
    <m/>
    <m/>
    <m/>
    <m/>
    <m/>
    <m/>
    <x v="2"/>
    <s v="Terminación por mutuo acuerdo"/>
    <s v="Reestructuración empresarial"/>
    <m/>
    <x v="1"/>
    <n v="1809"/>
    <n v="48.802777777777777"/>
  </r>
  <r>
    <n v="10"/>
    <x v="9"/>
    <s v="Orozco Sarria"/>
    <s v="Cédula de ciudadanía"/>
    <n v="6423539"/>
    <s v="Empleado"/>
    <s v="Término indefinido"/>
    <x v="7"/>
    <m/>
    <s v="Mensual"/>
    <n v="1300000"/>
    <s v="Si"/>
    <s v="Centro de trabajo Riesgo 2 "/>
    <m/>
    <s v=""/>
    <m/>
    <s v="Transferencia Bancaria"/>
    <s v="Bancolombia"/>
    <s v="Cuenta de Ahorros"/>
    <s v="76100001312"/>
    <x v="9"/>
    <s v="CORREGIMIENTO QUEBRADANUEVA"/>
    <s v="3226372860"/>
    <s v="La Duquesa"/>
    <s v="Operaciones"/>
    <x v="6"/>
    <s v="Mano de Obra Directa"/>
    <s v="Emssanar"/>
    <s v="Colpensiones"/>
    <s v="Porvenir"/>
    <x v="2"/>
    <s v="Hombre"/>
    <s v="ordinario"/>
    <m/>
    <m/>
    <m/>
    <m/>
    <m/>
    <m/>
    <m/>
    <m/>
    <x v="2"/>
    <s v="Terminación por mutuo acuerdo"/>
    <s v="Reestructuración empresarial"/>
    <m/>
    <x v="1"/>
    <n v="1809"/>
    <n v="54.68333333333333"/>
  </r>
  <r>
    <n v="11"/>
    <x v="10"/>
    <s v="Zapata Betancourt"/>
    <s v="Cédula de ciudadanía"/>
    <n v="2699711"/>
    <s v="Empleado"/>
    <s v="Término indefinido"/>
    <x v="7"/>
    <m/>
    <s v="Mensual"/>
    <n v="1300000"/>
    <s v="Si"/>
    <s v="Centro de trabajo Riesgo 2 "/>
    <m/>
    <s v=""/>
    <m/>
    <s v="Transferencia Bancaria"/>
    <s v="Bancolombia"/>
    <s v="Cuenta de Ahorros"/>
    <s v="76100001314"/>
    <x v="10"/>
    <s v="CORREGIMIENTO QUEBRADANUEVA FINCA LA DUQUESA"/>
    <s v="3202607926"/>
    <s v="La Duquesa"/>
    <s v="Operaciones"/>
    <x v="6"/>
    <s v="Mano de Obra Directa"/>
    <s v="Nueva EPS"/>
    <s v="Colpensiones"/>
    <s v="Porvenir"/>
    <x v="2"/>
    <s v="Hombre"/>
    <s v="ordinario"/>
    <m/>
    <m/>
    <m/>
    <m/>
    <m/>
    <m/>
    <m/>
    <m/>
    <x v="2"/>
    <s v="Terminación por mutuo acuerdo"/>
    <s v="Reestructuración empresarial"/>
    <m/>
    <x v="1"/>
    <n v="1809"/>
    <n v="62.427777777777777"/>
  </r>
  <r>
    <n v="12"/>
    <x v="11"/>
    <s v="Ocampo Ocampo"/>
    <s v="Cédula de ciudadanía"/>
    <n v="2699672"/>
    <s v="Empleado"/>
    <s v="Término indefinido"/>
    <x v="7"/>
    <m/>
    <s v="Mensual"/>
    <n v="1300000"/>
    <s v="Si"/>
    <s v="Centro de trabajo Riesgo 2 "/>
    <m/>
    <s v=""/>
    <m/>
    <s v="Transferencia Bancaria"/>
    <s v="Bancolombia"/>
    <s v="Cuenta de Ahorros"/>
    <s v="76100001317"/>
    <x v="11"/>
    <s v="CORREGIMIENTO QUEBRADANUEVA"/>
    <s v="3148556796"/>
    <s v="La Duquesa"/>
    <s v="Operaciones"/>
    <x v="6"/>
    <s v="Mano de Obra Directa"/>
    <s v="Nueva EPS"/>
    <s v="Colpensiones"/>
    <s v="Porvenir"/>
    <x v="2"/>
    <s v="Hombre"/>
    <s v="ordinario"/>
    <m/>
    <m/>
    <m/>
    <m/>
    <m/>
    <m/>
    <m/>
    <m/>
    <x v="2"/>
    <s v="Terminación por mutuo acuerdo"/>
    <s v="Reestructuración empresarial"/>
    <m/>
    <x v="1"/>
    <n v="1809"/>
    <n v="68.61666666666666"/>
  </r>
  <r>
    <n v="13"/>
    <x v="12"/>
    <s v="Cortes Sandoval"/>
    <s v="Cédula de ciudadanía"/>
    <n v="1015455080"/>
    <s v="Empleado"/>
    <s v="Término indefinido"/>
    <x v="8"/>
    <m/>
    <s v="Mensual"/>
    <n v="1300000"/>
    <s v="Si"/>
    <s v="Centro de trabajo Riesgo 4"/>
    <m/>
    <s v="cortes.0795@gmail.com"/>
    <m/>
    <s v="Transferencia Bancaria"/>
    <s v="Bancolombia"/>
    <s v="Cuenta de Ahorros"/>
    <s v="10117635720"/>
    <x v="12"/>
    <s v="CALLE 27 NORTE #5-00"/>
    <s v="3142287066"/>
    <s v="Armenia"/>
    <s v="Administrativa"/>
    <x v="8"/>
    <s v="Armenia Administrativo"/>
    <s v="Sanitas"/>
    <s v="Colpensiones"/>
    <s v="Porvenir"/>
    <x v="0"/>
    <s v="Hombre"/>
    <s v="dirección, confianza y/o manejo"/>
    <s v="No"/>
    <m/>
    <m/>
    <m/>
    <m/>
    <m/>
    <m/>
    <m/>
    <x v="0"/>
    <m/>
    <m/>
    <m/>
    <x v="0"/>
    <n v="1870"/>
    <n v="28.747222222222224"/>
  </r>
  <r>
    <n v="14"/>
    <x v="13"/>
    <s v="Echeverry Palacio"/>
    <s v="Cédula de ciudadanía"/>
    <n v="41915946"/>
    <s v="Empleado"/>
    <s v="Término indefinido"/>
    <x v="9"/>
    <m/>
    <s v="Mensual"/>
    <n v="4200000"/>
    <s v="No"/>
    <s v="Centro de trabajo Riesgo 1"/>
    <s v="Si"/>
    <s v="restaurante-elsolar@hotmail.com"/>
    <m/>
    <s v="Transferencia Bancaria"/>
    <s v="Bancolombia"/>
    <s v="Cuenta Corriente"/>
    <s v="86767577735"/>
    <x v="13"/>
    <s v="   KM 1 VIA A PEREIRA"/>
    <s v="3174288901"/>
    <s v="Restaurante El Solar"/>
    <s v="Gerencia"/>
    <x v="9"/>
    <s v="Mano de Obra Directa"/>
    <s v="EPS Sura"/>
    <s v="Protección"/>
    <s v="Protección"/>
    <x v="3"/>
    <s v="Mujer"/>
    <s v="dirección, confianza y/o manejo"/>
    <s v="Si"/>
    <n v="2800000"/>
    <s v="No"/>
    <s v="No aplica"/>
    <s v="No aplica"/>
    <s v="No"/>
    <s v="No aplica"/>
    <s v="No"/>
    <x v="0"/>
    <m/>
    <m/>
    <m/>
    <x v="0"/>
    <n v="1800"/>
    <n v="55.130555555555553"/>
  </r>
  <r>
    <n v="15"/>
    <x v="14"/>
    <s v="Quintero Garcia"/>
    <s v="Cédula de ciudadanía"/>
    <n v="2699801"/>
    <s v="Empleado"/>
    <s v="Término indefinido"/>
    <x v="10"/>
    <m/>
    <s v="Mensual"/>
    <n v="1300000"/>
    <s v="Si"/>
    <s v="Centro de trabajo Riesgo 2 "/>
    <m/>
    <s v=""/>
    <m/>
    <s v="Transferencia Bancaria"/>
    <s v="Bancolombia"/>
    <s v="Cuenta de Ahorros"/>
    <s v="76100001312"/>
    <x v="14"/>
    <s v="FINCA LA ESMERALDA"/>
    <s v="3136540385"/>
    <s v="La Duquesa"/>
    <s v="Operaciones"/>
    <x v="6"/>
    <s v="Mano de Obra Directa"/>
    <s v="Nueva EPS"/>
    <s v="Colpensiones"/>
    <s v="Protección"/>
    <x v="2"/>
    <s v="Hombre"/>
    <s v="ordinario"/>
    <m/>
    <m/>
    <m/>
    <m/>
    <m/>
    <m/>
    <m/>
    <m/>
    <x v="2"/>
    <s v="Terminación por mutuo acuerdo"/>
    <s v="Reestructuración empresarial"/>
    <m/>
    <x v="1"/>
    <n v="1687"/>
    <n v="56.194444444444443"/>
  </r>
  <r>
    <n v="16"/>
    <x v="15"/>
    <s v="Garcia Henao"/>
    <s v="Cédula de ciudadanía"/>
    <n v="41926205"/>
    <s v="Empleado"/>
    <s v="Término indefinido"/>
    <x v="11"/>
    <m/>
    <s v="Mensual"/>
    <n v="4573184"/>
    <s v="No"/>
    <s v="Centro de trabajo Riesgo 4"/>
    <m/>
    <s v="dlgh2013@hotmail.com"/>
    <m/>
    <s v="Transferencia Bancaria"/>
    <s v="Banco Davivienda"/>
    <s v="Cuenta de Ahorros"/>
    <s v="086541570"/>
    <x v="15"/>
    <s v="BRR RECREO MZ G # 26"/>
    <s v="3125535183"/>
    <s v="Armenia"/>
    <s v="Administrativa"/>
    <x v="10"/>
    <s v="Armenia Administrativo"/>
    <s v="Sanitas"/>
    <s v="Colpensiones"/>
    <s v="Porvenir"/>
    <x v="0"/>
    <s v="Mujer"/>
    <s v="dirección, confianza y/o manejo"/>
    <s v="No"/>
    <m/>
    <m/>
    <m/>
    <m/>
    <m/>
    <m/>
    <m/>
    <x v="0"/>
    <m/>
    <m/>
    <m/>
    <x v="0"/>
    <n v="1616"/>
    <n v="51.338888888888889"/>
  </r>
  <r>
    <n v="17"/>
    <x v="16"/>
    <s v="Garcia Londoño"/>
    <s v="Cédula de ciudadanía"/>
    <n v="1094951931"/>
    <s v="Empleado"/>
    <s v="Término indefinido"/>
    <x v="12"/>
    <m/>
    <s v="Mensual"/>
    <n v="1300000"/>
    <s v="Si"/>
    <s v="Centro de trabajo Riesgo 4"/>
    <m/>
    <s v="luigarcialon1905@gmail.com"/>
    <m/>
    <s v="Transferencia Bancaria"/>
    <s v="Bancolombia"/>
    <s v="Cuenta de Ahorros"/>
    <s v="72487016588"/>
    <x v="16"/>
    <s v="CALLE 27 NORTE #5-00"/>
    <s v="3122593915"/>
    <s v="Armenia"/>
    <s v="Administrativa"/>
    <x v="11"/>
    <s v="Armenia Administrativo"/>
    <s v="EPS Sura"/>
    <s v="Colpensiones"/>
    <s v="Porvenir"/>
    <x v="0"/>
    <s v="Mujer"/>
    <s v="dirección, confianza y/o manejo"/>
    <s v="No"/>
    <m/>
    <m/>
    <m/>
    <m/>
    <m/>
    <m/>
    <m/>
    <x v="0"/>
    <m/>
    <m/>
    <m/>
    <x v="0"/>
    <n v="1373"/>
    <n v="28.875"/>
  </r>
  <r>
    <n v="18"/>
    <x v="17"/>
    <s v="Garcia Londoño"/>
    <s v="Cédula de ciudadanía"/>
    <n v="1094951932"/>
    <s v="Empleado"/>
    <s v="Término indefinido"/>
    <x v="12"/>
    <m/>
    <s v="Mensual"/>
    <n v="1300000"/>
    <s v="Si"/>
    <s v="Centro de trabajo Riesgo 4"/>
    <m/>
    <s v="malegarcia-19@hotmail.com"/>
    <m/>
    <s v="Transferencia Bancaria"/>
    <s v="Bancolombia"/>
    <s v="Cuenta de Ahorros"/>
    <s v="72487016595"/>
    <x v="16"/>
    <s v="CALLE 31 NORTE #20-80"/>
    <s v="3122593932"/>
    <s v="Armenia"/>
    <s v="Administrativa"/>
    <x v="12"/>
    <s v="Armenia Administrativo"/>
    <s v="EPS Sura"/>
    <s v="Colpensiones"/>
    <s v="Porvenir"/>
    <x v="0"/>
    <s v="Mujer"/>
    <s v="dirección, confianza y/o manejo"/>
    <s v="No"/>
    <m/>
    <m/>
    <m/>
    <m/>
    <m/>
    <m/>
    <m/>
    <x v="0"/>
    <m/>
    <m/>
    <m/>
    <x v="0"/>
    <n v="1373"/>
    <n v="28.875"/>
  </r>
  <r>
    <n v="19"/>
    <x v="2"/>
    <s v="Jaramillo Santacoloma"/>
    <s v="Cédula de ciudadanía"/>
    <n v="89005598"/>
    <s v="Empleado"/>
    <s v="Término indefinido"/>
    <x v="13"/>
    <m/>
    <s v="Integral Mensual"/>
    <n v="16900000"/>
    <s v="No"/>
    <s v="Centro de trabajo Riesgo 1"/>
    <m/>
    <s v="cejsa@hotmail.com"/>
    <m/>
    <s v="Transferencia Bancaria"/>
    <s v="Banco Davivienda"/>
    <s v="Cuenta de Ahorros"/>
    <s v="136000867533"/>
    <x v="17"/>
    <s v="HACIENDA EL CABRERO CASA N 20"/>
    <n v="3136668172"/>
    <s v="Oficina - Armenia"/>
    <s v="Gerencia"/>
    <x v="13"/>
    <s v="Administrativo"/>
    <s v="Salud Total"/>
    <s v="Protección"/>
    <m/>
    <x v="4"/>
    <s v="Hombre"/>
    <s v="dirección, confianza y/o manejo"/>
    <s v="Si"/>
    <n v="6500000"/>
    <s v="No "/>
    <s v="No aplica"/>
    <s v="No aplica"/>
    <s v="No"/>
    <s v="No aplica"/>
    <s v="No aplica"/>
    <x v="2"/>
    <s v="Terminación por mutuo acuerdo"/>
    <m/>
    <m/>
    <x v="1"/>
    <n v="1262"/>
    <n v="47.725000000000001"/>
  </r>
  <r>
    <n v="20"/>
    <x v="18"/>
    <s v="Giraldo Osorio"/>
    <s v="Cédula de ciudadanía"/>
    <n v="41935534"/>
    <s v="Empleado"/>
    <s v="Término indefinido"/>
    <x v="13"/>
    <m/>
    <s v="Integral Mensual"/>
    <n v="30000000"/>
    <s v="No"/>
    <s v="Centro de trabajo Riesgo 1"/>
    <m/>
    <s v="mo.nana@hotmail.com"/>
    <m/>
    <s v="Transferencia Bancaria"/>
    <s v="Banco Davivienda"/>
    <s v="Cuenta de Ahorros"/>
    <s v="136000823197"/>
    <x v="18"/>
    <s v="HACIENDA EL CABRERO CASA N 20"/>
    <n v="3022382707"/>
    <s v="Oficina - Armenia"/>
    <s v="Gerencia"/>
    <x v="9"/>
    <s v="Administrativo"/>
    <s v="EPS Sura"/>
    <s v="Porvenir"/>
    <m/>
    <x v="4"/>
    <s v="Mujer"/>
    <s v="dirección, confianza y/o manejo"/>
    <s v="Si"/>
    <n v="20875592"/>
    <s v="No "/>
    <s v="No aplica"/>
    <s v="No aplica"/>
    <s v="No"/>
    <s v="No aplica"/>
    <s v="No aplica"/>
    <x v="2"/>
    <s v="Terminación por mutuo acuerdo"/>
    <m/>
    <m/>
    <x v="1"/>
    <n v="1262"/>
    <n v="47.7"/>
  </r>
  <r>
    <n v="21"/>
    <x v="19"/>
    <s v="Castano Ramirez"/>
    <s v="Cédula de ciudadanía"/>
    <n v="1094943045"/>
    <s v="Empleado"/>
    <s v="Término indefinido"/>
    <x v="14"/>
    <m/>
    <s v="Mensual"/>
    <n v="4130435"/>
    <s v="No"/>
    <s v="Centro de trabajo Riesgo 1 "/>
    <m/>
    <s v="lonacaramirez1@gmail.com"/>
    <m/>
    <s v="Transferencia Bancaria"/>
    <s v="Bancolombia"/>
    <s v="Cuenta de Ahorros"/>
    <s v="76100001316"/>
    <x v="19"/>
    <s v="EL RECRERO MZ C CASA 1"/>
    <s v="3117082594"/>
    <s v="Oficina"/>
    <s v="Administrativo"/>
    <x v="14"/>
    <s v="Administrativo"/>
    <s v="EPS Sura"/>
    <s v="Protección"/>
    <s v="Porvenir"/>
    <x v="2"/>
    <s v="Mujer"/>
    <s v="dirección, confianza y/o manejo"/>
    <m/>
    <m/>
    <m/>
    <m/>
    <m/>
    <m/>
    <m/>
    <m/>
    <x v="0"/>
    <m/>
    <m/>
    <m/>
    <x v="0"/>
    <n v="1267"/>
    <n v="29.758333333333333"/>
  </r>
  <r>
    <n v="22"/>
    <x v="20"/>
    <s v="Valencia Echeverry"/>
    <s v="Cédula de ciudadanía"/>
    <n v="7524904"/>
    <s v="Pensionado"/>
    <s v="Término indefinido"/>
    <x v="15"/>
    <m/>
    <s v="Mensual"/>
    <n v="4800000"/>
    <s v="No"/>
    <s v="Centro de trabajo Riesgo 1"/>
    <s v="Si"/>
    <s v="jgval@hotmail.com"/>
    <m/>
    <s v="Transferencia Bancaria"/>
    <s v="Banco Davivienda"/>
    <s v="Cuenta de Ahorros"/>
    <s v="136100113119"/>
    <x v="20"/>
    <s v="   KM 1 VIA A PEREIRA"/>
    <s v="3174025094"/>
    <s v="Restaurante El Solar"/>
    <s v="Gerencia"/>
    <x v="9"/>
    <s v="Mano de Obra Directa"/>
    <s v="EPS Sura"/>
    <s v=""/>
    <s v="Protección"/>
    <x v="3"/>
    <s v="Hombre"/>
    <s v="dirección, confianza y/o manejo"/>
    <s v="Si"/>
    <n v="3200000"/>
    <s v="No"/>
    <s v="No aplica"/>
    <s v="No aplica"/>
    <s v="No"/>
    <s v="No aplica"/>
    <s v="No"/>
    <x v="0"/>
    <m/>
    <m/>
    <m/>
    <x v="0"/>
    <n v="1250"/>
    <n v="65.941666666666663"/>
  </r>
  <r>
    <n v="23"/>
    <x v="21"/>
    <s v="Gomez Giraldo"/>
    <s v="Cédula de ciudadanía"/>
    <n v="1115189699"/>
    <s v="Empleado"/>
    <s v="Término indefinido"/>
    <x v="16"/>
    <m/>
    <s v="Mensual"/>
    <n v="5274725"/>
    <s v="No"/>
    <s v="Centro de trabajo Riesgo 2 "/>
    <m/>
    <s v="carlosj.gomez@hotmail.com"/>
    <m/>
    <s v="Transferencia Bancaria"/>
    <s v="Bancolombia"/>
    <s v="Cuenta de Ahorros"/>
    <s v="76156092360"/>
    <x v="21"/>
    <s v="CALLE 3RA # 10 - 45 CAICEDONIA"/>
    <s v="3104114119"/>
    <s v="La Duquesa"/>
    <s v="Gerencia"/>
    <x v="15"/>
    <s v="Mano de Obra Directa"/>
    <s v="Sanitas"/>
    <s v="Porvenir"/>
    <s v="Porvenir"/>
    <x v="2"/>
    <s v="Hombre"/>
    <s v="dirección, confianza y/o manejo"/>
    <m/>
    <m/>
    <m/>
    <m/>
    <m/>
    <m/>
    <m/>
    <m/>
    <x v="2"/>
    <s v="Terminación por mutuo acuerdo"/>
    <s v="Reestructuración empresarial"/>
    <m/>
    <x v="1"/>
    <n v="966"/>
    <n v="31.355555555555554"/>
  </r>
  <r>
    <n v="24"/>
    <x v="22"/>
    <s v="Angel Londono"/>
    <s v="Cédula de ciudadanía"/>
    <n v="41952820"/>
    <s v="Empleado"/>
    <s v="Término indefinido"/>
    <x v="16"/>
    <m/>
    <s v="Mensual"/>
    <n v="5494506"/>
    <s v="No"/>
    <s v="Centro de trabajo Riesgo 2 "/>
    <m/>
    <s v="cal0519@hotmail.com"/>
    <m/>
    <s v="Transferencia Bancaria"/>
    <s v="Bancolombia"/>
    <s v="Cuenta de Ahorros"/>
    <s v="76100001304"/>
    <x v="22"/>
    <s v="CALLE 14N  10 -05 EL ROBLEDAL CASA 1"/>
    <s v="3174052036"/>
    <s v="La Duquesa"/>
    <s v="Gerencia"/>
    <x v="16"/>
    <s v="Mano de Obra Directa"/>
    <s v="EPS Sura"/>
    <s v="Colpensiones"/>
    <s v="Fondo Nacional del Ahorro"/>
    <x v="2"/>
    <s v="Mujer"/>
    <s v="dirección, confianza y/o manejo"/>
    <m/>
    <m/>
    <m/>
    <m/>
    <m/>
    <m/>
    <m/>
    <m/>
    <x v="2"/>
    <s v="Terminación por mutuo acuerdo"/>
    <s v="Reestructuración empresarial"/>
    <m/>
    <x v="1"/>
    <n v="966"/>
    <n v="41.875"/>
  </r>
  <r>
    <n v="25"/>
    <x v="23"/>
    <s v="Silva Arango"/>
    <s v="Cédula de ciudadanía"/>
    <n v="6562960"/>
    <s v="Empleado"/>
    <s v="Término indefinido"/>
    <x v="17"/>
    <m/>
    <s v="Mensual"/>
    <n v="1300000"/>
    <s v="No"/>
    <s v="Centro de trabajo Riesgo 2"/>
    <s v="Si"/>
    <m/>
    <m/>
    <s v="Efectivo"/>
    <m/>
    <m/>
    <m/>
    <x v="23"/>
    <s v="municipio de zarzal corregimiento de vallejuelo finca  balkanes "/>
    <s v="3217122466"/>
    <s v="Quindio"/>
    <s v="Operativa"/>
    <x v="6"/>
    <s v="Mano de Obra Directa"/>
    <s v="Nueva EPS"/>
    <s v="Porvenir"/>
    <s v="Porvenir"/>
    <x v="5"/>
    <s v="Hombre"/>
    <s v="ordinario"/>
    <s v="No"/>
    <m/>
    <s v="No "/>
    <s v="No aplica"/>
    <s v="No aplica"/>
    <s v="No"/>
    <s v="No aplica"/>
    <s v="No aplica"/>
    <x v="0"/>
    <m/>
    <m/>
    <m/>
    <x v="0"/>
    <n v="1038"/>
    <s v=""/>
  </r>
  <r>
    <n v="26"/>
    <x v="24"/>
    <s v="Garcia Garcia"/>
    <s v="Cédula de ciudadanía"/>
    <n v="18392895"/>
    <s v="Empleado"/>
    <s v="Término indefinido"/>
    <x v="18"/>
    <m/>
    <s v="Mensual"/>
    <n v="1300000"/>
    <s v="No"/>
    <s v="Centro de trabajo Riesgo 2"/>
    <m/>
    <s v="monikrobo@hotmail.com"/>
    <m/>
    <s v="Efectivo"/>
    <m/>
    <m/>
    <m/>
    <x v="24"/>
    <s v="vereda la soledad finca tres Rios"/>
    <s v="3113103563"/>
    <s v="Finca Tres Rios"/>
    <s v="Administrador"/>
    <x v="17"/>
    <s v="Administrativo"/>
    <s v="EPS Sura"/>
    <s v="Colpensiones"/>
    <s v="Porvenir"/>
    <x v="1"/>
    <s v="Hombre"/>
    <s v="ordinario"/>
    <s v="No"/>
    <m/>
    <s v="No"/>
    <s v="No aplica"/>
    <s v="No aplica"/>
    <s v="No"/>
    <s v="No aplica"/>
    <s v="No aplica"/>
    <x v="0"/>
    <m/>
    <m/>
    <m/>
    <x v="0"/>
    <n v="966"/>
    <n v="53.674999999999997"/>
  </r>
  <r>
    <n v="27"/>
    <x v="25"/>
    <s v="Alvarez Martinez"/>
    <s v="Cédula de ciudadanía"/>
    <n v="4377112"/>
    <s v="Empleado"/>
    <s v="Término indefinido"/>
    <x v="19"/>
    <m/>
    <s v="Mensual"/>
    <n v="1300000"/>
    <s v="Si"/>
    <s v="Centro de trabajo Riesgo 3"/>
    <s v="Si"/>
    <s v="cesar_amartinez37@hotmail.com"/>
    <m/>
    <s v="Transferencia Bancaria"/>
    <s v="Banco Davivienda"/>
    <s v="Cuenta de Ahorros"/>
    <s v="488417688774"/>
    <x v="25"/>
    <s v="CRA 39 50A 17"/>
    <n v="3207342670"/>
    <s v="Restaurante El Solar"/>
    <s v="Coordinación"/>
    <x v="18"/>
    <s v="Mano de Obra Directa"/>
    <s v="EPS Sura"/>
    <s v="Colpensiones"/>
    <s v="Protección"/>
    <x v="3"/>
    <s v="Hombre"/>
    <s v="ordinario"/>
    <s v="Si"/>
    <n v="500000"/>
    <s v="No"/>
    <s v="No aplica"/>
    <s v="No aplica"/>
    <s v="No"/>
    <s v="No aplica"/>
    <s v="No"/>
    <x v="0"/>
    <m/>
    <m/>
    <m/>
    <x v="0"/>
    <n v="946"/>
    <n v="45.68333333333333"/>
  </r>
  <r>
    <n v="28"/>
    <x v="26"/>
    <s v="Lozada Mendez"/>
    <s v="Permiso de protección  temporal"/>
    <n v="1257482"/>
    <s v="Empleado"/>
    <s v="Término indefinido"/>
    <x v="20"/>
    <m/>
    <s v="Mensual"/>
    <n v="1300000"/>
    <s v="Si"/>
    <s v="Centro de trabajo Riesgo 2"/>
    <s v="Si"/>
    <s v="newmanlozada8@gmail.com"/>
    <m/>
    <s v="Transferencia Bancaria"/>
    <s v="Bancolombia"/>
    <s v="Cuenta de Ahorros"/>
    <s v="06900003901"/>
    <x v="26"/>
    <s v="barrio el Guadual manzana A casa 1 circasia quindio"/>
    <s v=""/>
    <s v="Restaurante El Solar"/>
    <s v="Servicio y producción"/>
    <x v="19"/>
    <s v="Mano de Obra Directa"/>
    <s v="Nueva EPS"/>
    <s v="Porvenir"/>
    <s v="Porvenir"/>
    <x v="3"/>
    <s v="Hombre"/>
    <s v="ordinario"/>
    <s v="No"/>
    <m/>
    <s v="No"/>
    <s v="No aplica"/>
    <s v="No aplica"/>
    <s v="No"/>
    <s v="No aplica"/>
    <s v="No"/>
    <x v="0"/>
    <m/>
    <m/>
    <m/>
    <x v="0"/>
    <n v="581"/>
    <n v="29.675000000000001"/>
  </r>
  <r>
    <n v="29"/>
    <x v="27"/>
    <s v="Gutierrez Jaramillo"/>
    <s v="Cédula de ciudadanía"/>
    <n v="1098307200"/>
    <s v="Empleado"/>
    <s v="Término indefinido"/>
    <x v="19"/>
    <m/>
    <s v="Mensual"/>
    <n v="1300000"/>
    <s v="Si"/>
    <s v="Centro de trabajo Riesgo 3"/>
    <s v="Si"/>
    <s v=""/>
    <m/>
    <s v="Transferencia Bancaria"/>
    <s v="Daviplata"/>
    <s v="Cuenta de Ahorros"/>
    <s v="3137461657"/>
    <x v="27"/>
    <s v="   MZ 5 CASA 17"/>
    <s v="3137712562"/>
    <s v="Restaurante El Solar"/>
    <s v="Servicio y producción"/>
    <x v="19"/>
    <s v="Mano de Obra Directa"/>
    <s v="Nueva EPS"/>
    <s v="Porvenir"/>
    <s v="Protección"/>
    <x v="3"/>
    <s v="Mujer"/>
    <s v="ordinario"/>
    <s v="Si"/>
    <n v="100000"/>
    <s v="No"/>
    <s v="No aplica"/>
    <s v="No aplica"/>
    <s v="No"/>
    <s v="No aplica"/>
    <s v="No"/>
    <x v="0"/>
    <m/>
    <m/>
    <m/>
    <x v="0"/>
    <n v="946"/>
    <n v="36.299999999999997"/>
  </r>
  <r>
    <n v="30"/>
    <x v="28"/>
    <s v="Agudelo Arias"/>
    <s v="Cédula de ciudadanía"/>
    <n v="89001007"/>
    <s v="Empleado"/>
    <s v="Término indefinido"/>
    <x v="19"/>
    <m/>
    <s v="Mensual"/>
    <n v="1300000"/>
    <s v="Si"/>
    <s v="Centro de trabajo Riesgo 2"/>
    <s v="Si"/>
    <s v=""/>
    <m/>
    <s v="Transferencia Bancaria"/>
    <s v="Banco AV Villas"/>
    <s v="Cuenta de Ahorros"/>
    <s v="313824018"/>
    <x v="28"/>
    <s v="   KM 2 VIA CIRCASIA FINCA TRIBUNAS"/>
    <s v="3137241835"/>
    <s v="Restaurante El Solar"/>
    <s v="Servicio y producción"/>
    <x v="19"/>
    <s v="Mano de Obra Directa"/>
    <s v="EPS Sura"/>
    <s v="Porvenir"/>
    <s v="Protección"/>
    <x v="3"/>
    <s v="Hombre"/>
    <s v="ordinario"/>
    <s v="Si"/>
    <n v="600000"/>
    <s v="No"/>
    <s v="No aplica"/>
    <s v="No aplica"/>
    <s v="No"/>
    <s v="No aplica"/>
    <s v="No"/>
    <x v="0"/>
    <m/>
    <m/>
    <m/>
    <x v="0"/>
    <n v="946"/>
    <n v="49.758333333333333"/>
  </r>
  <r>
    <n v="31"/>
    <x v="29"/>
    <s v="Cortes Gonzalez"/>
    <s v="Cédula de ciudadanía"/>
    <n v="41941594"/>
    <s v="Empleado"/>
    <s v="Término indefinido"/>
    <x v="19"/>
    <m/>
    <s v="Mensual"/>
    <n v="1300000"/>
    <s v="Si"/>
    <s v="Centro de trabajo Riesgo 2"/>
    <s v="Si"/>
    <s v=""/>
    <m/>
    <s v="Transferencia Bancaria"/>
    <s v="Daviplata"/>
    <s v="Cuenta de Ahorros"/>
    <s v="3117532349"/>
    <x v="29"/>
    <s v="   MZ 9 CASA 19"/>
    <s v=""/>
    <s v="Restaurante El Solar"/>
    <s v="Servicio y producción"/>
    <x v="19"/>
    <s v="Mano de Obra Directa"/>
    <s v="Nueva EPS"/>
    <s v="Protección"/>
    <s v="Protección"/>
    <x v="3"/>
    <s v="Mujer"/>
    <s v="ordinario"/>
    <s v="No"/>
    <m/>
    <s v="No"/>
    <s v="No aplica"/>
    <s v="No aplica"/>
    <s v="No"/>
    <s v="No aplica"/>
    <s v="No"/>
    <x v="0"/>
    <m/>
    <m/>
    <m/>
    <x v="0"/>
    <n v="946"/>
    <n v="48.544444444444444"/>
  </r>
  <r>
    <n v="32"/>
    <x v="30"/>
    <s v="Forero Calderon"/>
    <s v="Cédula de ciudadanía"/>
    <n v="24605897"/>
    <s v="Empleado"/>
    <s v="Término indefinido"/>
    <x v="19"/>
    <m/>
    <s v="Mensual"/>
    <n v="1300000"/>
    <s v="Si"/>
    <s v="Centro de trabajo Riesgo 2"/>
    <s v="Si"/>
    <s v=""/>
    <m/>
    <s v="Transferencia Bancaria"/>
    <s v="Banco AV Villas"/>
    <s v="Cuenta de Ahorros"/>
    <s v="313823689"/>
    <x v="30"/>
    <s v="   MZ C CS 1A PORTAL"/>
    <s v="3148134710"/>
    <s v="Restaurante El Solar"/>
    <s v="Servicio y producción"/>
    <x v="19"/>
    <s v="Mano de Obra Directa"/>
    <s v="EPS Sura"/>
    <s v="Porvenir"/>
    <s v="Protección"/>
    <x v="3"/>
    <s v="Mujer"/>
    <s v="ordinario"/>
    <s v="No"/>
    <m/>
    <s v="No"/>
    <s v="No aplica"/>
    <s v="No aplica"/>
    <s v="No"/>
    <s v="No aplica"/>
    <s v="No"/>
    <x v="0"/>
    <m/>
    <m/>
    <m/>
    <x v="0"/>
    <n v="946"/>
    <n v="43.758333333333333"/>
  </r>
  <r>
    <n v="33"/>
    <x v="31"/>
    <s v="Castro Olaya"/>
    <s v="Cédula de ciudadanía"/>
    <n v="9733387"/>
    <s v="Empleado"/>
    <s v="Término indefinido"/>
    <x v="19"/>
    <m/>
    <s v="Mensual"/>
    <n v="1300000"/>
    <s v="Si"/>
    <s v="Centro de trabajo Riesgo 2"/>
    <s v="Si"/>
    <s v="vimco711@gmail.com"/>
    <m/>
    <s v="Transferencia Bancaria"/>
    <s v="Daviplata"/>
    <s v="Cuenta de Ahorros"/>
    <s v="3104923852"/>
    <x v="31"/>
    <s v="Mz H casa 16"/>
    <s v="3104923852"/>
    <s v="Restaurante El Solar"/>
    <s v="Servicio y producción"/>
    <x v="19"/>
    <s v="Mano de Obra Directa"/>
    <s v="Nueva EPS"/>
    <s v="Protección"/>
    <s v="Protección"/>
    <x v="3"/>
    <s v="Hombre"/>
    <s v="ordinario"/>
    <s v="No"/>
    <m/>
    <s v="No"/>
    <s v="No aplica"/>
    <s v="No aplica"/>
    <s v="No"/>
    <s v="No aplica"/>
    <s v="No"/>
    <x v="0"/>
    <m/>
    <m/>
    <m/>
    <x v="0"/>
    <n v="946"/>
    <n v="44.408333333333331"/>
  </r>
  <r>
    <n v="34"/>
    <x v="32"/>
    <s v="Arcila Walteros"/>
    <s v="Cédula de ciudadanía"/>
    <n v="9733231"/>
    <s v="Empleado"/>
    <s v="Término indefinido"/>
    <x v="19"/>
    <m/>
    <s v="Mensual"/>
    <n v="1300000"/>
    <s v="Si"/>
    <s v="Centro de trabajo Riesgo 2"/>
    <s v="Si"/>
    <s v="mauriciowalteros258@gmail.com"/>
    <m/>
    <s v="Transferencia Bancaria"/>
    <s v="Banco AV Villas"/>
    <s v="Cuenta de Ahorros"/>
    <s v="313823663"/>
    <x v="32"/>
    <s v="   VEREDA SAN JUAN DE CAROLINA FINCA TRIBUN"/>
    <s v="3104756276"/>
    <s v="Restaurante El Solar"/>
    <s v="Mantenimiento"/>
    <x v="20"/>
    <s v="Mano de Obra Directa"/>
    <s v="EPS Sura"/>
    <s v="Protección"/>
    <s v="Protección"/>
    <x v="3"/>
    <s v="Hombre"/>
    <s v="ordinario"/>
    <s v="No"/>
    <m/>
    <s v="No"/>
    <s v="No aplica"/>
    <s v="No aplica"/>
    <s v="No"/>
    <s v="No aplica"/>
    <s v="No"/>
    <x v="0"/>
    <m/>
    <m/>
    <m/>
    <x v="0"/>
    <n v="946"/>
    <n v="44.638888888888886"/>
  </r>
  <r>
    <n v="35"/>
    <x v="33"/>
    <s v="Martinez"/>
    <s v="Cédula de ciudadanía"/>
    <n v="7551055"/>
    <s v="Empleado"/>
    <s v="Término indefinido"/>
    <x v="19"/>
    <m/>
    <s v="Mensual"/>
    <n v="1300000"/>
    <s v="Si"/>
    <s v="Centro de trabajo Riesgo 2"/>
    <s v="Si"/>
    <s v="martinezjosemanuel519@gmail.com"/>
    <m/>
    <s v="Transferencia Bancaria"/>
    <s v="Banco AV Villas"/>
    <s v="Cuenta de Ahorros"/>
    <s v="313823309"/>
    <x v="33"/>
    <s v="   BARRIO CLEMENTINA  MZ D CASA 14 QUIMBAYA"/>
    <s v="3137956462"/>
    <s v="Restaurante El Solar"/>
    <s v="Servicio y producción"/>
    <x v="19"/>
    <s v="Mano de Obra Directa"/>
    <s v="EPS Sura"/>
    <s v="Porvenir"/>
    <s v="Protección"/>
    <x v="3"/>
    <s v="Hombre"/>
    <s v="ordinario"/>
    <s v="No"/>
    <m/>
    <s v="No"/>
    <s v="No aplica"/>
    <s v="No aplica"/>
    <s v="No"/>
    <s v="No aplica"/>
    <s v="No"/>
    <x v="0"/>
    <m/>
    <m/>
    <m/>
    <x v="0"/>
    <n v="946"/>
    <n v="57.527777777777779"/>
  </r>
  <r>
    <n v="36"/>
    <x v="34"/>
    <s v="Romero Garzon"/>
    <s v="Cédula de ciudadanía"/>
    <n v="94232191"/>
    <s v="Empleado"/>
    <s v="Término indefinido"/>
    <x v="21"/>
    <m/>
    <s v="Mensual"/>
    <n v="1300000"/>
    <s v="Si"/>
    <s v="Centro de trabajo Riesgo 2 "/>
    <m/>
    <s v=""/>
    <m/>
    <s v="Transferencia Bancaria"/>
    <s v="Bancolombia"/>
    <s v="Cuenta de Ahorros"/>
    <s v="76100001323"/>
    <x v="34"/>
    <s v="QUEBRADANUEVA CLL 5 CS 307"/>
    <s v="3206301263"/>
    <s v="La Duquesa"/>
    <s v="Operaciones"/>
    <x v="6"/>
    <s v="Mano de Obra Directa"/>
    <s v="Nueva EPS"/>
    <s v="Porvenir"/>
    <s v="Porvenir"/>
    <x v="2"/>
    <s v="Hombre"/>
    <s v="ordinario"/>
    <m/>
    <m/>
    <m/>
    <m/>
    <m/>
    <m/>
    <m/>
    <m/>
    <x v="2"/>
    <s v="Terminación por mutuo acuerdo"/>
    <s v="Reestructuración empresarial"/>
    <m/>
    <x v="1"/>
    <n v="831"/>
    <n v="42.31388888888889"/>
  </r>
  <r>
    <n v="37"/>
    <x v="35"/>
    <s v="Romero Garzon"/>
    <s v="Cédula de ciudadanía"/>
    <n v="94227092"/>
    <s v="Empleado"/>
    <s v="Término indefinido"/>
    <x v="22"/>
    <m/>
    <s v="Mensual"/>
    <n v="1300000"/>
    <s v="Si"/>
    <s v="Centro de trabajo Riesgo 2 "/>
    <m/>
    <s v=""/>
    <m/>
    <s v="Transferencia Bancaria"/>
    <s v="Bancolombia"/>
    <s v="Cuenta de Ahorros"/>
    <s v="76100001306"/>
    <x v="35"/>
    <s v="CORREGIMIENTO QUEBRADANUEVA"/>
    <s v="3104033011"/>
    <s v="La Duquesa"/>
    <s v="Operaciones"/>
    <x v="6"/>
    <s v="Mano de Obra Directa"/>
    <s v="Coosalud"/>
    <s v="Porvenir"/>
    <s v="Porvenir"/>
    <x v="2"/>
    <s v="Hombre"/>
    <s v="ordinario"/>
    <m/>
    <m/>
    <m/>
    <m/>
    <m/>
    <m/>
    <m/>
    <m/>
    <x v="2"/>
    <s v="Terminación por mutuo acuerdo"/>
    <s v="Reestructuración empresarial"/>
    <m/>
    <x v="1"/>
    <n v="828"/>
    <n v="55.588888888888889"/>
  </r>
  <r>
    <n v="38"/>
    <x v="36"/>
    <s v="Valencia Echeverry"/>
    <s v="Cédula de ciudadanía"/>
    <n v="1094927442"/>
    <s v="Empleado"/>
    <s v="Término indefinido"/>
    <x v="23"/>
    <m/>
    <s v="Mensual"/>
    <n v="3250000"/>
    <s v="No"/>
    <s v="Centro de trabajo Riesgo 2"/>
    <s v="Si"/>
    <s v="juanda132@hotmail.com"/>
    <m/>
    <s v="Transferencia Bancaria"/>
    <s v="Banco Davivienda"/>
    <s v="Cuenta de Ahorros"/>
    <s v="007070384503"/>
    <x v="36"/>
    <s v="Carrera 10 No 11 Norte - 40"/>
    <s v="3166920036"/>
    <s v="Restaurante El Solar"/>
    <s v="Coordinación"/>
    <x v="21"/>
    <s v="Mano de Obra Directa"/>
    <s v="Sanitas"/>
    <s v="Protección"/>
    <s v="Protección"/>
    <x v="3"/>
    <s v="Hombre"/>
    <s v="dirección, confianza y/o manejo"/>
    <s v="Si"/>
    <n v="2400000"/>
    <s v="No"/>
    <s v="No aplica"/>
    <s v="No aplica"/>
    <s v="No"/>
    <s v="No aplica"/>
    <s v="No"/>
    <x v="0"/>
    <m/>
    <m/>
    <m/>
    <x v="0"/>
    <n v="869"/>
    <n v="31.883333333333333"/>
  </r>
  <r>
    <n v="39"/>
    <x v="37"/>
    <s v="Alvarez Orrego"/>
    <s v="Cédula de ciudadanía"/>
    <n v="71800733"/>
    <s v="Empleado"/>
    <s v="Término indefinido"/>
    <x v="24"/>
    <m/>
    <s v="Mensual"/>
    <n v="1300000"/>
    <s v="No"/>
    <s v="Centro de trabajo Riesgo 2"/>
    <m/>
    <s v="ferneyalvarez@gmail.com"/>
    <m/>
    <s v="Transferencia Bancaria"/>
    <s v="Nequi"/>
    <s v="Cuenta de Ahorros"/>
    <s v="3163259545"/>
    <x v="23"/>
    <s v="Montenegro vereda la ceiba finca galixia"/>
    <s v="3173568871"/>
    <s v="Quindio"/>
    <s v="Operativa"/>
    <x v="22"/>
    <s v="Mano de Obra Directa"/>
    <s v="Nueva EPS"/>
    <s v="Porvenir"/>
    <s v="Porvenir"/>
    <x v="6"/>
    <s v="Hombre"/>
    <s v="ordinario"/>
    <s v="Si"/>
    <n v="332800"/>
    <s v="No "/>
    <s v="No aplica"/>
    <s v="No aplica"/>
    <s v="No"/>
    <s v="No aplica"/>
    <s v="No aplica"/>
    <x v="0"/>
    <m/>
    <m/>
    <m/>
    <x v="0"/>
    <n v="855"/>
    <s v=""/>
  </r>
  <r>
    <n v="40"/>
    <x v="38"/>
    <s v="Carmen Posso"/>
    <s v="Cédula de ciudadanía"/>
    <n v="6352380"/>
    <s v="Empleado"/>
    <s v="Término indefinido"/>
    <x v="25"/>
    <m/>
    <s v="Mensual"/>
    <n v="1300000"/>
    <s v="No"/>
    <s v="Centro de trabajo Riesgo 2"/>
    <s v="Si"/>
    <m/>
    <m/>
    <s v="Efectivo"/>
    <m/>
    <m/>
    <m/>
    <x v="23"/>
    <s v="municipio de la victoria corregimiento de holguin  finca el sinu"/>
    <s v="3155925519"/>
    <s v="Valle del Cauca"/>
    <s v="Operativa"/>
    <x v="6"/>
    <s v="Mano de Obra Directa"/>
    <s v="Coosalud"/>
    <s v="Porvenir"/>
    <s v="Porvenir"/>
    <x v="5"/>
    <s v="Hombre"/>
    <s v="ordinario"/>
    <s v="No"/>
    <m/>
    <s v="No "/>
    <s v="No aplica"/>
    <s v="No aplica"/>
    <s v="No"/>
    <s v="No aplica"/>
    <s v="No aplica"/>
    <x v="3"/>
    <s v="Terminación por mutuo acuerdo"/>
    <m/>
    <m/>
    <x v="1"/>
    <n v="697"/>
    <s v=""/>
  </r>
  <r>
    <n v="41"/>
    <x v="39"/>
    <s v="Gañan Gañan"/>
    <s v="Cédula de ciudadanía"/>
    <n v="41953966"/>
    <s v="Empleado"/>
    <s v="Término indefinido"/>
    <x v="26"/>
    <m/>
    <s v="Mensual"/>
    <n v="1372800"/>
    <s v="Si"/>
    <s v="Centro de trabajo Riesgo 1"/>
    <m/>
    <m/>
    <m/>
    <s v="Transferencia Bancaria"/>
    <s v="Bancolombia"/>
    <s v="Cuenta de Ahorros"/>
    <n v="76100001328"/>
    <x v="23"/>
    <m/>
    <n v="3148274879"/>
    <s v="Oficina - Armenia"/>
    <s v="Servicios "/>
    <x v="23"/>
    <s v="Mano de Obra Directa"/>
    <s v="Aliansalud EPS"/>
    <s v="Porvenir"/>
    <s v="Porvenir"/>
    <x v="4"/>
    <s v="Mujer"/>
    <s v="ordinario"/>
    <s v="No"/>
    <m/>
    <s v="No "/>
    <s v="No aplica"/>
    <s v="No aplica"/>
    <s v="No"/>
    <s v="No aplica"/>
    <s v="No aplica"/>
    <x v="2"/>
    <s v="Terminación por mutuo acuerdo"/>
    <m/>
    <m/>
    <x v="1"/>
    <n v="711"/>
    <s v=""/>
  </r>
  <r>
    <n v="42"/>
    <x v="40"/>
    <s v="Chavez Valdes "/>
    <s v="Cédula de ciudadanía"/>
    <n v="24499820"/>
    <s v="Empleado"/>
    <s v="Término indefinido"/>
    <x v="26"/>
    <m/>
    <s v="Mensual"/>
    <n v="1372000"/>
    <s v="Si"/>
    <s v="Centro de trabajo Riesgo 1"/>
    <m/>
    <m/>
    <m/>
    <s v="Transferencia Bancaria"/>
    <s v="Bancolombia"/>
    <s v="Cuenta de Ahorros"/>
    <n v="76100001327"/>
    <x v="23"/>
    <m/>
    <n v="3104116489"/>
    <s v="Oficina - Armenia"/>
    <s v="Servicios "/>
    <x v="23"/>
    <s v="Mano de Obra Directa"/>
    <s v="EPS Sura"/>
    <s v="Protección"/>
    <s v="Porvenir"/>
    <x v="4"/>
    <s v="Mujer"/>
    <s v="ordinario"/>
    <s v="No"/>
    <m/>
    <s v="No "/>
    <s v="No aplica"/>
    <s v="No aplica"/>
    <s v="No"/>
    <s v="No aplica"/>
    <s v="No aplica"/>
    <x v="2"/>
    <s v="Terminación por mutuo acuerdo"/>
    <m/>
    <m/>
    <x v="1"/>
    <n v="711"/>
    <s v=""/>
  </r>
  <r>
    <n v="43"/>
    <x v="41"/>
    <s v="Rodriguez"/>
    <s v="Cédula de ciudadanía"/>
    <n v="94232740"/>
    <s v="Empleado"/>
    <s v="Término indefinido"/>
    <x v="27"/>
    <m/>
    <s v="Mensual"/>
    <n v="1300000"/>
    <s v="No"/>
    <s v="Centro de trabajo Riesgo 2"/>
    <m/>
    <m/>
    <m/>
    <s v="Transferencia Bancaria"/>
    <s v="Bancolombia"/>
    <s v="Cuenta de Ahorros"/>
    <s v="3135958902"/>
    <x v="23"/>
    <s v="Montenegro vereda la española finca la española"/>
    <s v="3186385197"/>
    <s v="Quindio"/>
    <s v="Operativa"/>
    <x v="22"/>
    <s v="Administrativo"/>
    <s v="Sanitas"/>
    <s v="Porvenir"/>
    <s v="Protección"/>
    <x v="6"/>
    <s v="Hombre"/>
    <s v="ordinario"/>
    <s v="Si"/>
    <n v="312800"/>
    <s v="No "/>
    <s v="No aplica"/>
    <s v="No aplica"/>
    <s v="No"/>
    <s v="No aplica"/>
    <s v="No aplica"/>
    <x v="0"/>
    <m/>
    <m/>
    <m/>
    <x v="0"/>
    <n v="765"/>
    <s v=""/>
  </r>
  <r>
    <n v="44"/>
    <x v="42"/>
    <s v="Leal Gil"/>
    <s v="Cédula de ciudadanía"/>
    <n v="25081898"/>
    <s v="Empleado"/>
    <s v="Término indefinido"/>
    <x v="27"/>
    <m/>
    <s v="Mensual"/>
    <n v="1300000"/>
    <s v="Si"/>
    <s v="Centro de trabajo Riesgo 2"/>
    <s v="Si"/>
    <s v="lilianalealgil81@gmail.com"/>
    <m/>
    <s v="Transferencia Bancaria"/>
    <s v="Daviplata"/>
    <s v="Cuenta de Ahorros"/>
    <s v="3112494318"/>
    <x v="37"/>
    <s v="   PATIO BONITO MZ N CASA 64A"/>
    <s v="3112494318"/>
    <s v="Restaurante El Solar"/>
    <s v="Servicio y producción"/>
    <x v="19"/>
    <s v="Mano de Obra Directa"/>
    <s v="EPS Sura"/>
    <s v="Porvenir"/>
    <s v="Protección"/>
    <x v="3"/>
    <s v="Mujer"/>
    <s v="ordinario"/>
    <s v="No"/>
    <m/>
    <s v="No"/>
    <s v="No aplica"/>
    <s v="No aplica"/>
    <s v="No"/>
    <s v="No aplica"/>
    <s v="No"/>
    <x v="4"/>
    <s v="Renuncia voluntaria"/>
    <m/>
    <m/>
    <x v="1"/>
    <n v="701"/>
    <n v="42.402777777777779"/>
  </r>
  <r>
    <n v="45"/>
    <x v="43"/>
    <s v="Betancur Romero"/>
    <s v="Cédula de ciudadanía"/>
    <n v="9922814"/>
    <s v="Empleado"/>
    <s v="Término indefinido"/>
    <x v="28"/>
    <m/>
    <s v="Mensual"/>
    <n v="1300000"/>
    <s v="No"/>
    <s v="Centro de trabajo Riesgo 2"/>
    <s v="Si"/>
    <m/>
    <m/>
    <s v="Efectivo"/>
    <m/>
    <m/>
    <m/>
    <x v="23"/>
    <s v="Municipio de la victoria corregimiento de holguin  finca el sinu"/>
    <s v="3155925519"/>
    <s v="Valle del Cauca"/>
    <s v="Operativa"/>
    <x v="24"/>
    <s v="Mano de Obra Directa"/>
    <s v="Salud Total"/>
    <s v="Protección"/>
    <s v="Porvenir"/>
    <x v="5"/>
    <s v="Hombre"/>
    <s v="ordinario"/>
    <s v="No"/>
    <m/>
    <s v="No "/>
    <s v="No aplica"/>
    <s v="No aplica"/>
    <s v="No"/>
    <s v="No aplica"/>
    <s v="No aplica"/>
    <x v="0"/>
    <m/>
    <m/>
    <m/>
    <x v="0"/>
    <n v="758"/>
    <s v=""/>
  </r>
  <r>
    <n v="46"/>
    <x v="44"/>
    <s v="Cardenas Lopez"/>
    <s v="Cédula de ciudadanía"/>
    <n v="1053827474"/>
    <s v="Empleado"/>
    <s v="Término indefinido"/>
    <x v="29"/>
    <s v=""/>
    <s v="Mensual"/>
    <n v="6000000"/>
    <s v="No"/>
    <s v="Centro de trabajo Riesgo 2"/>
    <s v="Si"/>
    <s v="tati.cardenaslopez@gmail.com"/>
    <m/>
    <s v="Transferencia Bancaria"/>
    <s v="Banco Davivienda"/>
    <s v="Cuenta de Ahorros"/>
    <s v="488429729186"/>
    <x v="23"/>
    <s v="calle 19Norte # 18 23 Edficio Hebron"/>
    <s v="3108426847"/>
    <s v="Sede principal"/>
    <s v="Jefactura"/>
    <x v="25"/>
    <s v="Administrativo"/>
    <s v="EPS Sura"/>
    <s v="Porvenir"/>
    <s v="Porvenir"/>
    <x v="7"/>
    <s v="Mujer"/>
    <s v="dirección, confianza y/o manejo"/>
    <m/>
    <m/>
    <m/>
    <m/>
    <m/>
    <m/>
    <m/>
    <m/>
    <x v="0"/>
    <m/>
    <m/>
    <m/>
    <x v="0"/>
    <n v="734"/>
    <s v=""/>
  </r>
  <r>
    <n v="47"/>
    <x v="45"/>
    <s v="Aguirre Arboledad"/>
    <s v="Cédula de ciudadanía"/>
    <n v="10265529"/>
    <s v="Empleado"/>
    <s v="Término indefinido"/>
    <x v="29"/>
    <s v=""/>
    <s v="Mensual"/>
    <n v="6690000"/>
    <s v="No"/>
    <s v="Centro de trabajo Riesgo 2"/>
    <s v="Si"/>
    <s v="gaguirre20@hotmail.com"/>
    <m/>
    <s v="Transferencia Bancaria"/>
    <s v="Banco Davivienda"/>
    <s v="Cuenta de Ahorros"/>
    <s v="488429759449"/>
    <x v="23"/>
    <s v="Kilometro 3 via armenia la tebaida, Condominio santa ana  casa"/>
    <s v="3206963259"/>
    <s v="Sede principal"/>
    <s v="Operaciones"/>
    <x v="26"/>
    <s v="Administrativo"/>
    <s v="Sanitas"/>
    <s v="Colpensiones"/>
    <s v="Porvenir"/>
    <x v="7"/>
    <s v="Hombre"/>
    <s v="dirección, confianza y/o manejo"/>
    <m/>
    <m/>
    <m/>
    <m/>
    <m/>
    <m/>
    <m/>
    <m/>
    <x v="0"/>
    <m/>
    <m/>
    <m/>
    <x v="0"/>
    <n v="734"/>
    <s v=""/>
  </r>
  <r>
    <n v="48"/>
    <x v="46"/>
    <s v="Montoya Fayad"/>
    <s v="Cédula de ciudadanía"/>
    <n v="3228415"/>
    <s v="Empleado"/>
    <s v="Término indefinido"/>
    <x v="29"/>
    <s v=""/>
    <s v="Mensual"/>
    <n v="5830000"/>
    <s v="No"/>
    <s v="Centro de trabajo Riesgo 2"/>
    <s v="Si"/>
    <s v="amontoyafayad@hotmail.com"/>
    <m/>
    <s v="Transferencia Bancaria"/>
    <s v="Banco Davivienda"/>
    <s v="Cuenta de Ahorros"/>
    <s v="540600012566"/>
    <x v="23"/>
    <s v="Condominio el Eden casa 13"/>
    <s v="3113002107"/>
    <s v="Sede principal"/>
    <s v="Gerencia"/>
    <x v="27"/>
    <s v="Administrativo"/>
    <s v="Nueva EPS"/>
    <s v=""/>
    <s v="Porvenir"/>
    <x v="7"/>
    <s v="Hombre"/>
    <s v="dirección, confianza y/o manejo"/>
    <m/>
    <m/>
    <m/>
    <m/>
    <m/>
    <m/>
    <m/>
    <m/>
    <x v="0"/>
    <m/>
    <m/>
    <m/>
    <x v="0"/>
    <n v="734"/>
    <s v=""/>
  </r>
  <r>
    <n v="49"/>
    <x v="47"/>
    <s v="Casas Torres"/>
    <s v="Cédula de ciudadanía"/>
    <n v="1115189831"/>
    <s v="Empleado"/>
    <s v="Término indefinido"/>
    <x v="30"/>
    <m/>
    <s v="Mensual"/>
    <n v="1300000"/>
    <s v="No"/>
    <s v="Centro de trabajo Riesgo 2"/>
    <m/>
    <s v="arley23@gmail.com"/>
    <m/>
    <s v="Efectivo"/>
    <m/>
    <m/>
    <m/>
    <x v="38"/>
    <s v="Finca San pablo"/>
    <s v="3136123452"/>
    <s v="Finca San Juanito"/>
    <s v="Administrador General"/>
    <x v="28"/>
    <s v="Mano de Obra Directa"/>
    <s v="Nueva EPS"/>
    <s v="Porvenir"/>
    <s v="Porvenir"/>
    <x v="8"/>
    <s v="Hombre"/>
    <s v="ordinario"/>
    <s v="Si"/>
    <n v="92800"/>
    <s v="No"/>
    <s v="No aplica"/>
    <s v="No aplica"/>
    <s v="No"/>
    <s v="No aplica"/>
    <s v="No aplica"/>
    <x v="0"/>
    <m/>
    <m/>
    <m/>
    <x v="0"/>
    <n v="714"/>
    <n v="31.125"/>
  </r>
  <r>
    <n v="50"/>
    <x v="48"/>
    <s v="Medina Díaz"/>
    <s v="Cédula de ciudadanía"/>
    <n v="1012379393"/>
    <s v="Empleado"/>
    <s v="Término indefinido"/>
    <x v="31"/>
    <m/>
    <s v="Mensual"/>
    <n v="1685000"/>
    <s v="Si"/>
    <s v="Centro de trabajo Riesgo 1"/>
    <s v="Si"/>
    <s v="amedinad1@ucentral.edu.co"/>
    <m/>
    <s v="Transferencia Bancaria"/>
    <s v="Banco Davivienda"/>
    <s v="Cuenta de Ahorros"/>
    <s v="0550488442262496"/>
    <x v="39"/>
    <s v="CRA 82 SUR # 68 B 04"/>
    <n v="3204940259"/>
    <s v="Bogotá "/>
    <s v="Administrativa"/>
    <x v="29"/>
    <s v="Administrativo"/>
    <s v="Famisanar"/>
    <s v="Protección"/>
    <s v="Protección"/>
    <x v="9"/>
    <s v="Mujer"/>
    <s v="dirección, confianza y/o manejo"/>
    <s v="Si"/>
    <n v="1115000"/>
    <s v="No"/>
    <s v="No aplica"/>
    <s v="No"/>
    <s v="No"/>
    <s v="No aplica"/>
    <s v="No"/>
    <x v="0"/>
    <m/>
    <m/>
    <m/>
    <x v="0"/>
    <n v="696"/>
    <n v="32.672222222222224"/>
  </r>
  <r>
    <n v="51"/>
    <x v="49"/>
    <s v="Urbano Ramirez"/>
    <s v="Cédula de ciudadanía"/>
    <n v="1094957231"/>
    <s v="Empleado"/>
    <s v="Término indefinido"/>
    <x v="31"/>
    <m/>
    <s v="Mensual"/>
    <n v="1510000"/>
    <s v="Si"/>
    <s v="Centro de trabajo Riesgo 1"/>
    <s v="Si"/>
    <s v="yessi.urbano147@gmail.com"/>
    <m/>
    <s v="Transferencia Bancaria"/>
    <s v="Banco Davivienda"/>
    <s v="Cuenta de Ahorros"/>
    <s v="488442009079"/>
    <x v="40"/>
    <s v="Barrio Entreverdes mz 7 casa 25"/>
    <s v="3113328260"/>
    <s v="Armenia"/>
    <s v="Contabilidad"/>
    <x v="30"/>
    <s v="Administrativo"/>
    <s v="EPS Sura"/>
    <s v="Protección"/>
    <s v="Protección"/>
    <x v="9"/>
    <s v="Mujer"/>
    <s v="dirección, confianza y/o manejo"/>
    <s v="Si"/>
    <n v="990000"/>
    <s v="No"/>
    <s v="No aplica"/>
    <s v="No"/>
    <s v="No"/>
    <s v="No aplica"/>
    <s v="No"/>
    <x v="0"/>
    <m/>
    <m/>
    <m/>
    <x v="0"/>
    <n v="696"/>
    <n v="27.722222222222221"/>
  </r>
  <r>
    <n v="52"/>
    <x v="50"/>
    <s v="Londoño Marin"/>
    <s v="Cédula de ciudadanía"/>
    <n v="1094933075"/>
    <s v="Empleado"/>
    <s v="Término indefinido"/>
    <x v="31"/>
    <m/>
    <s v="Mensual"/>
    <n v="1386000"/>
    <s v="Si"/>
    <s v="Centro de trabajo Riesgo 1"/>
    <s v="Si"/>
    <s v="monicas-02@hotmail.com"/>
    <m/>
    <s v="Transferencia Bancaria"/>
    <s v="Banco Davivienda"/>
    <s v="Cuenta de Ahorros"/>
    <s v="488442010648"/>
    <x v="41"/>
    <s v="Barrio centenario mz B #18"/>
    <s v="3165891058"/>
    <s v="Oficina"/>
    <s v="Contabilidad"/>
    <x v="31"/>
    <s v="Administrativo"/>
    <s v="EPS Sura"/>
    <s v="Protección"/>
    <s v="Protección"/>
    <x v="9"/>
    <s v="Mujer"/>
    <s v="ordinario"/>
    <s v="Si"/>
    <n v="114000"/>
    <s v="No"/>
    <s v="No aplica"/>
    <s v="No"/>
    <s v="No"/>
    <s v="No aplica"/>
    <s v="No"/>
    <x v="0"/>
    <m/>
    <m/>
    <m/>
    <x v="0"/>
    <n v="696"/>
    <n v="31.172222222222221"/>
  </r>
  <r>
    <n v="53"/>
    <x v="51"/>
    <s v="Gutierrez Buitrago"/>
    <s v="Cédula de ciudadanía"/>
    <n v="30232305"/>
    <s v="Empleado"/>
    <s v="Término indefinido"/>
    <x v="31"/>
    <m/>
    <s v="Mensual"/>
    <n v="3850000"/>
    <s v="No"/>
    <s v="Centro de trabajo Riesgo 1"/>
    <s v="Si"/>
    <s v="carito_gut@hotmail.com"/>
    <m/>
    <s v="Transferencia Bancaria"/>
    <s v="Banco Davivienda"/>
    <s v="Cuenta de Ahorros"/>
    <s v="0550488442011430"/>
    <x v="42"/>
    <s v="Cra 10 # 11 N 05 Torre 3 Apto 203 Conjunto Terra "/>
    <s v="3206456821"/>
    <s v="Oficina"/>
    <s v="Contabilidad"/>
    <x v="32"/>
    <s v="Administrativo"/>
    <s v="EPS Sura"/>
    <s v="Protección"/>
    <s v="Protección"/>
    <x v="9"/>
    <s v="Mujer"/>
    <s v="dirección, confianza y/o manejo"/>
    <s v="Si"/>
    <n v="2438000"/>
    <s v="No"/>
    <s v="No aplica"/>
    <s v="No"/>
    <s v="No"/>
    <s v="No aplica"/>
    <s v="No"/>
    <x v="0"/>
    <m/>
    <m/>
    <m/>
    <x v="0"/>
    <n v="696"/>
    <n v="41.31666666666667"/>
  </r>
  <r>
    <n v="54"/>
    <x v="52"/>
    <s v="Lievano Guiza"/>
    <s v="Cédula de ciudadanía"/>
    <n v="1094906959"/>
    <s v="Empleado"/>
    <s v="Término indefinido"/>
    <x v="31"/>
    <m/>
    <s v="Mensual"/>
    <n v="1245000"/>
    <s v="Si"/>
    <s v="Centro de trabajo Riesgo 1"/>
    <s v="Si"/>
    <s v="jessilievano13@gmail.com"/>
    <m/>
    <s v="Transferencia Bancaria"/>
    <s v="Bancolombia"/>
    <s v="Cuenta de Ahorros"/>
    <s v="06961656697"/>
    <x v="43"/>
    <s v="Cra 36 #19-56 Barrio Jardin"/>
    <s v="3215553465"/>
    <s v="Oficina"/>
    <s v="Producción"/>
    <x v="33"/>
    <s v="Administrativo"/>
    <s v="EPS Sura"/>
    <s v="Protección"/>
    <s v="Protección"/>
    <x v="9"/>
    <s v="Mujer"/>
    <s v="ordinario"/>
    <s v="No"/>
    <m/>
    <s v="No"/>
    <s v="No aplica"/>
    <s v="No"/>
    <s v="No"/>
    <s v="No aplica"/>
    <s v="No"/>
    <x v="5"/>
    <s v="Renuncia voluntaria"/>
    <m/>
    <m/>
    <x v="1"/>
    <n v="529"/>
    <n v="35.391666666666666"/>
  </r>
  <r>
    <n v="55"/>
    <x v="53"/>
    <s v="Dimian Zambrano"/>
    <s v="Cédula de ciudadanía"/>
    <n v="1005095624"/>
    <s v="Empleado"/>
    <s v="Término indefinido"/>
    <x v="32"/>
    <m/>
    <s v="Mensual"/>
    <n v="1685000"/>
    <s v="Si"/>
    <s v="Centro de trabajo Riesgo 1"/>
    <s v="Si"/>
    <s v="lauradimian05@gmail.com"/>
    <m/>
    <s v="Transferencia Bancaria"/>
    <s v="Banco Davivienda"/>
    <s v="Cuenta de Ahorros"/>
    <s v="0550488442013428"/>
    <x v="44"/>
    <s v="Barrio villa inglesa manzana B casa 36 piso 2"/>
    <s v="3206703994"/>
    <s v="Oficina"/>
    <s v="Producción"/>
    <x v="34"/>
    <s v="Administrativo"/>
    <s v="EPS Sura"/>
    <s v="Colpensiones"/>
    <s v="Protección"/>
    <x v="9"/>
    <s v="Mujer"/>
    <s v="dirección, confianza y/o manejo"/>
    <s v="Si"/>
    <n v="1115000"/>
    <s v="No"/>
    <s v="No aplica"/>
    <s v="No"/>
    <s v="No"/>
    <s v="No aplica"/>
    <s v="No"/>
    <x v="0"/>
    <m/>
    <m/>
    <m/>
    <x v="0"/>
    <n v="694"/>
    <n v="23.580555555555556"/>
  </r>
  <r>
    <n v="56"/>
    <x v="54"/>
    <s v="Arias Botero"/>
    <s v="Cédula de ciudadanía"/>
    <n v="18394428"/>
    <s v="Empleado"/>
    <s v="Término indefinido"/>
    <x v="33"/>
    <m/>
    <s v="Mensual"/>
    <n v="3795000"/>
    <s v="No"/>
    <s v="Centro de trabajo Riesgo 2"/>
    <s v="Si"/>
    <s v="ruben88arias@gmail.com"/>
    <m/>
    <s v="Transferencia Bancaria"/>
    <s v="Banco Davivienda"/>
    <s v="Cuenta de Ahorros"/>
    <s v="138000078384"/>
    <x v="45"/>
    <s v="Cra 10 # 11 N 05 Torre 3 Apto 203 Conjunto Terra "/>
    <s v="3136522882"/>
    <s v="Oficina"/>
    <s v="Producción"/>
    <x v="34"/>
    <s v="Administrativo"/>
    <s v="EPS Sura"/>
    <s v="Protección"/>
    <s v="Protección"/>
    <x v="9"/>
    <s v="Hombre"/>
    <s v="dirección, confianza y/o manejo"/>
    <s v="Si"/>
    <n v="2416800"/>
    <s v="No"/>
    <s v="No aplica"/>
    <s v="No"/>
    <s v="No"/>
    <s v="No aplica"/>
    <s v="No"/>
    <x v="0"/>
    <m/>
    <m/>
    <m/>
    <x v="0"/>
    <n v="689"/>
    <n v="51.43333333333333"/>
  </r>
  <r>
    <n v="57"/>
    <x v="55"/>
    <s v="Tapias Beltran"/>
    <s v="Cédula de ciudadanía"/>
    <n v="41961097"/>
    <s v="Empleado"/>
    <s v="Término indefinido"/>
    <x v="34"/>
    <m/>
    <s v="Mensual"/>
    <n v="1300000"/>
    <s v="Si"/>
    <s v="Centro de trabajo Riesgo 4"/>
    <m/>
    <s v="aleja.2185@hotmail.com"/>
    <m/>
    <s v="Transferencia Bancaria"/>
    <s v="Banco Davivienda"/>
    <s v="Cuenta de Ahorros"/>
    <s v="136200133900"/>
    <x v="46"/>
    <s v="BRR LA MONTANA MZD CA 2"/>
    <s v="3122608039"/>
    <s v="Armenia"/>
    <s v="Ventas"/>
    <x v="35"/>
    <s v="Armenia Ventas"/>
    <s v="EPS Sura"/>
    <s v="Protección"/>
    <s v="Porvenir"/>
    <x v="0"/>
    <s v="Mujer"/>
    <s v="ordinario"/>
    <s v="No"/>
    <m/>
    <m/>
    <m/>
    <m/>
    <m/>
    <m/>
    <m/>
    <x v="0"/>
    <m/>
    <m/>
    <m/>
    <x v="0"/>
    <n v="677"/>
    <n v="39.202777777777776"/>
  </r>
  <r>
    <n v="58"/>
    <x v="56"/>
    <s v="Arenas Robayo"/>
    <s v="Cédula de ciudadanía"/>
    <n v="1094936359"/>
    <s v="Empleado"/>
    <s v="Término indefinido"/>
    <x v="34"/>
    <m/>
    <s v="Mensual"/>
    <n v="1300000"/>
    <s v="Si"/>
    <s v="Centro de trabajo Riesgo 4"/>
    <m/>
    <s v="aarenasrobayo@gmail.com"/>
    <m/>
    <s v="Transferencia Bancaria"/>
    <s v="Banco Davivienda"/>
    <s v="Cuenta de Ahorros"/>
    <s v="488413091486"/>
    <x v="47"/>
    <s v="BRR SIMONBOLIVAR MZ 34 CA 13"/>
    <s v="3168913623"/>
    <s v="Armenia"/>
    <s v="Operativa"/>
    <x v="36"/>
    <s v="Operativo"/>
    <s v="Nueva EPS"/>
    <s v="Porvenir"/>
    <s v="Porvenir"/>
    <x v="0"/>
    <s v="Hombre"/>
    <s v="ordinario"/>
    <s v="No"/>
    <m/>
    <m/>
    <m/>
    <m/>
    <m/>
    <m/>
    <m/>
    <x v="0"/>
    <m/>
    <m/>
    <m/>
    <x v="0"/>
    <n v="677"/>
    <n v="30.794444444444444"/>
  </r>
  <r>
    <n v="59"/>
    <x v="57"/>
    <s v="Ariza Fontecha"/>
    <s v="Cédula de ciudadanía"/>
    <n v="1101758726"/>
    <s v="Empleado"/>
    <s v="Término indefinido"/>
    <x v="34"/>
    <m/>
    <s v="Mensual"/>
    <n v="1300000"/>
    <s v="Si"/>
    <s v="Centro de trabajo Riesgo 4"/>
    <m/>
    <s v="angelicamariaariza@gmail.com"/>
    <m/>
    <s v="Transferencia Bancaria"/>
    <s v="Banco Davivienda"/>
    <s v="Cuenta de Ahorros"/>
    <s v="136200139550"/>
    <x v="48"/>
    <s v="ALTOS DE LA PAVONA MZ B CS 5"/>
    <s v="3213771648"/>
    <s v="Armenia"/>
    <s v="Ventas"/>
    <x v="37"/>
    <s v="Armenia Ventas"/>
    <s v="EPS Sura"/>
    <s v="Porvenir"/>
    <s v="Porvenir"/>
    <x v="0"/>
    <s v="Mujer"/>
    <s v="ordinario"/>
    <s v="No"/>
    <m/>
    <m/>
    <m/>
    <m/>
    <m/>
    <m/>
    <m/>
    <x v="0"/>
    <m/>
    <m/>
    <m/>
    <x v="0"/>
    <n v="677"/>
    <n v="28.963888888888889"/>
  </r>
  <r>
    <n v="60"/>
    <x v="58"/>
    <s v="Morales Castillo"/>
    <s v="Cédula de ciudadanía"/>
    <n v="18496136"/>
    <s v="Empleado"/>
    <s v="Término indefinido"/>
    <x v="34"/>
    <m/>
    <s v="Mensual"/>
    <n v="1300000"/>
    <s v="Si"/>
    <s v="Centro de trabajo Riesgo 4"/>
    <m/>
    <s v="fabio1818mo@gmail.com"/>
    <m/>
    <s v="Transferencia Bancaria"/>
    <s v="Banco Davivienda"/>
    <s v="Cuenta de Ahorros"/>
    <s v="488419907446"/>
    <x v="49"/>
    <s v="MONTEBLANCO 3A ET MZ D CS 34"/>
    <s v="3234732180"/>
    <s v="Armenia"/>
    <s v="Operativa"/>
    <x v="38"/>
    <s v="Operativo"/>
    <s v="EPS Sura"/>
    <s v="Porvenir"/>
    <s v="Porvenir"/>
    <x v="0"/>
    <s v="Hombre"/>
    <s v="ordinario"/>
    <s v="No"/>
    <m/>
    <m/>
    <m/>
    <m/>
    <m/>
    <m/>
    <m/>
    <x v="0"/>
    <m/>
    <m/>
    <m/>
    <x v="0"/>
    <n v="677"/>
    <n v="51.06111111111111"/>
  </r>
  <r>
    <n v="61"/>
    <x v="59"/>
    <s v="Infante Noguera"/>
    <s v="Permiso de protección temporal"/>
    <n v="5291215"/>
    <s v="Empleado"/>
    <s v="Término indefinido"/>
    <x v="34"/>
    <m/>
    <s v="Mensual"/>
    <n v="1300000"/>
    <s v="Si"/>
    <s v="Centro de trabajo Riesgo 4"/>
    <m/>
    <s v="infante21@outlook.com"/>
    <m/>
    <s v="Transferencia Bancaria"/>
    <s v="Banco Davivienda"/>
    <s v="Cuenta de Ahorros"/>
    <s v="0550136700048111"/>
    <x v="50"/>
    <s v="BRR RECREO MZ I CA 21"/>
    <s v="3224291281"/>
    <s v="Armenia"/>
    <s v="Operativa"/>
    <x v="36"/>
    <s v="Operativo"/>
    <s v="Nueva EPS"/>
    <s v="Porvenir"/>
    <s v="Porvenir"/>
    <x v="0"/>
    <s v="Hombre"/>
    <s v="ordinario"/>
    <s v="No"/>
    <m/>
    <m/>
    <m/>
    <m/>
    <m/>
    <m/>
    <m/>
    <x v="0"/>
    <m/>
    <m/>
    <m/>
    <x v="0"/>
    <n v="677"/>
    <n v="41.358333333333334"/>
  </r>
  <r>
    <n v="62"/>
    <x v="60"/>
    <s v="Morales Amezquita"/>
    <s v="Cédula de ciudadanía"/>
    <n v="1097388218"/>
    <s v="Empleado"/>
    <s v="Término indefinido"/>
    <x v="34"/>
    <m/>
    <s v="Mensual"/>
    <n v="1300000"/>
    <s v="Si"/>
    <s v="Centro de trabajo Riesgo 4"/>
    <m/>
    <s v="jonathanmorales555@gmail.com"/>
    <m/>
    <s v="Transferencia Bancaria"/>
    <s v="Banco Davivienda"/>
    <s v="Cuenta de Ahorros"/>
    <s v="488424649363"/>
    <x v="51"/>
    <s v="BRR SAN FRANCISCO MZ C CA9"/>
    <s v="3005350226"/>
    <s v="Armenia"/>
    <s v="Operativa"/>
    <x v="36"/>
    <s v="Operativo"/>
    <s v="Nueva EPS"/>
    <s v="Porvenir"/>
    <s v="Porvenir"/>
    <x v="0"/>
    <s v="Hombre"/>
    <s v="ordinario"/>
    <s v="No"/>
    <m/>
    <m/>
    <m/>
    <m/>
    <m/>
    <m/>
    <m/>
    <x v="0"/>
    <m/>
    <m/>
    <m/>
    <x v="0"/>
    <n v="677"/>
    <n v="38.341666666666669"/>
  </r>
  <r>
    <n v="63"/>
    <x v="61"/>
    <s v="Barbosa Granada"/>
    <s v="Cédula de ciudadanía"/>
    <n v="1005095940"/>
    <s v="Empleado"/>
    <s v="Término indefinido"/>
    <x v="34"/>
    <m/>
    <s v="Mensual"/>
    <n v="1300000"/>
    <s v="Si"/>
    <s v="Centro de trabajo Riesgo 4"/>
    <m/>
    <s v="malejo19999@gmail.com"/>
    <m/>
    <s v="Transferencia Bancaria"/>
    <s v="Banco Davivienda"/>
    <s v="Cuenta de Ahorros"/>
    <s v="550488432990890"/>
    <x v="52"/>
    <s v="BRR LA CECILIA MZ 49 CA 13"/>
    <s v="3196816737"/>
    <s v="Armenia"/>
    <s v="Operativa"/>
    <x v="39"/>
    <s v="Operativo"/>
    <s v="EPS Sura"/>
    <s v="Porvenir"/>
    <s v="Porvenir"/>
    <x v="0"/>
    <s v="Hombre"/>
    <s v="ordinario"/>
    <s v="No"/>
    <m/>
    <m/>
    <m/>
    <m/>
    <m/>
    <m/>
    <m/>
    <x v="6"/>
    <s v="Renuncia voluntaria"/>
    <m/>
    <m/>
    <x v="1"/>
    <n v="669"/>
    <n v="24.986111111111111"/>
  </r>
  <r>
    <n v="64"/>
    <x v="62"/>
    <s v="Gallego Gutierrez"/>
    <s v="Cédula de ciudadanía"/>
    <n v="9726734"/>
    <s v="Empleado"/>
    <s v="Término indefinido"/>
    <x v="34"/>
    <m/>
    <s v="Mensual"/>
    <n v="1300000"/>
    <s v="Si"/>
    <s v="Centro de trabajo Riesgo 4"/>
    <m/>
    <s v="mariobask12@hotmail.com"/>
    <m/>
    <s v="Transferencia Bancaria"/>
    <s v="Banco Davivienda"/>
    <s v="Cuenta de Ahorros"/>
    <s v="138000062735"/>
    <x v="53"/>
    <s v="LA CORUÑA MZ 8 APT 219 PUERTO ESPEJO"/>
    <s v="3142933663"/>
    <s v="Armenia"/>
    <s v="Operativa"/>
    <x v="38"/>
    <s v="Operativo"/>
    <s v="Sanitas"/>
    <s v="Colpensiones"/>
    <s v="Porvenir"/>
    <x v="0"/>
    <s v="Hombre"/>
    <s v="ordinario"/>
    <s v="No"/>
    <m/>
    <m/>
    <m/>
    <m/>
    <m/>
    <m/>
    <m/>
    <x v="2"/>
    <s v="Renuncia voluntaria"/>
    <m/>
    <m/>
    <x v="1"/>
    <n v="597"/>
    <n v="43.75277777777778"/>
  </r>
  <r>
    <n v="65"/>
    <x v="63"/>
    <s v="Leon Vera"/>
    <s v="Cédula de ciudadanía"/>
    <n v="1097396169"/>
    <s v="Empleado"/>
    <s v="Término indefinido"/>
    <x v="34"/>
    <m/>
    <s v="Mensual"/>
    <n v="1300000"/>
    <s v="Si"/>
    <s v="Centro de trabajo Riesgo 4"/>
    <m/>
    <s v="paulajulianaleonvera@gmail.com"/>
    <m/>
    <s v="Transferencia Bancaria"/>
    <s v="Banco Davivienda"/>
    <s v="Cuenta de Ahorros"/>
    <s v="136100178922"/>
    <x v="54"/>
    <s v="BRR SAN ANDRES MZ 4 CA 1"/>
    <s v="3127244323"/>
    <s v="Armenia"/>
    <s v="Ventas"/>
    <x v="37"/>
    <s v="Armenia Ventas"/>
    <s v="Asmet Salud"/>
    <s v="Porvenir"/>
    <s v="Porvenir"/>
    <x v="0"/>
    <s v="Mujer"/>
    <s v="ordinario"/>
    <s v="No"/>
    <m/>
    <m/>
    <m/>
    <m/>
    <m/>
    <m/>
    <m/>
    <x v="0"/>
    <m/>
    <m/>
    <m/>
    <x v="0"/>
    <n v="677"/>
    <n v="33.450000000000003"/>
  </r>
  <r>
    <n v="66"/>
    <x v="64"/>
    <s v="Gómez Oviedo"/>
    <s v="Cédula de ciudadanía"/>
    <n v="41922227"/>
    <s v="Empleado"/>
    <s v="Término indefinido"/>
    <x v="35"/>
    <s v=""/>
    <s v="Mensual"/>
    <n v="4640000"/>
    <s v="No"/>
    <s v="Centro de trabajo Riesgo 2"/>
    <s v="Si"/>
    <s v="clapago17@hotmail.com"/>
    <m/>
    <s v="Transferencia Bancaria"/>
    <s v="Banco Davivienda"/>
    <s v="Cuenta de Ahorros"/>
    <s v="136000925729"/>
    <x v="23"/>
    <s v="Bosques de Pinares Mz 4 casa 132"/>
    <s v="3043883089"/>
    <s v="Sede principal"/>
    <s v="Jefactura"/>
    <x v="40"/>
    <s v="Administrativo"/>
    <s v="EPS Sura"/>
    <s v="Colpensiones"/>
    <s v="Porvenir"/>
    <x v="7"/>
    <s v="Mujer"/>
    <s v="dirección, confianza y/o manejo"/>
    <m/>
    <m/>
    <m/>
    <m/>
    <m/>
    <m/>
    <m/>
    <m/>
    <x v="0"/>
    <m/>
    <m/>
    <m/>
    <x v="0"/>
    <n v="673"/>
    <s v=""/>
  </r>
  <r>
    <n v="67"/>
    <x v="32"/>
    <s v="García Osorio"/>
    <s v="Cédula de ciudadanía"/>
    <n v="1098311372"/>
    <s v="Empleado"/>
    <s v="Término indefinido"/>
    <x v="36"/>
    <m/>
    <s v="Mensual"/>
    <n v="1300000"/>
    <s v="Si"/>
    <s v="Centro de trabajo Riesgo 3"/>
    <s v="Si"/>
    <s v="minitrufa02@gmail.com"/>
    <m/>
    <s v="Transferencia Bancaria"/>
    <s v="Banco Colpatria"/>
    <s v="Cuenta de Ahorros"/>
    <s v="3412019997"/>
    <x v="55"/>
    <s v="Calle 5 #1033 Apto 202"/>
    <s v="3234227481"/>
    <s v="Baronesa Portal del Quindío"/>
    <s v="Restaurantes"/>
    <x v="41"/>
    <s v="Portal del Quindío"/>
    <s v="Nueva EPS"/>
    <s v="Protección"/>
    <s v="Protección"/>
    <x v="10"/>
    <s v="Hombre"/>
    <s v="ordinario"/>
    <s v="No"/>
    <m/>
    <s v="No"/>
    <s v="No aplica"/>
    <s v="No aplica"/>
    <s v="No"/>
    <s v="No aplica"/>
    <s v="No aplica"/>
    <x v="7"/>
    <s v="Renuncia voluntaria"/>
    <m/>
    <m/>
    <x v="1"/>
    <n v="667"/>
    <n v="28.5"/>
  </r>
  <r>
    <n v="68"/>
    <x v="65"/>
    <s v="Gallego"/>
    <s v="Cédula de ciudadanía"/>
    <n v="94233408"/>
    <s v="Empleado"/>
    <s v="Término indefinido"/>
    <x v="37"/>
    <m/>
    <s v="Mensual"/>
    <n v="1708000"/>
    <s v="Si"/>
    <s v="Centro de trabajo Riesgo 2 "/>
    <m/>
    <s v="bladimir2022@gmail.com"/>
    <m/>
    <s v="Transferencia Bancaria"/>
    <s v="Bancolombia"/>
    <s v="Cuenta de Ahorros"/>
    <s v="76100001303"/>
    <x v="56"/>
    <s v="Quebrada nueva municipio zarzal"/>
    <s v="3116194249"/>
    <s v="La Duquesa"/>
    <s v="Operaciones"/>
    <x v="28"/>
    <s v="Mano de Obra Directa"/>
    <s v="Nueva EPS"/>
    <s v="Porvenir"/>
    <s v="Porvenir"/>
    <x v="2"/>
    <s v="Hombre"/>
    <s v="ordinario"/>
    <m/>
    <m/>
    <m/>
    <m/>
    <m/>
    <m/>
    <m/>
    <m/>
    <x v="2"/>
    <s v="Terminación por mutuo acuerdo"/>
    <s v="Reestructuración empresarial"/>
    <m/>
    <x v="1"/>
    <n v="588"/>
    <n v="39.524999999999999"/>
  </r>
  <r>
    <n v="69"/>
    <x v="66"/>
    <s v="Zapata Tamayo"/>
    <s v="Cédula de ciudadanía"/>
    <n v="1007452295"/>
    <s v="Empleado"/>
    <s v="Término indefinido"/>
    <x v="38"/>
    <m/>
    <s v="Mensual"/>
    <n v="1377391"/>
    <s v="Si"/>
    <s v="Centro de trabajo Riesgo 2 "/>
    <m/>
    <s v="linamarcelazapatatamayo@gmail.com"/>
    <m/>
    <s v="Transferencia Bancaria"/>
    <s v="Bancolombia"/>
    <s v="Cuenta de Ahorros"/>
    <s v="76156093498"/>
    <x v="57"/>
    <s v="Quebrada nueva municipio zarzal"/>
    <s v="3226311583"/>
    <s v="La Duquesa"/>
    <s v="Operaciones"/>
    <x v="6"/>
    <s v="Mano de Obra Directa"/>
    <s v="Coosalud"/>
    <s v="Porvenir"/>
    <s v="Porvenir"/>
    <x v="2"/>
    <s v="Mujer"/>
    <s v="ordinario"/>
    <m/>
    <m/>
    <m/>
    <m/>
    <m/>
    <m/>
    <m/>
    <m/>
    <x v="8"/>
    <s v="Renuncia voluntaria"/>
    <m/>
    <m/>
    <x v="1"/>
    <n v="543"/>
    <n v="24.083333333333332"/>
  </r>
  <r>
    <n v="70"/>
    <x v="67"/>
    <s v="Gallego Munoz"/>
    <s v="Cédula de ciudadanía"/>
    <n v="1006438786"/>
    <s v="Empleado"/>
    <s v="Término indefinido"/>
    <x v="38"/>
    <m/>
    <s v="Mensual"/>
    <n v="1300000"/>
    <s v="Si"/>
    <s v="Centro de trabajo Riesgo 2 "/>
    <m/>
    <s v=""/>
    <m/>
    <s v="Transferencia Bancaria"/>
    <s v="Bancolombia"/>
    <s v="Cuenta de Ahorros"/>
    <s v="76100001319"/>
    <x v="58"/>
    <s v="Quebrada nueva municipio zarzal"/>
    <s v="3128993779"/>
    <s v="La Duquesa"/>
    <s v="Operaciones"/>
    <x v="6"/>
    <s v="Mano de Obra Directa"/>
    <s v="Emssanar"/>
    <s v="Porvenir"/>
    <s v="Porvenir"/>
    <x v="2"/>
    <s v="Hombre"/>
    <s v="ordinario"/>
    <m/>
    <m/>
    <m/>
    <m/>
    <m/>
    <m/>
    <m/>
    <m/>
    <x v="2"/>
    <s v="Terminación por mutuo acuerdo"/>
    <s v="Reestructuración empresarial"/>
    <m/>
    <x v="1"/>
    <n v="566"/>
    <n v="21.269444444444446"/>
  </r>
  <r>
    <n v="71"/>
    <x v="68"/>
    <s v="Gallego Munoz"/>
    <s v="Cédula de ciudadanía"/>
    <n v="1006438785"/>
    <s v="Empleado"/>
    <s v="Término indefinido"/>
    <x v="38"/>
    <m/>
    <s v="Mensual"/>
    <n v="1300000"/>
    <s v="Si"/>
    <s v="Centro de trabajo Riesgo 2 "/>
    <m/>
    <s v="yersongamu@gmail.com"/>
    <m/>
    <s v="Transferencia Bancaria"/>
    <s v="Bancolombia"/>
    <s v="Cuenta de Ahorros"/>
    <s v="76100001325"/>
    <x v="58"/>
    <s v="Quebrada nueva municipio zarzal"/>
    <s v="3116495873"/>
    <s v="La Duquesa"/>
    <s v="Operaciones"/>
    <x v="6"/>
    <s v="Mano de Obra Directa"/>
    <s v="Emssanar"/>
    <s v="Porvenir"/>
    <s v="Porvenir"/>
    <x v="2"/>
    <s v="Hombre"/>
    <s v="ordinario"/>
    <m/>
    <m/>
    <m/>
    <m/>
    <m/>
    <m/>
    <m/>
    <m/>
    <x v="2"/>
    <s v="Terminación por mutuo acuerdo"/>
    <s v="Reestructuración empresarial"/>
    <m/>
    <x v="1"/>
    <n v="566"/>
    <n v="21.269444444444446"/>
  </r>
  <r>
    <n v="72"/>
    <x v="69"/>
    <s v="Meneses Morales"/>
    <s v="Cédula de ciudadanía"/>
    <n v="6558638"/>
    <s v="Empleado"/>
    <s v="Término indefinido"/>
    <x v="39"/>
    <m/>
    <s v="Mensual"/>
    <n v="1624000"/>
    <s v="Si"/>
    <s v="Centro de trabajo Riesgo 5 "/>
    <m/>
    <s v=""/>
    <m/>
    <s v="Transferencia Bancaria"/>
    <s v="Bancolombia"/>
    <s v="Cuenta de Ahorros"/>
    <s v="76100001315"/>
    <x v="59"/>
    <s v="Zarzal valle del cauca"/>
    <s v="3126098882"/>
    <s v="La Duquesa"/>
    <s v="Operaciones"/>
    <x v="42"/>
    <s v="Mano de Obra Directa"/>
    <s v="Emssanar"/>
    <s v="Porvenir"/>
    <s v="Porvenir"/>
    <x v="2"/>
    <s v="Hombre"/>
    <s v="ordinario"/>
    <m/>
    <m/>
    <m/>
    <m/>
    <m/>
    <m/>
    <m/>
    <m/>
    <x v="2"/>
    <s v="Terminación por mutuo acuerdo"/>
    <s v="Reestructuración empresarial"/>
    <m/>
    <x v="1"/>
    <n v="563"/>
    <n v="67.466666666666669"/>
  </r>
  <r>
    <n v="73"/>
    <x v="70"/>
    <s v="Vega Alvarez"/>
    <s v="Cédula de ciudadanía"/>
    <n v="41939066"/>
    <s v="Empleado"/>
    <s v="Término indefinido"/>
    <x v="40"/>
    <m/>
    <s v="Mensual"/>
    <n v="2021680"/>
    <s v="Si"/>
    <s v="Centro de trabajo Riesgo 2"/>
    <s v="Si"/>
    <s v="nana1657@hotmail.com"/>
    <m/>
    <s v="Transferencia Bancaria"/>
    <s v="Banco AV Villas"/>
    <s v="Cuenta de Ahorros"/>
    <s v="534722744"/>
    <x v="60"/>
    <s v="   CALLE 15 No 23-39"/>
    <s v="3108900403"/>
    <s v="Restaurante El Solar"/>
    <s v="Coordinación"/>
    <x v="43"/>
    <s v="Mano de Obra Directa"/>
    <s v="EPS Sura"/>
    <s v="Porvenir"/>
    <s v="Protección"/>
    <x v="3"/>
    <s v="Mujer"/>
    <s v="dirección, confianza y/o manejo"/>
    <s v="No"/>
    <m/>
    <s v="No"/>
    <s v="No aplica"/>
    <s v="No aplica"/>
    <s v="No"/>
    <s v="No aplica"/>
    <s v="No"/>
    <x v="0"/>
    <m/>
    <m/>
    <m/>
    <x v="0"/>
    <n v="621"/>
    <n v="46.505555555555553"/>
  </r>
  <r>
    <n v="74"/>
    <x v="71"/>
    <s v="Sarria Sierra"/>
    <s v="Cédula de ciudadanía"/>
    <n v="43148847"/>
    <s v="Empleado"/>
    <s v="Término indefinido"/>
    <x v="41"/>
    <m/>
    <s v="Mensual"/>
    <n v="1300000"/>
    <s v="Si"/>
    <s v="Centro de trabajo Riesgo 3"/>
    <s v="Si"/>
    <s v="bibianasarria6@gmail.com"/>
    <m/>
    <s v="Transferencia Bancaria"/>
    <s v="Banco Colpatria"/>
    <s v="Cuenta de Ahorros"/>
    <s v="7462028540"/>
    <x v="61"/>
    <s v="La Tebaida "/>
    <s v=""/>
    <s v="Baronesa Mall Paraíso"/>
    <s v="Restaurantes"/>
    <x v="44"/>
    <s v="Mall Paraíso"/>
    <s v="Nueva EPS"/>
    <s v="Porvenir"/>
    <s v="Porvenir"/>
    <x v="10"/>
    <s v="Mujer"/>
    <s v="ordinario"/>
    <s v="No"/>
    <m/>
    <s v="No"/>
    <s v="No aplica"/>
    <s v="No aplica"/>
    <s v="No"/>
    <s v="No aplica"/>
    <s v="No aplica"/>
    <x v="0"/>
    <m/>
    <m/>
    <m/>
    <x v="0"/>
    <n v="612"/>
    <n v="39.208333333333336"/>
  </r>
  <r>
    <n v="75"/>
    <x v="72"/>
    <s v="Garcia Arcila"/>
    <s v="Cédula de ciudadanía"/>
    <n v="7559732"/>
    <s v="Empleado"/>
    <s v="Término indefinido"/>
    <x v="42"/>
    <m/>
    <s v="Mensual"/>
    <n v="9990000"/>
    <s v="No"/>
    <s v="Centro de trabajo Riesgo 4"/>
    <m/>
    <s v="luisfernandogarcia22@hotmail.com"/>
    <m/>
    <s v="Transferencia Bancaria"/>
    <s v="Bancolombia"/>
    <s v="Cuenta de Ahorros"/>
    <s v="72479548799"/>
    <x v="62"/>
    <s v="CALLE 23 A NORTE #19-47"/>
    <s v="3104517339"/>
    <s v="Armenia"/>
    <s v="Administrativa"/>
    <x v="27"/>
    <s v="Armenia Administrativo"/>
    <s v="EPS Sura"/>
    <s v="Colpensiones"/>
    <s v="Porvenir"/>
    <x v="0"/>
    <s v="Hombre"/>
    <s v="dirección, confianza y/o manejo"/>
    <s v="No"/>
    <m/>
    <m/>
    <m/>
    <m/>
    <m/>
    <m/>
    <m/>
    <x v="0"/>
    <m/>
    <m/>
    <m/>
    <x v="0"/>
    <n v="591"/>
    <n v="54.783333333333331"/>
  </r>
  <r>
    <n v="76"/>
    <x v="73"/>
    <s v="Barreto Barreto"/>
    <s v="Cédula de ciudadanía"/>
    <n v="41943826"/>
    <s v="Empleado"/>
    <s v="Término indefinido"/>
    <x v="20"/>
    <m/>
    <s v="Mensual"/>
    <n v="1300000"/>
    <s v="Si"/>
    <s v="Centro de trabajo Riesgo 4"/>
    <m/>
    <s v="sandrabarreto0844@gmail.com"/>
    <m/>
    <s v="Transferencia Bancaria"/>
    <s v="Banco Davivienda"/>
    <s v="Cuenta de Ahorros"/>
    <s v="0550488433670210"/>
    <x v="63"/>
    <s v="CRA 26 A NRO 16-25 BARRIO TIGREROS"/>
    <s v="3209713833"/>
    <s v="Armenia"/>
    <s v="Ventas"/>
    <x v="37"/>
    <s v="Armenia Ventas"/>
    <s v="EPS Sura"/>
    <s v="Colpensiones"/>
    <s v="Porvenir"/>
    <x v="0"/>
    <s v="Mujer"/>
    <s v="ordinario"/>
    <s v="No"/>
    <m/>
    <m/>
    <m/>
    <m/>
    <m/>
    <m/>
    <m/>
    <x v="0"/>
    <m/>
    <m/>
    <m/>
    <x v="0"/>
    <n v="581"/>
    <n v="44.780555555555559"/>
  </r>
  <r>
    <n v="77"/>
    <x v="74"/>
    <s v="Ocampo Rodriguez"/>
    <s v="Cédula de ciudadanía"/>
    <n v="94462631"/>
    <s v="Empleado"/>
    <s v="Término indefinido"/>
    <x v="20"/>
    <m/>
    <s v="Mensual"/>
    <n v="2088000"/>
    <s v="Si"/>
    <s v="Centro de trabajo Riesgo 2"/>
    <s v="Si"/>
    <s v="cristian12@gmail.com"/>
    <m/>
    <s v="Transferencia Bancaria"/>
    <s v="Bancolombia"/>
    <s v="Cuenta de Ahorros"/>
    <s v="80271286574"/>
    <x v="64"/>
    <s v="Barrio el Carmen, caicedonia valle calle 9 #16-18"/>
    <s v="3148921487"/>
    <s v="Finca las brisas"/>
    <s v="Operaciones"/>
    <x v="28"/>
    <s v="Mano de Obra Directa"/>
    <s v="Emssanar"/>
    <s v="Porvenir"/>
    <s v="Porvenir"/>
    <x v="2"/>
    <s v="Hombre"/>
    <s v="ordinario"/>
    <m/>
    <m/>
    <m/>
    <m/>
    <m/>
    <m/>
    <m/>
    <m/>
    <x v="2"/>
    <s v="Terminación por mutuo acuerdo"/>
    <s v="Reestructuración empresarial"/>
    <m/>
    <x v="1"/>
    <n v="501"/>
    <n v="42.838888888888889"/>
  </r>
  <r>
    <n v="78"/>
    <x v="75"/>
    <s v="Cadena Henao"/>
    <s v="Cédula de ciudadanía"/>
    <n v="1094931656"/>
    <s v="Empleado"/>
    <s v="Término indefinido"/>
    <x v="43"/>
    <m/>
    <s v="Mensual"/>
    <n v="1300000"/>
    <s v="Si"/>
    <s v="Centro de trabajo Riesgo 4"/>
    <m/>
    <s v="paula05cadena@hotmail.com"/>
    <m/>
    <s v="Transferencia Bancaria"/>
    <s v="Banco Davivienda"/>
    <s v="Cuenta de Ahorros"/>
    <s v="488434041189"/>
    <x v="65"/>
    <s v="BRR EL RECUERDO CS 113A"/>
    <s v="3148576736"/>
    <s v="Armenia"/>
    <s v="Ventas"/>
    <x v="37"/>
    <s v="Armenia Ventas"/>
    <s v="Famisanar"/>
    <s v="Protección"/>
    <s v="Porvenir"/>
    <x v="0"/>
    <s v="Mujer"/>
    <s v="ordinario"/>
    <s v="No"/>
    <m/>
    <m/>
    <m/>
    <m/>
    <m/>
    <m/>
    <m/>
    <x v="9"/>
    <s v="Renuncia voluntaria"/>
    <m/>
    <m/>
    <x v="1"/>
    <n v="557"/>
    <n v="31.330555555555556"/>
  </r>
  <r>
    <n v="79"/>
    <x v="76"/>
    <s v="Morales Motato"/>
    <s v="Cédula de ciudadanía"/>
    <n v="1057759152"/>
    <s v="Empleado"/>
    <s v="Término indefinido"/>
    <x v="44"/>
    <m/>
    <s v="Mensual"/>
    <n v="1300000"/>
    <s v="Si"/>
    <s v="Centro de trabajo Riesgo 3"/>
    <s v="Si"/>
    <s v="mariapaulaherreram10@gmail.com"/>
    <m/>
    <s v="Efectivo"/>
    <m/>
    <m/>
    <s v=""/>
    <x v="23"/>
    <m/>
    <s v=""/>
    <s v="PIBO Mall Paraíso"/>
    <s v="Restaurantes"/>
    <x v="44"/>
    <s v="Mall Paraíso"/>
    <s v="Nueva EPS"/>
    <s v="Porvenir"/>
    <s v="Porvenir"/>
    <x v="10"/>
    <s v="Mujer"/>
    <s v="ordinario"/>
    <s v="No"/>
    <m/>
    <s v="No"/>
    <s v="No aplica"/>
    <s v="No aplica"/>
    <s v="No"/>
    <s v="No aplica"/>
    <s v="No aplica"/>
    <x v="0"/>
    <m/>
    <m/>
    <m/>
    <x v="0"/>
    <n v="567"/>
    <s v=""/>
  </r>
  <r>
    <n v="80"/>
    <x v="77"/>
    <s v="Gallego Muñoz"/>
    <s v="Cédula de ciudadanía"/>
    <n v="1116444450"/>
    <s v="Empleado"/>
    <s v="Término indefinido"/>
    <x v="44"/>
    <m/>
    <s v="Mensual"/>
    <n v="1377391"/>
    <s v="Si"/>
    <s v="Centro de trabajo Riesgo 2 "/>
    <m/>
    <s v="wilmergallegomunoz@gmail.com"/>
    <m/>
    <s v="Transferencia Bancaria"/>
    <s v="Banco Davivienda"/>
    <s v="Cuenta de Ahorros"/>
    <s v="76100001324"/>
    <x v="66"/>
    <s v="Barrio la estación QUEBRADANUEVA ZARZAL"/>
    <s v="3215996059"/>
    <s v="La Duquesa"/>
    <s v="Administrativo"/>
    <x v="6"/>
    <s v="Mano de Obra Directa"/>
    <s v="Emssanar"/>
    <s v="Colpensiones"/>
    <s v="Porvenir"/>
    <x v="2"/>
    <s v="Hombre"/>
    <s v="ordinario"/>
    <m/>
    <m/>
    <s v="No"/>
    <m/>
    <s v="No"/>
    <s v="Si"/>
    <m/>
    <s v="Si"/>
    <x v="2"/>
    <s v="Terminación por mutuo acuerdo"/>
    <s v="Reestructuración empresarial"/>
    <m/>
    <x v="1"/>
    <n v="487"/>
    <n v="29.166666666666668"/>
  </r>
  <r>
    <n v="81"/>
    <x v="78"/>
    <s v="Manchego Navarro"/>
    <s v="Cédula de ciudadanía"/>
    <n v="10884368"/>
    <s v="Empleado"/>
    <s v="Término indefinido"/>
    <x v="45"/>
    <m/>
    <s v="Mensual"/>
    <n v="1300000"/>
    <s v="No"/>
    <s v="Centro de trabajo Riesgo 2"/>
    <m/>
    <s v="oswaldo23@gmail.com"/>
    <m/>
    <s v="Efectivo"/>
    <m/>
    <m/>
    <m/>
    <x v="67"/>
    <s v="finca San pablo"/>
    <s v="3122343212"/>
    <s v="Finca san pablo"/>
    <s v="Administrador General"/>
    <x v="28"/>
    <s v="Mano de Obra Directa"/>
    <s v="Nueva EPS"/>
    <s v="Colpensiones"/>
    <s v="Porvenir"/>
    <x v="8"/>
    <s v="Hombre"/>
    <s v="ordinario"/>
    <s v="Si"/>
    <n v="216000"/>
    <s v="No"/>
    <s v="No aplica"/>
    <s v="No aplica"/>
    <s v="No"/>
    <s v="No aplica"/>
    <s v="No aplica"/>
    <x v="0"/>
    <m/>
    <m/>
    <m/>
    <x v="0"/>
    <n v="551"/>
    <n v="46.741666666666667"/>
  </r>
  <r>
    <n v="82"/>
    <x v="79"/>
    <s v="Acevedo Marin"/>
    <s v="Cédula de ciudadanía"/>
    <n v="18415209"/>
    <s v="Empleado"/>
    <s v="Término indefinido"/>
    <x v="45"/>
    <m/>
    <s v="Mensual"/>
    <n v="1300000"/>
    <s v="No"/>
    <s v="Centro de trabajo Riesgo 2"/>
    <m/>
    <s v="jose2@gmail.com"/>
    <m/>
    <s v="Efectivo"/>
    <m/>
    <m/>
    <m/>
    <x v="68"/>
    <s v="Finca la maquita"/>
    <s v="3117775719"/>
    <s v="Finca La Maquita"/>
    <s v="Administrador"/>
    <x v="17"/>
    <s v="Mano de Obra Directa"/>
    <s v="Nueva EPS"/>
    <s v="Porvenir"/>
    <s v="Porvenir"/>
    <x v="1"/>
    <s v="Hombre"/>
    <s v="ordinario"/>
    <s v="Si"/>
    <n v="352800"/>
    <s v="No"/>
    <s v="No aplica"/>
    <s v="No aplica"/>
    <s v="No"/>
    <s v="No aplica"/>
    <s v="No aplica"/>
    <x v="0"/>
    <m/>
    <m/>
    <m/>
    <x v="0"/>
    <n v="551"/>
    <n v="52.727777777777774"/>
  </r>
  <r>
    <n v="83"/>
    <x v="80"/>
    <s v="Cardona Restrepo"/>
    <s v="Cédula de ciudadanía"/>
    <n v="1010064198"/>
    <s v="Empleado"/>
    <s v="Término indefinido"/>
    <x v="46"/>
    <s v=""/>
    <s v="Mensual"/>
    <n v="2436000"/>
    <s v="No"/>
    <s v="Centro de trabajo Riesgo 2"/>
    <s v="Si"/>
    <s v="juancardona23@gmail.com"/>
    <m/>
    <s v="Transferencia Bancaria"/>
    <s v="Banco Davivienda"/>
    <s v="Cuenta de Ahorros"/>
    <s v="136400116119"/>
    <x v="23"/>
    <s v="Calle 30 No. 23-13 Apt 201 Calarcá centro"/>
    <s v="3216876356"/>
    <s v="Sede principal"/>
    <s v="Operaciones"/>
    <x v="45"/>
    <s v="Mano de Obra Directa"/>
    <s v="EPS Sura"/>
    <s v="Porvenir"/>
    <s v="Porvenir"/>
    <x v="7"/>
    <s v="Hombre"/>
    <s v="dirección, confianza y/o manejo"/>
    <m/>
    <m/>
    <m/>
    <m/>
    <m/>
    <m/>
    <m/>
    <m/>
    <x v="0"/>
    <m/>
    <m/>
    <m/>
    <x v="0"/>
    <n v="520"/>
    <s v=""/>
  </r>
  <r>
    <n v="84"/>
    <x v="81"/>
    <s v="Raga Pineda"/>
    <s v="Permiso de protección  temporal"/>
    <n v="6312904"/>
    <s v="Empleado"/>
    <s v="Término indefinido"/>
    <x v="46"/>
    <m/>
    <s v="Mensual"/>
    <n v="1300000"/>
    <s v="No"/>
    <s v="Centro de trabajo Riesgo 2"/>
    <m/>
    <m/>
    <m/>
    <s v="Transferencia Bancaria"/>
    <s v="Banco Davivienda"/>
    <s v="Cuenta de Ahorros"/>
    <s v="3178699573"/>
    <x v="23"/>
    <s v=""/>
    <s v="3178699573"/>
    <s v="Quindio"/>
    <s v="Operativa"/>
    <x v="46"/>
    <s v="Mano de Obra Directa"/>
    <s v="Sanitas"/>
    <s v="Protección"/>
    <s v="Protección"/>
    <x v="6"/>
    <s v="Hombre"/>
    <s v="ordinario"/>
    <s v="Si"/>
    <n v="52800"/>
    <s v="No "/>
    <s v="No aplica"/>
    <s v="No aplica"/>
    <s v="No"/>
    <s v="No aplica"/>
    <s v="No aplica"/>
    <x v="0"/>
    <m/>
    <m/>
    <m/>
    <x v="0"/>
    <n v="520"/>
    <s v=""/>
  </r>
  <r>
    <n v="85"/>
    <x v="82"/>
    <s v="Leal Gil"/>
    <s v="Cédula de ciudadanía"/>
    <n v="18401610"/>
    <s v="Empleado"/>
    <s v="Término indefinido"/>
    <x v="46"/>
    <m/>
    <s v="Mensual"/>
    <n v="1300000"/>
    <s v="Si"/>
    <s v="Centro de trabajo Riesgo 2"/>
    <s v="Si"/>
    <s v="lealgilfabio@gmail.com"/>
    <m/>
    <s v="Transferencia Bancaria"/>
    <s v="Banco Davivienda"/>
    <s v="Cuenta de Ahorros"/>
    <s v="0550488433982342"/>
    <x v="69"/>
    <s v="   MANZANA 2 CASA 23"/>
    <s v="3217226854"/>
    <s v="Restaurante El Solar"/>
    <s v="Servicio y producción"/>
    <x v="19"/>
    <s v="Mano de Obra Directa"/>
    <s v="Sanitas"/>
    <s v="Colpensiones"/>
    <s v="Protección"/>
    <x v="3"/>
    <s v="Hombre"/>
    <s v="ordinario"/>
    <s v="Si"/>
    <n v="300000"/>
    <s v="No"/>
    <s v="No aplica"/>
    <s v="No aplica"/>
    <s v="No"/>
    <s v="No aplica"/>
    <s v="No"/>
    <x v="0"/>
    <m/>
    <m/>
    <m/>
    <x v="0"/>
    <n v="520"/>
    <n v="40.766666666666666"/>
  </r>
  <r>
    <n v="86"/>
    <x v="83"/>
    <s v="Rodriguez Cristancho"/>
    <s v="Cédula de ciudadanía"/>
    <n v="1075684074"/>
    <s v="Empleado"/>
    <s v="Término indefinido"/>
    <x v="47"/>
    <m/>
    <s v="Mensual"/>
    <n v="1300000"/>
    <s v="Si"/>
    <s v="Centro de trabajo Riesgo 3"/>
    <s v="Si"/>
    <s v="andreagonzalezcortez@gmail.com"/>
    <m/>
    <s v="Transferencia Bancaria"/>
    <s v="Banco Colpatria"/>
    <s v="Cuenta de Ahorros"/>
    <s v="3412021401"/>
    <x v="70"/>
    <s v="B/Cantarito MZ13#28"/>
    <s v="3137223923"/>
    <s v="Baronesa Mall Paraíso"/>
    <s v="Restaurantes"/>
    <x v="44"/>
    <s v="Mall Paraíso"/>
    <s v="Nueva EPS Movilidad"/>
    <s v="Protección"/>
    <s v="Protección"/>
    <x v="10"/>
    <s v="Mujer"/>
    <s v="ordinario"/>
    <s v="No"/>
    <m/>
    <s v="No"/>
    <s v="No aplica"/>
    <s v="No aplica"/>
    <s v="No"/>
    <s v="No aplica"/>
    <s v="No aplica"/>
    <x v="0"/>
    <m/>
    <m/>
    <m/>
    <x v="0"/>
    <n v="490"/>
    <n v="26.677777777777777"/>
  </r>
  <r>
    <n v="87"/>
    <x v="84"/>
    <s v="Marín"/>
    <s v="Cédula de ciudadanía"/>
    <n v="4404137"/>
    <s v="Empleado"/>
    <s v="Término indefinido"/>
    <x v="48"/>
    <m/>
    <s v="Mensual"/>
    <n v="1401515"/>
    <s v="Si"/>
    <s v="Centro de trabajo Riesgo 1"/>
    <s v="Si"/>
    <s v="alexmarinsofi@gmail.com"/>
    <m/>
    <s v="Transferencia Bancaria"/>
    <s v="Nequi"/>
    <s v="Cuenta de Ahorros"/>
    <s v="3215802126"/>
    <x v="71"/>
    <s v="Finca los Alamos Vrda el Caimo Via la Tebaida"/>
    <s v="3215802126"/>
    <s v="LOS ALAMOS"/>
    <s v="Mantenimiento"/>
    <x v="47"/>
    <s v="Mano de Obra Directa"/>
    <s v="Nueva EPS Movilidad"/>
    <s v="Protección"/>
    <s v="Protección"/>
    <x v="11"/>
    <s v="Hombre"/>
    <s v="dirección, confianza y/o manejo"/>
    <s v="No"/>
    <m/>
    <s v="No "/>
    <s v="No aplica"/>
    <s v="No aplica"/>
    <s v="No"/>
    <s v="No aplica"/>
    <s v="No aplica"/>
    <x v="0"/>
    <m/>
    <m/>
    <m/>
    <x v="0"/>
    <n v="459"/>
    <n v="44.552777777777777"/>
  </r>
  <r>
    <n v="88"/>
    <x v="85"/>
    <s v="Velez Correa"/>
    <s v="Cédula de ciudadanía"/>
    <n v="25019902"/>
    <s v="Empleado"/>
    <s v="Término indefinido"/>
    <x v="49"/>
    <s v=""/>
    <s v="Mensual"/>
    <n v="1300000"/>
    <s v="Si"/>
    <s v="Centro de trabajo Riesgo 2"/>
    <s v="Si"/>
    <s v="edelmiravelezcorrea2@gmail.com"/>
    <m/>
    <s v="Transferencia Bancaria"/>
    <s v="Banco Davivienda"/>
    <s v="Cuenta de Ahorros"/>
    <s v="136100196908"/>
    <x v="23"/>
    <s v="B/La Cecilia Etapa 2 Mz 17 No. 19 -Armenia"/>
    <s v="3233014168"/>
    <s v="Sede principal"/>
    <s v="Operaciones"/>
    <x v="48"/>
    <s v="Mano de Obra Directa"/>
    <s v="Nueva EPS"/>
    <s v="Protección"/>
    <s v="Protección"/>
    <x v="7"/>
    <s v="Mujer"/>
    <s v="ordinario"/>
    <m/>
    <m/>
    <s v="Si"/>
    <m/>
    <s v="No"/>
    <m/>
    <m/>
    <m/>
    <x v="0"/>
    <m/>
    <m/>
    <m/>
    <x v="0"/>
    <n v="457"/>
    <s v=""/>
  </r>
  <r>
    <n v="90"/>
    <x v="86"/>
    <s v="López Correa"/>
    <s v="Cédula de ciudadanía"/>
    <n v="1091202104"/>
    <s v="Empleado"/>
    <s v="Término indefinido"/>
    <x v="50"/>
    <m/>
    <s v="Mensual"/>
    <n v="1300000"/>
    <s v="Si"/>
    <s v="Centro de trabajo Riesgo 3"/>
    <s v="Si"/>
    <s v="lopezcorreamariafernanda53@gmail.com"/>
    <m/>
    <s v="Transferencia Bancaria"/>
    <s v="Banco Colpatria"/>
    <s v="Cuenta de Ahorros"/>
    <s v="7462029642"/>
    <x v="72"/>
    <s v="Cr 20a #34-40 Barrio Miraflores"/>
    <s v="3205485187"/>
    <s v="Baronesa Portal del Quindío"/>
    <s v="Restaurantes"/>
    <x v="44"/>
    <s v="Portal del Quindío"/>
    <s v="Nueva EPS"/>
    <s v="Protección"/>
    <s v="Protección"/>
    <x v="10"/>
    <s v="Mujer"/>
    <s v="ordinario"/>
    <s v="No"/>
    <m/>
    <s v="No"/>
    <s v="No aplica"/>
    <s v="No aplica"/>
    <s v="No"/>
    <s v="No aplica"/>
    <s v="No aplica"/>
    <x v="10"/>
    <s v="Renuncia voluntaria"/>
    <m/>
    <m/>
    <x v="1"/>
    <n v="365"/>
    <n v="20.205555555555556"/>
  </r>
  <r>
    <n v="91"/>
    <x v="87"/>
    <s v="Rodriguez Lopez"/>
    <s v="Cédula de ciudadanía"/>
    <n v="1032492636"/>
    <s v="Empleado"/>
    <s v="Término indefinido"/>
    <x v="51"/>
    <m/>
    <s v="Mensual"/>
    <n v="1300000"/>
    <s v="Si"/>
    <s v="Centro de trabajo Riesgo 1"/>
    <s v="Si"/>
    <s v="andrea139704@gmail.com"/>
    <m/>
    <s v="Transferencia Bancaria"/>
    <s v="Banco Davivienda"/>
    <s v="Cuenta de Ahorros"/>
    <s v="472970080033"/>
    <x v="73"/>
    <s v="Cra 16 a # 30-64 BRR Armenia localidad Teusaquillo"/>
    <s v="3118451199"/>
    <s v="Bogota"/>
    <s v="Diseño"/>
    <x v="49"/>
    <s v="Administrativo"/>
    <s v="EPS Sura"/>
    <s v="Protección"/>
    <s v="Protección"/>
    <x v="9"/>
    <s v="Mujer"/>
    <s v="ordinario"/>
    <s v="Si"/>
    <n v="500800"/>
    <s v="No"/>
    <s v="No aplica"/>
    <s v="No"/>
    <s v="No"/>
    <s v="No aplica"/>
    <s v="No"/>
    <x v="11"/>
    <s v="Terminación sin justa causa"/>
    <m/>
    <m/>
    <x v="1"/>
    <n v="415"/>
    <n v="26.641666666666666"/>
  </r>
  <r>
    <n v="92"/>
    <x v="88"/>
    <s v="Santa"/>
    <s v="Cédula de ciudadanía"/>
    <n v="24815705"/>
    <s v="Empleado"/>
    <s v="Término indefinido"/>
    <x v="51"/>
    <m/>
    <s v="Mensual"/>
    <n v="1500000"/>
    <s v="Si"/>
    <s v="Centro de trabajo Riesgo 1 "/>
    <m/>
    <s v="marcela_santa@hotmail.com"/>
    <m/>
    <s v="Transferencia Bancaria"/>
    <s v="Bancolombia"/>
    <s v="Cuenta de Ahorros"/>
    <s v="76100001318"/>
    <x v="74"/>
    <s v="Calle 21 número 28-55 apto 102 barrio san jose"/>
    <s v="3222317822"/>
    <s v="Oficina"/>
    <s v="Administrativo"/>
    <x v="31"/>
    <s v="Administrativo"/>
    <s v="EPS Sura"/>
    <s v="Porvenir"/>
    <s v="Porvenir"/>
    <x v="2"/>
    <s v="Mujer"/>
    <s v="ordinario"/>
    <m/>
    <m/>
    <m/>
    <m/>
    <m/>
    <m/>
    <m/>
    <m/>
    <x v="2"/>
    <s v="Terminación por mutuo acuerdo"/>
    <s v="Reestructuración empresarial"/>
    <m/>
    <x v="1"/>
    <n v="357"/>
    <n v="40.780555555555559"/>
  </r>
  <r>
    <n v="93"/>
    <x v="89"/>
    <s v="Rojas Cardona"/>
    <s v="Cédula de ciudadanía"/>
    <n v="1097399501"/>
    <s v="Empleado"/>
    <s v="Término indefinido"/>
    <x v="52"/>
    <s v=""/>
    <s v="Mensual"/>
    <n v="1300000"/>
    <s v="Si"/>
    <s v="Centro de trabajo Riesgo 2"/>
    <s v="Si"/>
    <s v="angierojas020413@gmail.com"/>
    <m/>
    <s v="Transferencia Bancaria"/>
    <s v="Banco Davivienda"/>
    <s v="Cuenta de Ahorros"/>
    <s v="136400148039"/>
    <x v="23"/>
    <s v="Veracruz Mz 7 No. 14 apto 301 - Calarcá"/>
    <s v="3022775974"/>
    <s v="Sede principal"/>
    <s v="Operaciones"/>
    <x v="50"/>
    <s v="Mano de Obra Directa"/>
    <s v="EPS Sura"/>
    <s v="Protección"/>
    <s v="Porvenir"/>
    <x v="7"/>
    <s v="Mujer"/>
    <s v="ordinario"/>
    <m/>
    <m/>
    <m/>
    <m/>
    <m/>
    <m/>
    <m/>
    <m/>
    <x v="0"/>
    <m/>
    <m/>
    <m/>
    <x v="0"/>
    <n v="428"/>
    <s v=""/>
  </r>
  <r>
    <n v="94"/>
    <x v="90"/>
    <s v="Lopez zapata"/>
    <s v="Cédula de ciudadanía"/>
    <n v="1007397516"/>
    <s v="Empleado"/>
    <s v="Término indefinido"/>
    <x v="52"/>
    <m/>
    <s v="Mensual"/>
    <n v="1300000"/>
    <s v="Si"/>
    <s v="Centro de trabajo Riesgo 2"/>
    <s v="Si"/>
    <s v="cristian23@gmail.com"/>
    <m/>
    <s v="Transferencia Bancaria"/>
    <s v="Bancolombia"/>
    <s v="Cuenta de Ahorros"/>
    <s v="76100001305"/>
    <x v="75"/>
    <s v="caserio aures caicedonia valle del cauca"/>
    <s v="3117563473"/>
    <s v="Finca las brisas"/>
    <s v="Operaciones"/>
    <x v="6"/>
    <s v="Mano de Obra Directa"/>
    <s v="Emssanar"/>
    <s v="Colpensiones"/>
    <s v="Porvenir"/>
    <x v="2"/>
    <s v="Hombre"/>
    <s v="ordinario"/>
    <m/>
    <m/>
    <m/>
    <m/>
    <m/>
    <m/>
    <m/>
    <m/>
    <x v="2"/>
    <s v="Terminación por mutuo acuerdo"/>
    <s v="Reestructuración empresarial"/>
    <m/>
    <x v="1"/>
    <n v="348"/>
    <n v="26.583333333333332"/>
  </r>
  <r>
    <n v="95"/>
    <x v="91"/>
    <s v="Ortiz Restrepo"/>
    <s v="Cédula de ciudadanía"/>
    <n v="1113042417"/>
    <s v="Empleado"/>
    <s v="Término indefinido"/>
    <x v="52"/>
    <m/>
    <s v="Mensual"/>
    <n v="1300000"/>
    <s v="Si"/>
    <s v="Centro de trabajo Riesgo 2"/>
    <s v="Si"/>
    <s v="hernandarios2@gmail.com"/>
    <m/>
    <s v="Transferencia Bancaria"/>
    <s v="Bancolombia"/>
    <s v="Cuenta de Ahorros"/>
    <s v="76100001310"/>
    <x v="76"/>
    <s v="finca el tesorito "/>
    <s v="3215033171"/>
    <s v="Finca las brisas"/>
    <s v="Operaciones"/>
    <x v="6"/>
    <s v="Mano de Obra Directa"/>
    <s v="Salud Total"/>
    <s v="Porvenir"/>
    <s v="Porvenir"/>
    <x v="2"/>
    <s v="Hombre"/>
    <s v="ordinario"/>
    <m/>
    <m/>
    <m/>
    <m/>
    <m/>
    <m/>
    <m/>
    <m/>
    <x v="2"/>
    <s v="Terminación por mutuo acuerdo"/>
    <s v="Reestructuración empresarial"/>
    <m/>
    <x v="1"/>
    <n v="348"/>
    <n v="26.074999999999999"/>
  </r>
  <r>
    <n v="96"/>
    <x v="72"/>
    <s v="Restrepo"/>
    <s v="Cédula de ciudadanía"/>
    <n v="89000785"/>
    <s v="Empleado"/>
    <s v="Término indefinido"/>
    <x v="53"/>
    <m/>
    <s v="Mensual"/>
    <n v="1300000"/>
    <s v="Si"/>
    <s v="Centro de trabajo Riesgo 4"/>
    <m/>
    <s v="luisfernandorestrepo623@gmail.com"/>
    <m/>
    <s v="Transferencia Bancaria"/>
    <s v="Banco Davivienda"/>
    <s v="Cuenta de Ahorros"/>
    <s v="0550488436961178"/>
    <x v="77"/>
    <s v="BRR LA ADIELA MZ 27 # 3"/>
    <s v="3054259112"/>
    <s v="Armenia"/>
    <s v="Operativa"/>
    <x v="36"/>
    <s v="Operativo"/>
    <s v="Salud Total"/>
    <s v="Porvenir"/>
    <s v="Porvenir"/>
    <x v="0"/>
    <s v="Hombre"/>
    <s v="ordinario"/>
    <s v="No"/>
    <m/>
    <m/>
    <m/>
    <m/>
    <m/>
    <m/>
    <m/>
    <x v="0"/>
    <m/>
    <m/>
    <m/>
    <x v="0"/>
    <n v="427"/>
    <n v="49.766666666666666"/>
  </r>
  <r>
    <n v="97"/>
    <x v="92"/>
    <s v="Montenegro Camilo"/>
    <s v="Cédula de ciudadanía"/>
    <n v="1094952340"/>
    <s v="Empleado"/>
    <s v="Término indefinido"/>
    <x v="54"/>
    <m/>
    <s v="Mensual"/>
    <n v="1300000"/>
    <s v="Si"/>
    <s v="Centro de trabajo Riesgo 3"/>
    <s v="Si"/>
    <s v=""/>
    <m/>
    <s v="Transferencia Bancaria"/>
    <s v="Daviplata"/>
    <s v="Cuenta de Ahorros"/>
    <s v="3146021481"/>
    <x v="78"/>
    <s v="   SALVADOR ALLENDE ALTO CASA 186"/>
    <s v=""/>
    <s v="Restaurante El Solar"/>
    <s v="Servicio y producción"/>
    <x v="19"/>
    <s v="Mano de Obra Directa"/>
    <s v="Sanitas"/>
    <s v="Porvenir"/>
    <s v="Protección"/>
    <x v="3"/>
    <s v="Mujer"/>
    <s v="ordinario"/>
    <s v="No"/>
    <m/>
    <s v="No"/>
    <s v="No aplica"/>
    <s v="No aplica"/>
    <s v="No"/>
    <s v="No aplica"/>
    <s v="No"/>
    <x v="0"/>
    <m/>
    <m/>
    <m/>
    <x v="0"/>
    <n v="422"/>
    <n v="28.452777777777779"/>
  </r>
  <r>
    <n v="98"/>
    <x v="93"/>
    <s v="Tapasco Aricapa"/>
    <s v="Cédula de ciudadanía"/>
    <n v="9912051"/>
    <s v="Empleado"/>
    <s v="Término indefinido"/>
    <x v="55"/>
    <m/>
    <s v="Mensual"/>
    <n v="1300000"/>
    <s v="No"/>
    <s v="Centro de trabajo Riesgo 2"/>
    <m/>
    <s v="carloshtapasco@gmail.com"/>
    <m/>
    <s v="Transferencia Bancaria"/>
    <s v="Bancolombia"/>
    <s v="Cuenta de Ahorros"/>
    <s v="91242228532"/>
    <x v="79"/>
    <s v="Municipio  Alcala vereda el cofre finca el paraiso"/>
    <s v="3126988322"/>
    <s v="Valle del Cauca"/>
    <s v="Operativa"/>
    <x v="22"/>
    <s v="Mano de Obra Directa"/>
    <s v="Nueva EPS"/>
    <s v="Protección"/>
    <s v="Protección"/>
    <x v="6"/>
    <s v="Hombre"/>
    <s v="ordinario"/>
    <s v="Si"/>
    <n v="332800"/>
    <s v="No "/>
    <s v="No aplica"/>
    <s v="No aplica"/>
    <s v="No"/>
    <s v="No aplica"/>
    <s v="No aplica"/>
    <x v="4"/>
    <s v="Renuncia voluntaria"/>
    <m/>
    <m/>
    <x v="1"/>
    <n v="357"/>
    <n v="39.591666666666669"/>
  </r>
  <r>
    <n v="99"/>
    <x v="94"/>
    <s v="Rios  Garcia"/>
    <s v="Cédula de ciudadanía"/>
    <n v="1006439026"/>
    <s v="Empleado"/>
    <s v="Término indefinido"/>
    <x v="56"/>
    <m/>
    <s v="Mensual"/>
    <n v="1300000"/>
    <s v="Si"/>
    <s v="Centro de trabajo Riesgo 2"/>
    <m/>
    <s v="riosesneider972@gmail.com"/>
    <m/>
    <s v="Transferencia Bancaria"/>
    <s v="Bancolombia"/>
    <s v="Cuenta de Ahorros"/>
    <s v="76100001308"/>
    <x v="23"/>
    <s v="centro poblado quebrada nueva"/>
    <s v="3136562928"/>
    <s v="La Duquesa"/>
    <s v="Operaciones"/>
    <x v="6"/>
    <s v="Mano de Obra Directa"/>
    <s v="Nueva EPS"/>
    <s v="Porvenir"/>
    <s v="Porvenir"/>
    <x v="2"/>
    <s v="Hombre"/>
    <s v="ordinario"/>
    <m/>
    <m/>
    <m/>
    <m/>
    <m/>
    <m/>
    <m/>
    <m/>
    <x v="2"/>
    <s v="Terminación por mutuo acuerdo"/>
    <s v="Reestructuración empresarial"/>
    <m/>
    <x v="1"/>
    <n v="336"/>
    <s v=""/>
  </r>
  <r>
    <n v="100"/>
    <x v="95"/>
    <s v="Zapata Tamayo"/>
    <s v="Cédula de ciudadanía"/>
    <n v="66681660"/>
    <s v="Empleado"/>
    <s v="Término indefinido"/>
    <x v="56"/>
    <m/>
    <s v="Mensual"/>
    <n v="1300000"/>
    <s v="Si"/>
    <s v="Centro de trabajo Riesgo 2"/>
    <m/>
    <s v="olga3@gmail.com"/>
    <m/>
    <s v="Transferencia Bancaria"/>
    <s v="Bancolombia"/>
    <s v="Cuenta de Ahorros"/>
    <s v="76100001320"/>
    <x v="23"/>
    <s v="calle 3 # 5 - 35 quebrada nueva"/>
    <s v="3137932556"/>
    <s v="La Duquesa"/>
    <s v="Operaciones"/>
    <x v="6"/>
    <s v="Mano de Obra Directa"/>
    <s v="Coosalud"/>
    <s v="Porvenir"/>
    <s v="Porvenir"/>
    <x v="2"/>
    <s v="Mujer"/>
    <s v="ordinario"/>
    <m/>
    <m/>
    <m/>
    <m/>
    <m/>
    <m/>
    <m/>
    <m/>
    <x v="8"/>
    <s v="Renuncia voluntaria"/>
    <m/>
    <m/>
    <x v="1"/>
    <n v="313"/>
    <s v=""/>
  </r>
  <r>
    <n v="101"/>
    <x v="96"/>
    <s v="Galeano Sanchez"/>
    <s v="Cédula de ciudadanía"/>
    <n v="94287680"/>
    <s v="Empleado"/>
    <s v="Término indefinido"/>
    <x v="56"/>
    <m/>
    <s v="Mensual"/>
    <n v="1300000"/>
    <s v="Si"/>
    <s v="Centro de trabajo Riesgo 2"/>
    <m/>
    <s v="mariarincono1166@gmail.com"/>
    <m/>
    <s v="Transferencia Bancaria"/>
    <s v="Bancolombia"/>
    <s v="Cuenta de Ahorros"/>
    <s v="76100001322"/>
    <x v="23"/>
    <s v="carretera central casa #3, vía alambrado, Quebrada nueva"/>
    <s v="3135950290"/>
    <s v="La Duquesa"/>
    <s v="Operaciones"/>
    <x v="6"/>
    <s v="Mano de Obra Directa"/>
    <s v="Coosalud"/>
    <s v="Porvenir"/>
    <s v="Porvenir"/>
    <x v="2"/>
    <s v="Hombre"/>
    <s v="ordinario"/>
    <m/>
    <m/>
    <m/>
    <m/>
    <m/>
    <m/>
    <m/>
    <m/>
    <x v="2"/>
    <s v="Terminación por mutuo acuerdo"/>
    <s v="Reestructuración empresarial"/>
    <m/>
    <x v="1"/>
    <n v="336"/>
    <s v=""/>
  </r>
  <r>
    <n v="102"/>
    <x v="97"/>
    <s v="Leguizamo Doncel"/>
    <s v="Cédula de ciudadanía"/>
    <n v="1116432789"/>
    <s v="Empleado"/>
    <s v="Término indefinido"/>
    <x v="56"/>
    <m/>
    <s v="Mensual"/>
    <n v="1300000"/>
    <s v="Si"/>
    <s v="Centro de trabajo Riesgo 2"/>
    <m/>
    <s v="101182@hotmail.com"/>
    <m/>
    <s v="Transferencia Bancaria"/>
    <s v="Bancolombia"/>
    <s v="Cuenta de Ahorros"/>
    <s v="76156093447"/>
    <x v="80"/>
    <s v="calle 6N2A-16 quebrada nueva valle "/>
    <s v="3188986752"/>
    <s v="La Duquesa"/>
    <s v="Operaciones"/>
    <x v="6"/>
    <s v="Mano de Obra Directa"/>
    <s v="Emssanar"/>
    <s v="Porvenir"/>
    <s v="Porvenir"/>
    <x v="2"/>
    <s v="Mujer"/>
    <s v="ordinario"/>
    <m/>
    <m/>
    <m/>
    <m/>
    <m/>
    <m/>
    <m/>
    <m/>
    <x v="2"/>
    <s v="Terminación por mutuo acuerdo"/>
    <s v="Reestructuración empresarial"/>
    <m/>
    <x v="1"/>
    <n v="336"/>
    <n v="39.25277777777778"/>
  </r>
  <r>
    <n v="103"/>
    <x v="98"/>
    <s v="Gomez Jaramillo"/>
    <s v="Cédula de ciudadanía"/>
    <n v="1193092418"/>
    <s v="Empleado"/>
    <s v="Término indefinido"/>
    <x v="57"/>
    <m/>
    <s v="Mensual"/>
    <n v="1300000"/>
    <s v="Si"/>
    <s v="Centro de trabajo Riesgo 4"/>
    <m/>
    <s v="ingridyohana993@gmail.com"/>
    <m/>
    <s v="Transferencia Bancaria"/>
    <s v="Banco Davivienda"/>
    <s v="Cuenta de Ahorros"/>
    <s v="0550488402047432"/>
    <x v="81"/>
    <s v="Mz F casa 43 barrio las acacias"/>
    <s v="3214495328"/>
    <s v="Armenia"/>
    <s v="Ventas"/>
    <x v="37"/>
    <s v="Armenia Ventas"/>
    <s v="EPS Sura"/>
    <s v="Protección"/>
    <s v="Porvenir"/>
    <x v="0"/>
    <s v="Mujer"/>
    <s v="ordinario"/>
    <s v="No"/>
    <m/>
    <m/>
    <m/>
    <m/>
    <m/>
    <m/>
    <m/>
    <x v="0"/>
    <m/>
    <m/>
    <m/>
    <x v="0"/>
    <n v="413"/>
    <n v="30.569444444444443"/>
  </r>
  <r>
    <n v="104"/>
    <x v="99"/>
    <s v="Osorio Serna"/>
    <s v="Cédula de ciudadanía"/>
    <n v="1094897704"/>
    <s v="Empleado"/>
    <s v="Término indefinido"/>
    <x v="58"/>
    <m/>
    <s v="Mensual"/>
    <n v="1300000"/>
    <s v="Si"/>
    <s v="Centro de trabajo Riesgo 3"/>
    <s v="Si"/>
    <s v="grey329@hotmail.com"/>
    <m/>
    <s v="Transferencia Bancaria"/>
    <s v="Banco Davivienda"/>
    <s v="Cuenta de Ahorros"/>
    <s v="488413347425"/>
    <x v="82"/>
    <s v="   VILLA DE LAS AMERICAS MZ H CASA 1"/>
    <s v=""/>
    <s v="Restaurante El Solar"/>
    <s v="Administrativa"/>
    <x v="51"/>
    <s v="Mano de Obra Directa"/>
    <s v="EPS Sura"/>
    <s v="Porvenir"/>
    <s v="Protección"/>
    <x v="3"/>
    <s v="Hombre"/>
    <s v="ordinario"/>
    <s v="No"/>
    <m/>
    <s v="No"/>
    <s v="No aplica"/>
    <s v="No aplica"/>
    <s v="No"/>
    <s v="No aplica"/>
    <s v="No"/>
    <x v="12"/>
    <s v="Renuncia voluntaria"/>
    <m/>
    <m/>
    <x v="1"/>
    <n v="278"/>
    <n v="36.013888888888886"/>
  </r>
  <r>
    <n v="105"/>
    <x v="100"/>
    <s v="Quiroz Ortiz"/>
    <s v="Cédula de ciudadanía"/>
    <n v="41942754"/>
    <s v="Empleado"/>
    <s v="Término indefinido"/>
    <x v="59"/>
    <d v="2024-01-05T00:00:00"/>
    <s v="Mensual"/>
    <n v="1900000"/>
    <s v="Si"/>
    <s v="Centro de trabajo Riesgo 2"/>
    <s v="Si"/>
    <s v="linisquiroz@hotmail.com"/>
    <m/>
    <s v="Transferencia Bancaria"/>
    <s v="Banco Davivienda"/>
    <s v="Cuenta de Ahorros"/>
    <s v="136600201612"/>
    <x v="23"/>
    <s v="Calle 31 No. 13  23 piso 2"/>
    <s v="3178042398"/>
    <s v="Sede principal"/>
    <s v="Administrativa"/>
    <x v="52"/>
    <s v="Mano de Obra Directa"/>
    <s v="Sanitas"/>
    <s v="Colpensiones"/>
    <s v="Porvenir"/>
    <x v="7"/>
    <s v="Mujer"/>
    <s v="ordinario"/>
    <m/>
    <m/>
    <m/>
    <m/>
    <m/>
    <m/>
    <m/>
    <m/>
    <x v="13"/>
    <m/>
    <m/>
    <m/>
    <x v="1"/>
    <n v="316"/>
    <s v=""/>
  </r>
  <r>
    <n v="106"/>
    <x v="101"/>
    <s v="Arias Morales"/>
    <s v="Cédula de ciudadanía"/>
    <n v="9698154"/>
    <s v="Empleado"/>
    <s v="Término indefinido"/>
    <x v="60"/>
    <d v="2023-11-30T00:00:00"/>
    <s v="Mensual"/>
    <n v="2100000"/>
    <s v="Si"/>
    <s v="Centro de trabajo Riesgo 2"/>
    <s v="Si"/>
    <s v="alarmorales05@gmail.com"/>
    <m/>
    <s v="Transferencia Bancaria"/>
    <s v="Banco Davivienda"/>
    <s v="Cuenta de Ahorros"/>
    <s v="488437671214"/>
    <x v="23"/>
    <s v="Brr Lucerito Calle 12A 9 A 14 Barcelona "/>
    <s v="3155453347"/>
    <s v="Sede principal"/>
    <s v="Operaciones"/>
    <x v="45"/>
    <s v="Mano de Obra Directa"/>
    <s v="S.O.S. Servicio Occidental de Salud S.A."/>
    <s v="Colpensiones"/>
    <s v="Porvenir"/>
    <x v="7"/>
    <s v="Hombre"/>
    <s v="ordinario"/>
    <m/>
    <m/>
    <m/>
    <m/>
    <m/>
    <m/>
    <m/>
    <m/>
    <x v="14"/>
    <s v="Renuncia voluntaria"/>
    <m/>
    <m/>
    <x v="1"/>
    <n v="274"/>
    <s v=""/>
  </r>
  <r>
    <n v="107"/>
    <x v="102"/>
    <s v="Villada Morales"/>
    <s v="Cédula de ciudadanía"/>
    <n v="75033317"/>
    <s v="Empleado"/>
    <s v="Término indefinido"/>
    <x v="61"/>
    <m/>
    <s v="Mensual"/>
    <n v="1300000"/>
    <s v="No"/>
    <s v="Centro de trabajo Riesgo 1"/>
    <s v="Si"/>
    <s v="villada23@gmail.com"/>
    <m/>
    <s v="Efectivo"/>
    <m/>
    <m/>
    <m/>
    <x v="83"/>
    <s v=" Finca el Guayavito pueblo Tapao"/>
    <n v="3122021021"/>
    <s v="Pueblo Tapao"/>
    <s v="Administrador"/>
    <x v="6"/>
    <s v="Mano de Obra Directa "/>
    <s v="Nueva EPS"/>
    <s v="Porvenir"/>
    <s v="Porvenir"/>
    <x v="12"/>
    <s v="Hombre"/>
    <s v="ordinario"/>
    <s v="No"/>
    <m/>
    <s v="No"/>
    <s v="No aplica"/>
    <s v="No"/>
    <s v="No"/>
    <s v="No aplica"/>
    <s v="No"/>
    <x v="15"/>
    <s v="Renuncia voluntaria"/>
    <m/>
    <m/>
    <x v="1"/>
    <n v="137"/>
    <n v="52.516666666666666"/>
  </r>
  <r>
    <n v="108"/>
    <x v="15"/>
    <s v="Lopez Garcia"/>
    <s v="Cédula de ciudadanía"/>
    <n v="24660447"/>
    <s v="Empleado"/>
    <s v="Término indefinido"/>
    <x v="62"/>
    <m/>
    <s v="Mensual"/>
    <n v="1300000"/>
    <s v="Si"/>
    <s v="Centro de trabajo Riesgo 3"/>
    <s v="Si"/>
    <s v="doralilialopez@gmail.com"/>
    <m/>
    <s v="Transferencia Bancaria"/>
    <s v="Nequi"/>
    <s v="Cuenta de Ahorros"/>
    <s v="3104733551"/>
    <x v="84"/>
    <s v="   MZ A CASA 8"/>
    <n v="3128968010"/>
    <s v="Restaurante El Solar"/>
    <s v="Coordinación"/>
    <x v="53"/>
    <s v="Mano de Obra Directa"/>
    <s v="Nueva EPS"/>
    <s v="Colpensiones"/>
    <s v="Protección"/>
    <x v="3"/>
    <s v="Mujer"/>
    <s v="ordinario"/>
    <s v="Si"/>
    <n v="400000"/>
    <s v="No"/>
    <s v="No aplica"/>
    <s v="No aplica"/>
    <s v="No"/>
    <s v="No aplica"/>
    <s v="No"/>
    <x v="16"/>
    <s v="Renuncia voluntaria"/>
    <m/>
    <m/>
    <x v="1"/>
    <n v="338"/>
    <n v="51.083333333333336"/>
  </r>
  <r>
    <n v="109"/>
    <x v="103"/>
    <s v="Arias Arcos"/>
    <s v="Cédula de ciudadanía"/>
    <n v="9728802"/>
    <s v="Empleado"/>
    <s v="Término indefinido"/>
    <x v="63"/>
    <m/>
    <s v="Mensual"/>
    <n v="1300000"/>
    <s v="Si"/>
    <s v="Centro de trabajo Riesgo 2"/>
    <s v="Si"/>
    <s v="germanariasarcos@yahoo.es"/>
    <m/>
    <s v="Transferencia Bancaria"/>
    <s v="Daviplata"/>
    <s v="Cuenta de Ahorros"/>
    <s v="3007671956"/>
    <x v="85"/>
    <s v="   MANZANA E CASA 16"/>
    <s v="3144525998"/>
    <s v="Restaurante El Solar"/>
    <s v="Servicio y producción"/>
    <x v="19"/>
    <s v="Mano de Obra Directa"/>
    <s v="Nueva EPS"/>
    <s v="Porvenir"/>
    <s v="Protección"/>
    <x v="3"/>
    <s v="Hombre"/>
    <s v="ordinario"/>
    <s v="No"/>
    <m/>
    <s v="No"/>
    <s v="No aplica"/>
    <s v="No aplica"/>
    <s v="No"/>
    <s v="No aplica"/>
    <s v="No"/>
    <x v="17"/>
    <s v="Renuncia voluntaria"/>
    <m/>
    <m/>
    <x v="1"/>
    <n v="288"/>
    <n v="44.305555555555557"/>
  </r>
  <r>
    <n v="110"/>
    <x v="104"/>
    <s v="Hernández  Giraldo"/>
    <s v="Cédula de ciudadanía"/>
    <n v="1094953812"/>
    <s v="Empleado"/>
    <s v="Término indefinido"/>
    <x v="64"/>
    <m/>
    <s v="Mensual"/>
    <n v="1350000"/>
    <s v="Si"/>
    <s v="Centro de trabajo Riesgo 1"/>
    <s v="Si"/>
    <s v="hernandezgiraldom@gmail.com"/>
    <m/>
    <s v="Transferencia Bancaria"/>
    <s v="Banco Davivienda"/>
    <s v="Cuenta de Ahorros"/>
    <s v="0550488442012370"/>
    <x v="86"/>
    <s v="Barrio villa carolina primera etapa manzana m casa 17 "/>
    <s v="3137464431"/>
    <s v="Oficina"/>
    <s v="Producción"/>
    <x v="54"/>
    <s v="Administrativo"/>
    <s v="EPS Sura"/>
    <s v="Porvenir"/>
    <s v="Protección"/>
    <x v="9"/>
    <s v="Mujer"/>
    <s v="dirección, confianza y/o manejo"/>
    <s v="Si"/>
    <n v="850000"/>
    <s v="No"/>
    <s v="No aplica"/>
    <s v="No"/>
    <s v="No"/>
    <s v="No aplica"/>
    <s v="No"/>
    <x v="18"/>
    <s v="Renuncia voluntaria"/>
    <m/>
    <m/>
    <x v="1"/>
    <n v="332"/>
    <n v="28.297222222222221"/>
  </r>
  <r>
    <n v="111"/>
    <x v="105"/>
    <s v="Blanco Matajira"/>
    <s v="Cédula de ciudadanía"/>
    <n v="1094978377"/>
    <s v="Empleado"/>
    <s v="Término indefinido"/>
    <x v="64"/>
    <s v=""/>
    <s v="Mensual"/>
    <n v="1300000"/>
    <s v="Si"/>
    <s v="Centro de trabajo Riesgo 2"/>
    <s v="Si"/>
    <s v="angiexblanco@gmail.com"/>
    <m/>
    <s v="Transferencia Bancaria"/>
    <s v="Banco Davivienda"/>
    <s v="Cuenta de Ahorros"/>
    <s v="136200171751"/>
    <x v="23"/>
    <s v="Cll 50 #51-80 Torres de Orense - Armenia"/>
    <s v="3115094996"/>
    <s v="Sede principal"/>
    <s v="Operaciones"/>
    <x v="55"/>
    <s v="Mano de Obra Directa"/>
    <s v="Nueva EPS"/>
    <s v="Porvenir"/>
    <s v="Porvenir"/>
    <x v="7"/>
    <s v="Mujer"/>
    <s v="ordinario"/>
    <m/>
    <m/>
    <m/>
    <m/>
    <m/>
    <m/>
    <m/>
    <m/>
    <x v="0"/>
    <m/>
    <m/>
    <m/>
    <x v="0"/>
    <n v="380"/>
    <s v=""/>
  </r>
  <r>
    <n v="112"/>
    <x v="106"/>
    <s v="Jimenez Uribe"/>
    <s v="Cédula de ciudadanía"/>
    <n v="1094951170"/>
    <s v="Empleado"/>
    <s v="Término indefinido"/>
    <x v="65"/>
    <m/>
    <s v="Mensual"/>
    <n v="1300000"/>
    <s v="Si"/>
    <s v="Centro de trabajo Riesgo 3"/>
    <s v="Si"/>
    <s v="quiasma29@gmail.com"/>
    <m/>
    <s v="Transferencia Bancaria"/>
    <s v="Banco Davivienda"/>
    <s v="Cuenta de Ahorros"/>
    <s v="488425118293"/>
    <x v="87"/>
    <s v="Cll 33 #28-35 Santander"/>
    <s v="3003303522"/>
    <s v="PIBO Containers"/>
    <s v="Mesas"/>
    <x v="56"/>
    <s v="Pibo"/>
    <s v="Salud Total"/>
    <s v="Protección"/>
    <s v="Porvenir"/>
    <x v="10"/>
    <s v="Hombre"/>
    <s v="ordinario"/>
    <s v="No"/>
    <m/>
    <s v="No"/>
    <s v="No aplica"/>
    <s v="No aplica"/>
    <s v="No"/>
    <s v="No aplica"/>
    <s v="No aplica"/>
    <x v="19"/>
    <s v="Terminación por mutuo acuerdo"/>
    <m/>
    <m/>
    <x v="1"/>
    <n v="334"/>
    <n v="28.611111111111111"/>
  </r>
  <r>
    <n v="113"/>
    <x v="107"/>
    <s v="Romero Garzon"/>
    <s v="Cédula de ciudadanía"/>
    <n v="2699869"/>
    <s v="Empleado"/>
    <s v="Término indefinido"/>
    <x v="65"/>
    <m/>
    <s v="Mensual"/>
    <n v="1300000"/>
    <s v="Si"/>
    <s v="Centro de trabajo Riesgo 2"/>
    <m/>
    <s v="edison23@gmail.com"/>
    <m/>
    <s v="Transferencia Bancaria"/>
    <s v="Bancolombia"/>
    <s v="Cuenta de Ahorros"/>
    <s v="76100001307"/>
    <x v="88"/>
    <s v="Barrio Quebrada nueva valle zarzal"/>
    <s v="3165496215"/>
    <s v="La Duquesa"/>
    <s v="Campo"/>
    <x v="6"/>
    <s v="Mano de Obra Directa"/>
    <s v="Nueva EPS"/>
    <s v="Porvenir"/>
    <s v="Porvenir"/>
    <x v="2"/>
    <s v="Hombre"/>
    <s v="ordinario"/>
    <m/>
    <m/>
    <m/>
    <m/>
    <m/>
    <m/>
    <m/>
    <m/>
    <x v="2"/>
    <s v="Terminación por mutuo acuerdo"/>
    <s v="Reestructuración empresarial"/>
    <m/>
    <x v="1"/>
    <n v="274"/>
    <n v="54.19166666666667"/>
  </r>
  <r>
    <n v="114"/>
    <x v="82"/>
    <s v="Marin Rosas"/>
    <s v="Cédula de ciudadanía"/>
    <n v="94232663"/>
    <s v="Empleado"/>
    <s v="Término indefinido"/>
    <x v="66"/>
    <m/>
    <s v="Mensual"/>
    <n v="1412000"/>
    <s v="Si"/>
    <s v="Centro de trabajo Riesgo 3"/>
    <m/>
    <s v="marinfabio.500@gmail.com"/>
    <m/>
    <s v="Transferencia Bancaria"/>
    <s v="Bancolombia"/>
    <s v="Cuenta de Ahorros"/>
    <s v="76100001309"/>
    <x v="89"/>
    <s v=" Barrio Quebrada nueva valle zarzal "/>
    <s v="3113678650"/>
    <s v="La Duquesa"/>
    <s v="Campo"/>
    <x v="57"/>
    <s v="Mano de Obra Directa"/>
    <s v="S.O.S. Servicio Occidental de Salud S.A."/>
    <s v="Colpensiones"/>
    <s v="Porvenir"/>
    <x v="2"/>
    <s v="Hombre"/>
    <s v="ordinario"/>
    <m/>
    <m/>
    <m/>
    <m/>
    <m/>
    <m/>
    <m/>
    <m/>
    <x v="2"/>
    <s v="Terminación por mutuo acuerdo"/>
    <s v="Reestructuración empresarial"/>
    <m/>
    <x v="1"/>
    <n v="273"/>
    <n v="46.644444444444446"/>
  </r>
  <r>
    <n v="115"/>
    <x v="108"/>
    <s v="Barbosa Murillo"/>
    <s v="Cédula de ciudadanía"/>
    <n v="1116435166"/>
    <s v="Empleado"/>
    <s v="Término indefinido"/>
    <x v="66"/>
    <m/>
    <s v="Mensual"/>
    <n v="1412000"/>
    <s v="Si"/>
    <s v="Centro de trabajo Riesgo 2"/>
    <s v="Si"/>
    <s v="barbosalennin@gmail.com"/>
    <m/>
    <s v="Transferencia Bancaria"/>
    <s v="Bancolombia"/>
    <s v="Cuenta de Ahorros"/>
    <s v="76100001329"/>
    <x v="90"/>
    <s v="Barrio Quebrada nueva valle zarzal"/>
    <s v="3175700641"/>
    <s v="La Duquesa"/>
    <s v="Campo"/>
    <x v="57"/>
    <s v="Mano de Obra Directa"/>
    <s v="Coosalud"/>
    <s v="Porvenir"/>
    <s v="Porvenir"/>
    <x v="2"/>
    <s v="Hombre"/>
    <s v="ordinario"/>
    <m/>
    <m/>
    <s v="Si"/>
    <m/>
    <s v="Si"/>
    <s v="Si"/>
    <m/>
    <s v="Si"/>
    <x v="2"/>
    <s v="Terminación por mutuo acuerdo"/>
    <s v="Reestructuración empresarial"/>
    <m/>
    <x v="1"/>
    <n v="273"/>
    <n v="36.611111111111114"/>
  </r>
  <r>
    <n v="116"/>
    <x v="109"/>
    <s v="Trujillo palacio"/>
    <s v="Cédula de ciudadanía"/>
    <n v="1007757162"/>
    <s v="Empleado"/>
    <s v="Término indefinido"/>
    <x v="66"/>
    <m/>
    <s v="Mensual"/>
    <n v="1300000"/>
    <s v="Si"/>
    <s v="Centro de trabajo Riesgo 2"/>
    <s v="Si"/>
    <s v="trujillojhonatan017@gmail.com"/>
    <m/>
    <s v="Transferencia Bancaria"/>
    <s v="Banco Davivienda"/>
    <s v="Cuenta de Ahorros"/>
    <s v="488437611681"/>
    <x v="91"/>
    <s v="vereda aures municipio caicedonia"/>
    <s v="3205237676"/>
    <s v="Finca las brisas"/>
    <s v="Campo"/>
    <x v="6"/>
    <s v="Mano de Obra Directa"/>
    <s v="Nueva EPS"/>
    <s v="Porvenir"/>
    <s v="Porvenir"/>
    <x v="2"/>
    <s v="Hombre"/>
    <s v="ordinario"/>
    <m/>
    <m/>
    <m/>
    <m/>
    <m/>
    <m/>
    <m/>
    <m/>
    <x v="2"/>
    <s v="Terminación por mutuo acuerdo"/>
    <s v="Reestructuración empresarial"/>
    <m/>
    <x v="1"/>
    <n v="273"/>
    <n v="22.488888888888887"/>
  </r>
  <r>
    <n v="117"/>
    <x v="110"/>
    <s v="Delacruz Avendaño"/>
    <s v="Cédula de ciudadanía"/>
    <n v="1097406710"/>
    <s v="Empleado"/>
    <s v="Término indefinido"/>
    <x v="67"/>
    <s v=""/>
    <s v="Mensual"/>
    <n v="1300000"/>
    <s v="Si"/>
    <s v="Centro de trabajo Riesgo 2"/>
    <s v="Si"/>
    <s v="pandre1998@hotmail.com"/>
    <m/>
    <s v="Transferencia Bancaria"/>
    <s v="Banco Davivienda"/>
    <s v="Cuenta de Ahorros"/>
    <s v="488438672955"/>
    <x v="23"/>
    <s v="Mz 14 casa 1 Puerto Espejo"/>
    <s v="3152524499"/>
    <s v="Sede principal"/>
    <s v="Operaciones"/>
    <x v="55"/>
    <s v="Mano de Obra Directa"/>
    <s v="ADRES (regímenes especiales)"/>
    <s v="Porvenir"/>
    <s v="Porvenir"/>
    <x v="7"/>
    <s v="Mujer"/>
    <s v="ordinario"/>
    <m/>
    <m/>
    <m/>
    <m/>
    <m/>
    <m/>
    <m/>
    <m/>
    <x v="0"/>
    <m/>
    <m/>
    <m/>
    <x v="0"/>
    <n v="351"/>
    <s v=""/>
  </r>
  <r>
    <n v="118"/>
    <x v="111"/>
    <s v="Pineda Pirela"/>
    <s v="Permiso de protección temporal"/>
    <n v="6310402"/>
    <s v="Empleado"/>
    <s v="Término indefinido"/>
    <x v="68"/>
    <m/>
    <s v="Mensual"/>
    <n v="1300000"/>
    <s v="Si"/>
    <s v="Centro de trabajo Riesgo 4"/>
    <m/>
    <s v="angelpirela2701@gmail.com"/>
    <m/>
    <s v="Transferencia Bancaria"/>
    <s v="Banco Davivienda"/>
    <s v="Cuenta de Ahorros"/>
    <s v="0550136100199217"/>
    <x v="92"/>
    <s v="BRR RECREO MZ H CS 19B PISO 2"/>
    <s v="3225830559"/>
    <s v="Armenia"/>
    <s v="Operativa"/>
    <x v="36"/>
    <s v="Operativo"/>
    <s v="Nueva EPS"/>
    <s v="Porvenir"/>
    <s v="Porvenir"/>
    <x v="0"/>
    <s v="Hombre"/>
    <s v="ordinario"/>
    <s v="No"/>
    <m/>
    <m/>
    <m/>
    <m/>
    <m/>
    <m/>
    <m/>
    <x v="2"/>
    <s v="Renuncia voluntaria"/>
    <m/>
    <m/>
    <x v="1"/>
    <n v="270"/>
    <n v="24.18888888888889"/>
  </r>
  <r>
    <n v="119"/>
    <x v="112"/>
    <s v="Tabarez Bermudez"/>
    <s v="Cédula de ciudadanía"/>
    <n v="79222044"/>
    <s v="Empleado"/>
    <s v="Término indefinido"/>
    <x v="69"/>
    <m/>
    <s v="Mensual"/>
    <n v="1300000"/>
    <s v="No"/>
    <s v="Centro de trabajo Riesgo 2"/>
    <m/>
    <s v="fabiobermudez762@gmail.com"/>
    <m/>
    <s v="Transferencia Bancaria"/>
    <s v="Nequi"/>
    <s v="Cuenta de Ahorros"/>
    <s v="3170259079"/>
    <x v="93"/>
    <s v="Montenegro vereda la española finca la española"/>
    <s v="3170259079"/>
    <s v="Quindio"/>
    <s v="Operativa"/>
    <x v="6"/>
    <s v="Mano de Obra Directa"/>
    <s v="Nueva EPS"/>
    <s v="Colpensiones"/>
    <s v="Protección"/>
    <x v="6"/>
    <s v="Hombre"/>
    <s v="ordinario"/>
    <s v="Si"/>
    <n v="12800"/>
    <s v="No "/>
    <s v="No aplica"/>
    <s v="No aplica"/>
    <s v="No"/>
    <s v="No aplica"/>
    <s v="No aplica"/>
    <x v="0"/>
    <m/>
    <m/>
    <m/>
    <x v="0"/>
    <n v="339"/>
    <n v="39.488888888888887"/>
  </r>
  <r>
    <n v="120"/>
    <x v="113"/>
    <s v="Delacruz pascumal"/>
    <s v="Cédula de ciudadanía"/>
    <n v="5292057"/>
    <s v="Empleado"/>
    <s v="Término indefinido"/>
    <x v="69"/>
    <m/>
    <s v="Mensual"/>
    <n v="1300000"/>
    <s v="No"/>
    <s v="Centro de trabajo Riesgo 2"/>
    <m/>
    <s v="propero@gmail.com"/>
    <m/>
    <s v="Efectivo"/>
    <m/>
    <m/>
    <m/>
    <x v="94"/>
    <s v="Finca tres rios cordoba quindio"/>
    <s v="3125443452"/>
    <s v="Finca Tres Rios"/>
    <s v="Domestico"/>
    <x v="6"/>
    <s v="Mano de Obra Directa"/>
    <s v="Nueva EPS"/>
    <s v="Colpensiones"/>
    <s v="Porvenir"/>
    <x v="1"/>
    <s v="Hombre"/>
    <s v="ordinario"/>
    <s v="No"/>
    <m/>
    <s v="No"/>
    <s v="No aplica"/>
    <s v="No aplica"/>
    <s v="No"/>
    <s v="No aplica"/>
    <s v="No aplica"/>
    <x v="0"/>
    <m/>
    <m/>
    <m/>
    <x v="0"/>
    <n v="339"/>
    <n v="38.386111111111113"/>
  </r>
  <r>
    <n v="121"/>
    <x v="114"/>
    <s v="Acevedo Galindo"/>
    <s v="Cédula de ciudadanía"/>
    <n v="9729537"/>
    <s v="Empleado"/>
    <s v="Término indefinido"/>
    <x v="69"/>
    <m/>
    <s v="Mensual"/>
    <n v="1300000"/>
    <s v="Si"/>
    <s v="Centro de trabajo Riesgo 3"/>
    <s v="Si"/>
    <s v="joseallenderacevedo@hotmail.com"/>
    <m/>
    <s v="Transferencia Bancaria"/>
    <s v="Banco Davivienda"/>
    <s v="Cuenta de Ahorros"/>
    <s v="488418660970"/>
    <x v="95"/>
    <s v="Manzana 10 número 7"/>
    <n v="3207842346"/>
    <s v="Restaurante El Solar"/>
    <s v="Servicio y producción"/>
    <x v="19"/>
    <s v="Mano de Obra Directa"/>
    <s v="EPS Sura"/>
    <s v="Porvenir"/>
    <s v="Protección"/>
    <x v="3"/>
    <s v="Hombre"/>
    <s v="ordinario"/>
    <s v="Si"/>
    <n v="300000"/>
    <s v="No"/>
    <s v="No aplica"/>
    <s v="No aplica"/>
    <s v="No"/>
    <s v="No aplica"/>
    <s v="No"/>
    <x v="20"/>
    <s v="Terminación con justa causa"/>
    <m/>
    <m/>
    <x v="1"/>
    <n v="166"/>
    <n v="42.322222222222223"/>
  </r>
  <r>
    <n v="122"/>
    <x v="115"/>
    <s v="Hoyos Lopez"/>
    <s v="Cédula de ciudadanía"/>
    <n v="1094924581"/>
    <s v="Empleado"/>
    <s v="Término indefinido"/>
    <x v="70"/>
    <s v=""/>
    <s v="Mensual"/>
    <n v="5000000"/>
    <s v="No"/>
    <s v="Centro de trabajo Riesgo 2"/>
    <s v="Si"/>
    <s v="davidhoyos33@gmail.com"/>
    <m/>
    <s v="Transferencia Bancaria"/>
    <s v="Banco Davivienda"/>
    <s v="Cuenta de Ahorros"/>
    <s v="488438845064"/>
    <x v="23"/>
    <s v="Cra 10 # 11 norte 05 Terra apartamentos Torre 3 apto 1101A"/>
    <s v="3116365624"/>
    <s v="Sede principal"/>
    <s v="Administrativa"/>
    <x v="58"/>
    <s v="Mano de Obra Directa"/>
    <s v="Sanitas"/>
    <s v="Porvenir"/>
    <s v="Porvenir"/>
    <x v="7"/>
    <s v="Hombre"/>
    <s v="dirección, confianza y/o manejo"/>
    <m/>
    <m/>
    <m/>
    <m/>
    <m/>
    <m/>
    <m/>
    <m/>
    <x v="0"/>
    <m/>
    <m/>
    <m/>
    <x v="0"/>
    <n v="332"/>
    <s v=""/>
  </r>
  <r>
    <n v="123"/>
    <x v="116"/>
    <s v="Calderon Castiblanco"/>
    <s v="Cédula de ciudadanía"/>
    <n v="1032449657"/>
    <s v="Empleado"/>
    <s v="Término indefinido"/>
    <x v="71"/>
    <m/>
    <s v="Mensual"/>
    <n v="1300000"/>
    <s v="Si"/>
    <s v="Centro de trabajo Riesgo 3"/>
    <s v="Si"/>
    <s v="pachocalde03@gmail.com"/>
    <m/>
    <s v="Transferencia Bancaria"/>
    <s v="Banco Caja Social BCSC"/>
    <s v="Cuenta de Ahorros"/>
    <s v="24110259642"/>
    <x v="96"/>
    <s v="cra 13 46 Norte 78"/>
    <s v="3112939054"/>
    <s v="Restaurante El Solar"/>
    <s v="Servicio y producción"/>
    <x v="19"/>
    <s v="Mano de Obra Directa"/>
    <s v="Nueva EPS"/>
    <s v="Protección"/>
    <s v="Porvenir"/>
    <x v="3"/>
    <s v="Hombre"/>
    <s v="ordinario"/>
    <s v="Si"/>
    <n v="400000"/>
    <s v="No"/>
    <s v="No aplica"/>
    <s v="No aplica"/>
    <s v="No"/>
    <s v="No aplica"/>
    <s v="No"/>
    <x v="0"/>
    <m/>
    <m/>
    <m/>
    <x v="0"/>
    <n v="326"/>
    <n v="31.93888888888889"/>
  </r>
  <r>
    <n v="124"/>
    <x v="117"/>
    <s v="Torres Torres"/>
    <s v="Permiso de protección temporal"/>
    <n v="4347947"/>
    <s v="Empleado"/>
    <s v="Término indefinido"/>
    <x v="72"/>
    <m/>
    <s v="Mensual"/>
    <n v="1300000"/>
    <s v="Si"/>
    <s v="Centro de trabajo Riesgo 4"/>
    <m/>
    <s v="1313jesustorres@gmail.com"/>
    <m/>
    <s v="Transferencia Bancaria"/>
    <s v="Banco Davivienda"/>
    <s v="Cuenta de Ahorros"/>
    <s v="550136700048129"/>
    <x v="97"/>
    <s v="BRR RECREO MZ I CA 21"/>
    <s v="3137159585"/>
    <s v="Armenia"/>
    <s v="Operativa"/>
    <x v="36"/>
    <s v="Operativo"/>
    <s v="EPS Sura"/>
    <s v="Porvenir"/>
    <s v="Porvenir"/>
    <x v="0"/>
    <s v="Hombre"/>
    <s v="ordinario"/>
    <s v="No"/>
    <m/>
    <m/>
    <m/>
    <m/>
    <m/>
    <m/>
    <m/>
    <x v="0"/>
    <m/>
    <m/>
    <m/>
    <x v="0"/>
    <n v="323"/>
    <n v="30.513888888888889"/>
  </r>
  <r>
    <n v="125"/>
    <x v="118"/>
    <s v="Choconta Gomez"/>
    <s v="Cédula de ciudadanía"/>
    <n v="79514224"/>
    <s v="Empleado"/>
    <s v="Término indefinido"/>
    <x v="73"/>
    <m/>
    <s v="Mensual"/>
    <n v="1300000"/>
    <s v="Si"/>
    <s v="Centro de trabajo Riesgo 4"/>
    <m/>
    <s v="choconta0401@gmail.com"/>
    <m/>
    <s v="Transferencia Bancaria"/>
    <s v="Banco Davivienda"/>
    <s v="Cuenta de Ahorros"/>
    <s v="0550136700049564"/>
    <x v="98"/>
    <s v="CLL 19 # 28-13 BRR SAN JOSE"/>
    <s v="3102151678"/>
    <s v="Armenia"/>
    <s v="Operativa"/>
    <x v="38"/>
    <s v="Operativo"/>
    <s v="Nueva EPS"/>
    <s v="Colpensiones"/>
    <s v="Porvenir"/>
    <x v="0"/>
    <s v="Hombre"/>
    <s v="ordinario"/>
    <s v="No"/>
    <m/>
    <m/>
    <m/>
    <m/>
    <m/>
    <m/>
    <m/>
    <x v="0"/>
    <m/>
    <m/>
    <m/>
    <x v="0"/>
    <n v="309"/>
    <n v="54.833333333333336"/>
  </r>
  <r>
    <n v="126"/>
    <x v="119"/>
    <s v="Alarcón Marínez"/>
    <s v="Cédula de ciudadanía"/>
    <n v="1005253925"/>
    <s v="Empleado"/>
    <s v="Término fijo"/>
    <x v="74"/>
    <m/>
    <s v="Mensual"/>
    <n v="1160000"/>
    <s v="Si"/>
    <s v="Centro de trabajo Riesgo 1"/>
    <s v="Si"/>
    <s v="cluekath@gmail.com"/>
    <m/>
    <s v="Transferencia Bancaria"/>
    <s v="Bancolombia"/>
    <s v="Cuenta de Ahorros"/>
    <s v="77800001884"/>
    <x v="99"/>
    <s v="Veracruz mz 41 numero 17"/>
    <n v="3156200101"/>
    <s v="Oficina"/>
    <s v="Operaciones"/>
    <x v="59"/>
    <s v="Mano de Obra Directa"/>
    <s v="EPS Sura"/>
    <s v="Porvenir"/>
    <s v="Porvenir"/>
    <x v="9"/>
    <s v="Mujer"/>
    <s v="ordinario"/>
    <s v="Si"/>
    <m/>
    <s v="No"/>
    <s v="No aplica"/>
    <s v="No"/>
    <s v="No"/>
    <s v="No aplica"/>
    <s v="No"/>
    <x v="21"/>
    <s v="Renuncia voluntaria"/>
    <m/>
    <m/>
    <x v="1"/>
    <n v="124"/>
    <n v="18.925000000000001"/>
  </r>
  <r>
    <n v="127"/>
    <x v="120"/>
    <s v="Peña Triana"/>
    <s v="Cédula de ciudadanía"/>
    <n v="1106893696"/>
    <s v="Empleado"/>
    <s v="Término indefinido"/>
    <x v="75"/>
    <m/>
    <s v="Mensual"/>
    <n v="1300000"/>
    <s v="Si"/>
    <s v="Centro de trabajo Riesgo 3"/>
    <s v="Si"/>
    <s v="luispetri92@gmail.com"/>
    <m/>
    <s v="Transferencia Bancaria"/>
    <s v="Nequi"/>
    <s v="Cuenta de Ahorros"/>
    <s v="3103252382"/>
    <x v="100"/>
    <s v="Manzana 14 casa 6 Barrio Ciudad Libre"/>
    <n v="3103252382"/>
    <s v="Restaurante El Solar"/>
    <s v="Servicio y producción"/>
    <x v="19"/>
    <s v="Mano de Obra Directa"/>
    <s v="Nueva EPS"/>
    <s v="Protección"/>
    <s v="Porvenir"/>
    <x v="3"/>
    <s v="Hombre"/>
    <s v="ordinario"/>
    <s v="Si"/>
    <n v="400000"/>
    <s v="No"/>
    <s v="No aplica"/>
    <s v="No aplica"/>
    <s v="No"/>
    <s v="No aplica"/>
    <s v="No"/>
    <x v="0"/>
    <m/>
    <m/>
    <m/>
    <x v="0"/>
    <n v="48"/>
    <n v="31.266666666666666"/>
  </r>
  <r>
    <n v="128"/>
    <x v="12"/>
    <s v="Naranjo Montoya"/>
    <s v="Cédula de ciudadanía"/>
    <n v="1098306598"/>
    <s v="Empleado"/>
    <s v="Término indefinido"/>
    <x v="76"/>
    <m/>
    <s v="Mensual"/>
    <n v="1300000"/>
    <s v="Si"/>
    <s v="Centro de trabajo Riesgo 3"/>
    <s v="Si"/>
    <s v="sanamo1512@hotmail.com"/>
    <m/>
    <s v="Transferencia Bancaria"/>
    <s v="Daviplata"/>
    <s v="Cuenta de Ahorros"/>
    <s v="3163767694"/>
    <x v="101"/>
    <s v="Alto de la taza manzana B casa 14 circasia Quindio"/>
    <s v="3163767694"/>
    <s v="Restaurante El Solar"/>
    <s v="Servicio y producción"/>
    <x v="19"/>
    <s v="Mano de Obra Directa"/>
    <s v="Nueva EPS"/>
    <s v="Porvenir"/>
    <s v="Porvenir"/>
    <x v="3"/>
    <s v="Hombre"/>
    <s v="ordinario"/>
    <s v="No"/>
    <m/>
    <s v="No"/>
    <s v="No aplica"/>
    <s v="No aplica"/>
    <s v="No"/>
    <s v="No aplica"/>
    <s v="No"/>
    <x v="0"/>
    <m/>
    <m/>
    <m/>
    <x v="0"/>
    <n v="301"/>
    <n v="37.291666666666664"/>
  </r>
  <r>
    <n v="129"/>
    <x v="121"/>
    <s v="Guerrero Zambrano"/>
    <s v="Cédula de ciudadanía"/>
    <n v="1109270"/>
    <s v="Empleado"/>
    <s v="Término indefinido"/>
    <x v="77"/>
    <m/>
    <s v="Mensual"/>
    <n v="1300000"/>
    <s v="Si"/>
    <s v="Centro de trabajo Riesgo 1"/>
    <s v="Si"/>
    <s v="yanethguerrero90@gmail.com"/>
    <m/>
    <s v="Transferencia Bancaria"/>
    <s v="Banco Davivienda"/>
    <s v="Cuenta de Ahorros"/>
    <s v="138000071363"/>
    <x v="102"/>
    <s v="Ciudad libre Manzana 9A casa 3"/>
    <n v="3105748086"/>
    <s v="Armenia "/>
    <s v="Operativa"/>
    <x v="19"/>
    <s v="Mano de Obra Directa"/>
    <s v="Nueva EPS"/>
    <s v="Colpensiones"/>
    <s v="Porvenir"/>
    <x v="13"/>
    <s v="Mujer"/>
    <s v="ordinario"/>
    <s v="Si"/>
    <n v="260000"/>
    <s v="No"/>
    <s v="No aplica"/>
    <s v="No"/>
    <s v="No"/>
    <s v="No aplica"/>
    <s v="No"/>
    <x v="0"/>
    <m/>
    <m/>
    <m/>
    <x v="0"/>
    <n v="293"/>
    <n v="33.325000000000003"/>
  </r>
  <r>
    <n v="130"/>
    <x v="122"/>
    <s v="Garcia Arcila"/>
    <s v="Cédula de ciudadanía"/>
    <n v="41924322"/>
    <s v="Empleado"/>
    <s v="Término indefinido"/>
    <x v="77"/>
    <m/>
    <s v="Mensual"/>
    <n v="1300000"/>
    <s v="Si"/>
    <s v="Centro de trabajo Riesgo 4"/>
    <m/>
    <s v="bettyrodellogarcia@hotmail.com"/>
    <m/>
    <s v="Efectivo"/>
    <m/>
    <m/>
    <m/>
    <x v="103"/>
    <s v="Carrera 17 #2 Norte- 30 Brr Nueva Cecilia "/>
    <s v="3127218041"/>
    <s v="Armenia"/>
    <s v="Ventas"/>
    <x v="37"/>
    <s v="Armenia Ventas"/>
    <s v="Nueva EPS"/>
    <s v="Colpensiones"/>
    <s v="Porvenir"/>
    <x v="0"/>
    <s v="Mujer"/>
    <s v="ordinario"/>
    <s v="No"/>
    <m/>
    <m/>
    <m/>
    <m/>
    <m/>
    <m/>
    <m/>
    <x v="0"/>
    <m/>
    <m/>
    <m/>
    <x v="0"/>
    <n v="293"/>
    <n v="52.255555555555553"/>
  </r>
  <r>
    <n v="131"/>
    <x v="123"/>
    <s v="Sandoval Bolivar"/>
    <s v="Cédula de ciudadanía"/>
    <n v="51845563"/>
    <s v="Empleado"/>
    <s v="Término indefinido"/>
    <x v="77"/>
    <m/>
    <s v="Mensual"/>
    <n v="1300000"/>
    <s v="Si"/>
    <s v="Centro de trabajo Riesgo 4"/>
    <m/>
    <s v="cosaandoval@hotmail.com"/>
    <m/>
    <s v="Transferencia Bancaria"/>
    <s v="Banco Davivienda"/>
    <s v="Cuenta de Ahorros"/>
    <s v="570003870085176"/>
    <x v="104"/>
    <s v="Calle 27 Norte #5-00 Torre 1 Apto 606"/>
    <s v="3144738183"/>
    <s v="Armenia"/>
    <s v="Ventas"/>
    <x v="37"/>
    <s v="Armenia Ventas"/>
    <s v="Sanitas"/>
    <s v="Porvenir"/>
    <s v="Porvenir"/>
    <x v="0"/>
    <s v="Mujer"/>
    <s v="ordinario"/>
    <s v="No"/>
    <m/>
    <m/>
    <m/>
    <m/>
    <m/>
    <m/>
    <m/>
    <x v="0"/>
    <m/>
    <m/>
    <m/>
    <x v="0"/>
    <n v="293"/>
    <n v="56.972222222222221"/>
  </r>
  <r>
    <n v="132"/>
    <x v="35"/>
    <s v="Londoño Duque"/>
    <s v="Cédula de ciudadanía"/>
    <n v="18496942"/>
    <s v="Empleado"/>
    <s v="Término indefinido"/>
    <x v="77"/>
    <m/>
    <s v="Mensual"/>
    <n v="1300000"/>
    <s v="Si"/>
    <s v="Centro de trabajo Riesgo 4"/>
    <m/>
    <s v="joselondonolainez@gmail.com"/>
    <m/>
    <s v="Efectivo"/>
    <m/>
    <m/>
    <m/>
    <x v="105"/>
    <s v="Calle 31 Norte #20-15 Torre 2 Apto 708"/>
    <s v="3214737930"/>
    <s v="Armenia"/>
    <s v="Ventas"/>
    <x v="37"/>
    <s v="Armenia Ventas"/>
    <s v="EPS Sura"/>
    <s v="Colpensiones"/>
    <s v="Porvenir"/>
    <x v="0"/>
    <s v="Hombre"/>
    <s v="ordinario"/>
    <s v="No"/>
    <m/>
    <m/>
    <m/>
    <m/>
    <m/>
    <m/>
    <m/>
    <x v="0"/>
    <m/>
    <m/>
    <m/>
    <x v="0"/>
    <n v="293"/>
    <n v="50.661111111111111"/>
  </r>
  <r>
    <n v="133"/>
    <x v="124"/>
    <s v="Garcia Henao"/>
    <s v="Cédula de ciudadanía"/>
    <n v="41931725"/>
    <s v="Empleado"/>
    <s v="Término indefinido"/>
    <x v="77"/>
    <m/>
    <s v="Mensual"/>
    <n v="1300000"/>
    <s v="Si"/>
    <s v="Centro de trabajo Riesgo 4"/>
    <m/>
    <s v="groriaigarcia@hotmail.com"/>
    <m/>
    <s v="Transferencia Bancaria"/>
    <s v="Banco Davivienda"/>
    <s v="Cuenta de Ahorros"/>
    <s v="136070645587"/>
    <x v="106"/>
    <s v="Brr Recreo Mz L #9"/>
    <s v="3113581080"/>
    <s v="Armenia"/>
    <s v="Ventas"/>
    <x v="37"/>
    <s v="Armenia Ventas"/>
    <s v="Nueva EPS"/>
    <s v="Protección"/>
    <s v="Porvenir"/>
    <x v="0"/>
    <s v="Mujer"/>
    <s v="ordinario"/>
    <s v="No"/>
    <m/>
    <m/>
    <m/>
    <m/>
    <m/>
    <m/>
    <m/>
    <x v="4"/>
    <s v="Renuncia voluntaria"/>
    <m/>
    <m/>
    <x v="1"/>
    <n v="229"/>
    <n v="49.283333333333331"/>
  </r>
  <r>
    <n v="134"/>
    <x v="125"/>
    <s v="Londoño Lainez"/>
    <s v="Cédula de ciudadanía"/>
    <n v="7502691"/>
    <s v="Pensionado"/>
    <s v="Término indefinido"/>
    <x v="77"/>
    <m/>
    <s v="Mensual"/>
    <n v="1300000"/>
    <s v="Si"/>
    <s v="Centro de trabajo Riesgo 4"/>
    <m/>
    <s v="joselondonlainez@gmail.com"/>
    <m/>
    <s v="Transferencia Bancaria"/>
    <s v="Bancolombia"/>
    <s v="Cuenta de Ahorros"/>
    <s v="91215372931"/>
    <x v="107"/>
    <s v="Calle 31 Norte #20-15 Torre 2 Apto 708"/>
    <s v="3127815463"/>
    <s v="Armenia"/>
    <s v="Operativa"/>
    <x v="3"/>
    <s v="Operativo"/>
    <s v="EPS Sura"/>
    <s v="Porvenir"/>
    <s v="Porvenir"/>
    <x v="0"/>
    <s v="Hombre"/>
    <s v="ordinario"/>
    <s v="No"/>
    <m/>
    <m/>
    <m/>
    <m/>
    <m/>
    <m/>
    <m/>
    <x v="0"/>
    <m/>
    <m/>
    <m/>
    <x v="0"/>
    <n v="293"/>
    <n v="76.99722222222222"/>
  </r>
  <r>
    <n v="135"/>
    <x v="126"/>
    <s v="Atehortua Vargas"/>
    <s v="Cédula de ciudadanía"/>
    <n v="9800909"/>
    <s v="Empleado"/>
    <s v="Término indefinido"/>
    <x v="77"/>
    <m/>
    <s v="Mensual"/>
    <n v="1300000"/>
    <s v="Si"/>
    <s v="Centro de trabajo Riesgo 4"/>
    <m/>
    <s v="mateo.8@hotmail.com"/>
    <m/>
    <s v="Transferencia Bancaria"/>
    <s v="Banco Davivienda"/>
    <s v="Cuenta de Ahorros"/>
    <s v="488439845691"/>
    <x v="108"/>
    <s v="Brr Recreo Mz G #26"/>
    <s v="3148640895"/>
    <s v="Armenia"/>
    <s v="Ventas"/>
    <x v="37"/>
    <s v="Armenia Ventas"/>
    <s v="Sanitas"/>
    <s v="Colpensiones"/>
    <s v="Porvenir"/>
    <x v="0"/>
    <s v="Hombre"/>
    <s v="ordinario"/>
    <s v="No"/>
    <m/>
    <m/>
    <m/>
    <m/>
    <m/>
    <m/>
    <m/>
    <x v="0"/>
    <m/>
    <m/>
    <m/>
    <x v="0"/>
    <n v="293"/>
    <n v="51.663888888888891"/>
  </r>
  <r>
    <n v="136"/>
    <x v="127"/>
    <s v="Griman Silva"/>
    <s v="Permiso de protección temporal"/>
    <n v="5033321"/>
    <s v="Empleado"/>
    <s v="Término indefinido"/>
    <x v="77"/>
    <m/>
    <s v="Mensual"/>
    <n v="1300000"/>
    <s v="Si"/>
    <s v="Centro de trabajo Riesgo 4"/>
    <m/>
    <s v="loreangelbetanco@gmail.com"/>
    <m/>
    <s v="Transferencia Bancaria"/>
    <s v="Banco Davivienda"/>
    <s v="Cuenta de Ahorros"/>
    <s v="136200176347"/>
    <x v="109"/>
    <s v="Barrio el recreo manzana I casa 21 apartamento 2"/>
    <s v="3134326166"/>
    <s v="Armenia"/>
    <s v="Operativa"/>
    <x v="36"/>
    <s v="Operativo"/>
    <s v="Nueva EPS"/>
    <s v="Porvenir"/>
    <s v="Porvenir"/>
    <x v="0"/>
    <s v="Hombre"/>
    <s v="ordinario"/>
    <s v="No"/>
    <m/>
    <m/>
    <m/>
    <m/>
    <m/>
    <m/>
    <m/>
    <x v="0"/>
    <m/>
    <m/>
    <m/>
    <x v="0"/>
    <n v="293"/>
    <n v="27.994444444444444"/>
  </r>
  <r>
    <n v="137"/>
    <x v="73"/>
    <s v="Buitrago Ciro"/>
    <s v="Cédula de ciudadanía"/>
    <n v="24605215"/>
    <s v="Empleado"/>
    <s v="Término indefinido"/>
    <x v="77"/>
    <m/>
    <s v="Mensual"/>
    <n v="1300000"/>
    <s v="Si"/>
    <s v="Centro de trabajo Riesgo 4"/>
    <m/>
    <s v="sandramilenabuitragociro4@gmail.com"/>
    <m/>
    <s v="Transferencia Bancaria"/>
    <s v="Banco Davivienda"/>
    <s v="Cuenta de Ahorros"/>
    <s v="550488439521573"/>
    <x v="110"/>
    <s v="Brr Villa De Las Americas Mz B # 12"/>
    <s v="3174061711"/>
    <s v="Armenia"/>
    <s v="Operativa"/>
    <x v="50"/>
    <s v="Operativo"/>
    <s v="EPS Sura"/>
    <s v="Porvenir"/>
    <s v="Porvenir"/>
    <x v="0"/>
    <s v="Mujer"/>
    <s v="ordinario"/>
    <s v="No"/>
    <m/>
    <m/>
    <m/>
    <m/>
    <m/>
    <m/>
    <m/>
    <x v="0"/>
    <m/>
    <m/>
    <m/>
    <x v="0"/>
    <n v="293"/>
    <n v="47.361111111111114"/>
  </r>
  <r>
    <n v="138"/>
    <x v="128"/>
    <s v="Muriel Tavera"/>
    <s v="Cédula de ciudadanía"/>
    <n v="94287820"/>
    <s v="Empleado"/>
    <s v="Término indefinido"/>
    <x v="77"/>
    <m/>
    <s v="Mensual"/>
    <n v="3000000"/>
    <s v="No"/>
    <s v="Centro de trabajo Riesgo 4"/>
    <s v="Si"/>
    <s v="soldadomuriel@hotmail.com"/>
    <m/>
    <s v="Transferencia Bancaria"/>
    <s v="BBVA Colombia"/>
    <s v="Cuenta de Ahorros"/>
    <s v="0942099904"/>
    <x v="111"/>
    <s v="Cra.8 bis #31B-70 apt 301 pereira risaralda"/>
    <n v="3104035815"/>
    <s v="Armenia "/>
    <s v="Administrativa"/>
    <x v="3"/>
    <s v="Mano de Obra Directa"/>
    <s v="ADRES (regímenes especiales)"/>
    <s v="Colpensiones"/>
    <s v="Porvenir"/>
    <x v="14"/>
    <s v="Hombre"/>
    <s v="ordinario"/>
    <s v="Si"/>
    <n v="240000"/>
    <s v="No"/>
    <s v="No aplica"/>
    <s v="No"/>
    <s v="No"/>
    <s v="No aplica"/>
    <s v="No"/>
    <x v="22"/>
    <s v="Renuncia voluntaria"/>
    <m/>
    <m/>
    <x v="1"/>
    <n v="92"/>
    <n v="41.844444444444441"/>
  </r>
  <r>
    <n v="139"/>
    <x v="16"/>
    <s v="Hernandez Forero"/>
    <s v="Cédula de ciudadanía"/>
    <n v="1094947497"/>
    <s v="Empleado"/>
    <s v="Término indefinido"/>
    <x v="78"/>
    <m/>
    <s v="Mensual"/>
    <n v="1857760"/>
    <s v="Si"/>
    <s v="Centro de trabajo Riesgo 2"/>
    <s v="Si"/>
    <s v="lhernandezfr@gmail.com"/>
    <m/>
    <s v="Transferencia Bancaria"/>
    <s v="Daviplata"/>
    <s v="Cuenta de Ahorros"/>
    <s v="3136384791"/>
    <x v="112"/>
    <s v="Manzana A casa 33 Urbanización Villa Carolina II"/>
    <n v="3136384791"/>
    <s v="Restaurante El Solar"/>
    <s v="Coordinación"/>
    <x v="60"/>
    <s v="Mano de Obra Directa"/>
    <s v="S.O.S. Servicio Occidental de Salud S.A."/>
    <s v="Porvenir"/>
    <s v="Protección"/>
    <x v="3"/>
    <s v="Mujer"/>
    <s v="dirección, confianza y/o manejo"/>
    <s v="Si"/>
    <n v="437120"/>
    <s v="No"/>
    <s v="No aplica"/>
    <s v="No aplica"/>
    <s v="No"/>
    <s v="No aplica"/>
    <s v="No"/>
    <x v="23"/>
    <s v="Renuncia voluntaria"/>
    <m/>
    <m/>
    <x v="1"/>
    <n v="247"/>
    <n v="29.122222222222224"/>
  </r>
  <r>
    <n v="140"/>
    <x v="129"/>
    <s v="Castañeda Cardona "/>
    <s v="Cédula de ciudadanía"/>
    <n v="8464151"/>
    <s v="Empleado"/>
    <s v="Término indefinido"/>
    <x v="79"/>
    <m/>
    <s v="Mensual"/>
    <n v="1200000"/>
    <s v="No"/>
    <s v="Centro de trabajo Riesgo 2"/>
    <s v="Si"/>
    <s v="Marloncas24@hotmail.com"/>
    <m/>
    <s v="Transferencia Bancaria"/>
    <s v="Bancolombia"/>
    <s v="Cuenta de Ahorros"/>
    <n v="37601568633"/>
    <x v="113"/>
    <s v="km 1.5 via al eden. Armenia "/>
    <n v="3215934623"/>
    <s v="Corporacion Vaqueros "/>
    <s v="Operativa"/>
    <x v="61"/>
    <s v="Mano de Obra Directa "/>
    <s v="Nueva EPS"/>
    <s v="Colpensiones"/>
    <s v="Porvenir"/>
    <x v="15"/>
    <s v="Hombre"/>
    <s v="ordinario"/>
    <s v="No"/>
    <m/>
    <s v="No"/>
    <s v="No aplica"/>
    <s v="No"/>
    <s v="No"/>
    <s v="No aplica"/>
    <s v="No"/>
    <x v="24"/>
    <m/>
    <m/>
    <m/>
    <x v="1"/>
    <n v="28"/>
    <n v="47.647222222222226"/>
  </r>
  <r>
    <n v="141"/>
    <x v="130"/>
    <s v="Alvarez Echeverri "/>
    <s v="Cédula de ciudadanía"/>
    <n v="1094965837"/>
    <s v="Empleado"/>
    <s v="Término indefinido"/>
    <x v="79"/>
    <m/>
    <s v="Mensual"/>
    <n v="1300000"/>
    <s v="Si"/>
    <s v="Centro de trabajo Riesgo 3"/>
    <s v="Si"/>
    <s v="camilo.alvarez.e@gmail.com"/>
    <m/>
    <s v="Transferencia Bancaria"/>
    <s v="Daviplata"/>
    <s v="Cuenta de Ahorros"/>
    <n v="3217206292"/>
    <x v="114"/>
    <s v="Pinares manzana 6 casa 4"/>
    <n v="3138780463"/>
    <s v="Armenia "/>
    <s v="Operaciones"/>
    <x v="19"/>
    <s v="Mano de Obra Directa "/>
    <s v="EPS Sura"/>
    <s v="Porvenir"/>
    <s v="Porvenir"/>
    <x v="13"/>
    <s v="Hombre"/>
    <s v="ordinario"/>
    <s v="No"/>
    <m/>
    <s v="No"/>
    <s v="No aplica"/>
    <s v="No"/>
    <s v="No"/>
    <s v="No aplica"/>
    <s v="No"/>
    <x v="25"/>
    <s v="Terminación sin justa causa"/>
    <m/>
    <m/>
    <x v="1"/>
    <n v="39"/>
    <n v="26.008333333333333"/>
  </r>
  <r>
    <n v="142"/>
    <x v="36"/>
    <s v="Valencia Echeverry"/>
    <s v="Cédula de ciudadanía"/>
    <n v="1094927442"/>
    <s v="Empleado"/>
    <s v="Término indefinido"/>
    <x v="79"/>
    <m/>
    <s v="Mensual"/>
    <n v="6000000"/>
    <s v="No"/>
    <s v="Centro de trabajo Riesgo 1"/>
    <s v="Si"/>
    <s v="juanda132@hotmail.com"/>
    <m/>
    <s v="Transferencia Bancaria"/>
    <s v="Bancolombia"/>
    <s v="Cuenta de Ahorros"/>
    <s v="17885840345"/>
    <x v="36"/>
    <s v="Carrera 10 No 11 Norte 40"/>
    <n v="3166920036"/>
    <s v="Armenia "/>
    <s v="Legal"/>
    <x v="62"/>
    <s v="Administrativo"/>
    <s v="Sanitas"/>
    <s v="Protección"/>
    <s v="Protección"/>
    <x v="16"/>
    <s v="Hombre"/>
    <s v="dirección, confianza y/o manejo"/>
    <s v="No"/>
    <m/>
    <s v="No"/>
    <s v="No aplica"/>
    <s v="No"/>
    <s v="No"/>
    <s v="No aplica"/>
    <s v="No"/>
    <x v="0"/>
    <m/>
    <m/>
    <m/>
    <x v="0"/>
    <n v="278"/>
    <n v="31.883333333333333"/>
  </r>
  <r>
    <n v="143"/>
    <x v="131"/>
    <s v="Betancur Romero"/>
    <s v="Cédula de ciudadanía"/>
    <n v="4347819"/>
    <s v="Empleado"/>
    <s v="Término indefinido"/>
    <x v="79"/>
    <m/>
    <s v="Mensual"/>
    <n v="1300000"/>
    <s v="No"/>
    <s v="Centro de trabajo Riesgo 2"/>
    <s v="Si"/>
    <m/>
    <m/>
    <s v="Efectivo"/>
    <m/>
    <m/>
    <m/>
    <x v="115"/>
    <s v="Municipio de la victoria corregimiento de holguin finca el sinu"/>
    <s v="3155925519"/>
    <s v="Valle del Cauca"/>
    <s v="Operativa"/>
    <x v="28"/>
    <s v="Mano de Obra Directa"/>
    <s v="Coosalud"/>
    <s v="Colpensiones"/>
    <s v="Protección"/>
    <x v="5"/>
    <s v="Hombre"/>
    <s v="ordinario"/>
    <s v="No"/>
    <m/>
    <s v="No "/>
    <s v="No aplica"/>
    <s v="No aplica"/>
    <s v="No"/>
    <s v="No aplica"/>
    <s v="No aplica"/>
    <x v="0"/>
    <m/>
    <m/>
    <m/>
    <x v="0"/>
    <n v="278"/>
    <n v="64.455555555555549"/>
  </r>
  <r>
    <n v="144"/>
    <x v="132"/>
    <s v="Chichiliano Tegaiza"/>
    <s v="Cédula de ciudadanía"/>
    <n v="1077631804"/>
    <s v="Empleado"/>
    <s v="Término indefinido"/>
    <x v="79"/>
    <m/>
    <s v="Mensual"/>
    <n v="1300000"/>
    <s v="No"/>
    <s v="Centro de trabajo Riesgo 2"/>
    <m/>
    <s v="jarbin23@gmail.com"/>
    <m/>
    <s v="Efectivo"/>
    <m/>
    <m/>
    <m/>
    <x v="116"/>
    <s v="Municipio montenegro via san jose finca san pablo"/>
    <s v="3154254481"/>
    <s v="Finca san pablo"/>
    <s v="Administrador"/>
    <x v="17"/>
    <s v="Mano de Obra Directa"/>
    <s v="Nueva EPS"/>
    <s v="Porvenir"/>
    <s v="Porvenir"/>
    <x v="1"/>
    <s v="Hombre"/>
    <s v="ordinario"/>
    <s v="No"/>
    <m/>
    <s v="No"/>
    <s v="No aplica"/>
    <s v="No aplica"/>
    <s v="No"/>
    <s v="No aplica"/>
    <s v="No aplica"/>
    <x v="0"/>
    <m/>
    <m/>
    <m/>
    <x v="0"/>
    <n v="278"/>
    <n v="28.169444444444444"/>
  </r>
  <r>
    <n v="145"/>
    <x v="133"/>
    <s v="Diaz Jaramillo"/>
    <s v="Cédula de ciudadanía"/>
    <n v="94434444"/>
    <s v="Empleado"/>
    <s v="Término indefinido"/>
    <x v="79"/>
    <m/>
    <s v="Mensual"/>
    <n v="1300000"/>
    <s v="No"/>
    <s v="Centro de trabajo Riesgo 2"/>
    <s v="Si"/>
    <s v="yoneider1@gmail.com"/>
    <m/>
    <s v="Efectivo"/>
    <m/>
    <m/>
    <m/>
    <x v="23"/>
    <s v="Finca la palma"/>
    <n v="3183567853"/>
    <s v="Finca La Palma"/>
    <s v="Administrador"/>
    <x v="28"/>
    <s v="Mano de Obra Directa"/>
    <s v="S.O.S. Servicio Occidental de Salud S.A."/>
    <s v="Colpensiones"/>
    <s v="Porvenir"/>
    <x v="12"/>
    <s v="Hombre"/>
    <s v="ordinario"/>
    <s v="Si"/>
    <n v="92800"/>
    <s v="No"/>
    <s v="No aplica"/>
    <s v="No"/>
    <s v="No"/>
    <s v="No aplica"/>
    <s v="No"/>
    <x v="0"/>
    <m/>
    <m/>
    <m/>
    <x v="0"/>
    <n v="278"/>
    <s v=""/>
  </r>
  <r>
    <n v="146"/>
    <x v="134"/>
    <s v="Caicedo Diaz"/>
    <s v="Cédula de ciudadanía"/>
    <n v="53168155"/>
    <s v="Empleado"/>
    <s v="Término indefinido"/>
    <x v="79"/>
    <m/>
    <s v="Mensual"/>
    <n v="1300000"/>
    <s v="No"/>
    <s v="Centro de trabajo Riesgo 2"/>
    <s v="Si"/>
    <s v="Nellynuqui2013@gmail.com"/>
    <m/>
    <s v="Transferencia Bancaria"/>
    <s v="Daviplata"/>
    <s v="Cuenta de Ahorros"/>
    <s v="3108920735"/>
    <x v="117"/>
    <s v="Finca el Guayavito pueblo Tapao"/>
    <n v="3108920735"/>
    <s v="Finca el Guayabito"/>
    <s v="Servicios Generales"/>
    <x v="63"/>
    <s v="Mano de Obra Directa"/>
    <s v="S.O.S. Servicio Occidental de Salud S.A."/>
    <s v="Protección"/>
    <s v="Porvenir"/>
    <x v="12"/>
    <s v="Mujer"/>
    <s v="ordinario"/>
    <s v="Si"/>
    <n v="92800"/>
    <s v="No"/>
    <s v="No aplica"/>
    <s v="No"/>
    <s v="Si"/>
    <s v="Hijos"/>
    <s v="No"/>
    <x v="0"/>
    <m/>
    <m/>
    <m/>
    <x v="0"/>
    <n v="278"/>
    <n v="38.630555555555553"/>
  </r>
  <r>
    <n v="147"/>
    <x v="135"/>
    <s v="Echeverry Rengifo"/>
    <s v="Cédula de ciudadanía"/>
    <n v="1053775386"/>
    <s v="Empleado"/>
    <s v="Término indefinido"/>
    <x v="79"/>
    <m/>
    <s v="Mensual"/>
    <n v="2464000"/>
    <s v="Si"/>
    <s v="Centro de trabajo Riesgo 2"/>
    <s v="Si"/>
    <s v="natalia180387@gmail.com"/>
    <m/>
    <s v="Transferencia Bancaria"/>
    <s v="Bancolombia"/>
    <s v="Cuenta de Ahorros"/>
    <s v="72313241123"/>
    <x v="118"/>
    <s v="Calle 19 Nº 19-60 Mandalay casa 101"/>
    <n v="3207772198"/>
    <s v="Armenia "/>
    <s v="Comercial"/>
    <x v="64"/>
    <s v="Mano de Obra Directa"/>
    <s v="Salud Total"/>
    <s v="Protección"/>
    <s v="Porvenir"/>
    <x v="17"/>
    <s v="Mujer"/>
    <s v="ordinario"/>
    <s v="No"/>
    <m/>
    <s v="Si"/>
    <s v="Hijos"/>
    <s v="Si"/>
    <s v="Si"/>
    <s v="Hijos"/>
    <s v="Si"/>
    <x v="7"/>
    <s v="Terminación sin justa causa"/>
    <m/>
    <s v="No"/>
    <x v="1"/>
    <n v="273"/>
    <n v="37.044444444444444"/>
  </r>
  <r>
    <n v="148"/>
    <x v="86"/>
    <s v="Rojas Zapata"/>
    <s v="Cédula de ciudadanía"/>
    <n v="1005087401"/>
    <s v="Aprendiz Sena Etapa Productiva"/>
    <s v="Término fijo"/>
    <x v="80"/>
    <d v="2024-07-20T00:00:00"/>
    <s v="Mensual"/>
    <n v="1300000"/>
    <s v="No"/>
    <s v="Centro de trabajo Riesgo 3"/>
    <s v="Si"/>
    <s v="mafecitarojas.2001@gmail.com"/>
    <m/>
    <s v="Transferencia Bancaria"/>
    <s v="Daviplata"/>
    <s v="Cuenta de Ahorros"/>
    <s v="3197501397"/>
    <x v="119"/>
    <s v="Barrio centenario m A casa 20 segundo piso"/>
    <s v="3197501397"/>
    <s v="Restaurante El Solar"/>
    <s v="Servicio y producción"/>
    <x v="65"/>
    <s v="Mano de Obra Indirecta"/>
    <s v="ADRES (regímenes especiales)"/>
    <s v=""/>
    <s v=""/>
    <x v="3"/>
    <s v="Mujer"/>
    <s v="ordinario"/>
    <s v="No"/>
    <m/>
    <s v="No"/>
    <s v="No aplica"/>
    <s v="No aplica"/>
    <s v="No"/>
    <s v="No aplica"/>
    <s v="No"/>
    <x v="0"/>
    <m/>
    <m/>
    <m/>
    <x v="0"/>
    <n v="277"/>
    <n v="22.43888888888889"/>
  </r>
  <r>
    <n v="149"/>
    <x v="8"/>
    <s v="Valencia"/>
    <s v="Cédula de ciudadanía"/>
    <n v="14279969"/>
    <s v="Empleado"/>
    <s v="Término indefinido"/>
    <x v="81"/>
    <m/>
    <s v="Mensual"/>
    <n v="1300000"/>
    <s v="Si"/>
    <s v="Centro de trabajo Riesgo 4"/>
    <s v="Si"/>
    <s v="jhon23@gmail.com"/>
    <m/>
    <s v="Transferencia Bancaria"/>
    <s v="Banco Davivienda"/>
    <s v="Cuenta de Ahorros"/>
    <s v="0550138000060614"/>
    <x v="120"/>
    <s v="Barrio buenos aires plano mz casa 27 "/>
    <n v="3127013638"/>
    <s v="Armenia "/>
    <s v="Operativa"/>
    <x v="36"/>
    <s v="Operativo"/>
    <s v="Nueva EPS"/>
    <s v="Protección"/>
    <s v="Porvenir"/>
    <x v="0"/>
    <s v="Hombre"/>
    <s v="ordinario"/>
    <s v="No"/>
    <m/>
    <s v="No"/>
    <s v="No aplica"/>
    <s v="No"/>
    <s v="Si"/>
    <s v="Hijos"/>
    <s v="No"/>
    <x v="0"/>
    <m/>
    <m/>
    <m/>
    <x v="0"/>
    <n v="266"/>
    <n v="51.177777777777777"/>
  </r>
  <r>
    <n v="150"/>
    <x v="136"/>
    <s v="Macias  Guaca"/>
    <s v="Cédula de ciudadanía"/>
    <n v="1058964021"/>
    <s v="Empleado"/>
    <s v="Término indefinido"/>
    <x v="81"/>
    <m/>
    <s v="Mensual"/>
    <n v="1300000"/>
    <s v="Si"/>
    <s v="Centro de trabajo Riesgo 4"/>
    <s v="Si"/>
    <s v="km5381421@gmail.com"/>
    <m/>
    <s v="Transferencia Bancaria"/>
    <s v="Banco Davivienda"/>
    <s v="Cuenta de Ahorros"/>
    <s v="0550136000948531"/>
    <x v="121"/>
    <s v="Barrio Montevideo Mz 13 Cs 23 A"/>
    <s v="3225842328 / 3009824835"/>
    <s v="Armenia "/>
    <s v="Operativa"/>
    <x v="36"/>
    <s v="Operativo"/>
    <s v="S.O.S. Servicio Occidental de Salud S.A."/>
    <s v="Porvenir"/>
    <s v="Porvenir"/>
    <x v="0"/>
    <s v="Hombre"/>
    <s v="ordinario"/>
    <s v="No"/>
    <m/>
    <s v="No"/>
    <s v="No aplica"/>
    <s v="No"/>
    <s v="No"/>
    <s v="No aplica"/>
    <s v="No"/>
    <x v="0"/>
    <m/>
    <m/>
    <m/>
    <x v="0"/>
    <n v="266"/>
    <n v="19.102777777777778"/>
  </r>
  <r>
    <n v="151"/>
    <x v="137"/>
    <s v="Valencia Villa "/>
    <s v="Cédula de ciudadanía"/>
    <n v="1094960023"/>
    <s v="Empleado"/>
    <s v="Término indefinido"/>
    <x v="82"/>
    <m/>
    <s v="Mensual"/>
    <n v="1350000"/>
    <s v="Si"/>
    <s v="Centro de trabajo Riesgo 1"/>
    <s v="Si"/>
    <s v="kelly-v2@outlook.com"/>
    <m/>
    <s v="Transferencia Bancaria"/>
    <s v="Banco Davivienda"/>
    <s v="Cuenta de Ahorros"/>
    <s v="0550488442014087"/>
    <x v="122"/>
    <s v="Cra15#8N-25 "/>
    <n v="3127054592"/>
    <s v="Oficina"/>
    <s v="Administrativa"/>
    <x v="66"/>
    <s v="Administrativo"/>
    <s v="Salud Total"/>
    <s v="Protección"/>
    <s v="Protección"/>
    <x v="9"/>
    <s v="Mujer"/>
    <s v="ordinario"/>
    <s v="Si"/>
    <n v="850000"/>
    <s v="No"/>
    <s v="No aplica"/>
    <s v="No"/>
    <s v="No"/>
    <s v="No aplica"/>
    <s v="No"/>
    <x v="0"/>
    <m/>
    <m/>
    <m/>
    <x v="0"/>
    <n v="262"/>
    <n v="27.427777777777777"/>
  </r>
  <r>
    <n v="152"/>
    <x v="138"/>
    <s v="Rincon Mateus"/>
    <s v="Cédula de ciudadanía"/>
    <n v="1193140588"/>
    <s v="Empleado"/>
    <s v="Término indefinido"/>
    <x v="82"/>
    <m/>
    <s v="Mensual"/>
    <n v="1500000"/>
    <s v="Si"/>
    <s v="Centro de trabajo Riesgo 1"/>
    <s v="Si"/>
    <s v="vrincon822525@cue.edu.co"/>
    <m/>
    <s v="Transferencia Bancaria"/>
    <s v="Bancolombia"/>
    <s v="Cuenta de Ahorros"/>
    <s v="91254975155"/>
    <x v="123"/>
    <s v="conjunto Pasadena contry bloque 2 apto 303"/>
    <n v="3219298656"/>
    <s v="Armenia"/>
    <s v="Legal"/>
    <x v="67"/>
    <s v="Mano de Obra Directa"/>
    <s v="EPS Sura"/>
    <s v="Porvenir"/>
    <s v="Porvenir"/>
    <x v="16"/>
    <s v="Mujer"/>
    <s v="ordinario"/>
    <s v="Si"/>
    <n v="650000"/>
    <s v="No"/>
    <s v="No aplica"/>
    <s v="No"/>
    <s v="No"/>
    <s v="No aplica"/>
    <s v="No"/>
    <x v="0"/>
    <m/>
    <m/>
    <m/>
    <x v="0"/>
    <n v="262"/>
    <n v="22.555555555555557"/>
  </r>
  <r>
    <n v="153"/>
    <x v="139"/>
    <s v="Perez Arango"/>
    <s v="Cédula de ciudadanía"/>
    <n v="4408920"/>
    <s v="Empleado"/>
    <s v="Término indefinido"/>
    <x v="82"/>
    <m/>
    <s v="Mensual"/>
    <n v="2013760"/>
    <s v="Si"/>
    <s v="Centro de trabajo Riesgo 2"/>
    <s v="Si"/>
    <s v=" carlosperez040785@gmail.com"/>
    <m/>
    <s v="Transferencia Bancaria"/>
    <s v="Bancolombia"/>
    <s v="Cuenta de Ahorros"/>
    <s v="37461564969"/>
    <x v="124"/>
    <s v="Circasia Quindío, calle 4 # 11-58 piso 2 "/>
    <n v="3212835597"/>
    <s v="Armenia "/>
    <s v="Comercial"/>
    <x v="68"/>
    <s v="Mano de Obra Directa"/>
    <s v="Sanitas"/>
    <s v="Porvenir"/>
    <s v="Porvenir"/>
    <x v="17"/>
    <s v="Hombre"/>
    <s v="ordinario"/>
    <s v="Si"/>
    <n v="200000"/>
    <s v="No"/>
    <s v="No aplica"/>
    <s v="No"/>
    <s v="Si"/>
    <s v="Hijos"/>
    <s v="Si"/>
    <x v="0"/>
    <m/>
    <m/>
    <m/>
    <x v="0"/>
    <n v="262"/>
    <n v="38.700000000000003"/>
  </r>
  <r>
    <n v="154"/>
    <x v="140"/>
    <s v="Morales Tabarez"/>
    <s v="Cédula de ciudadanía"/>
    <n v="47436047"/>
    <s v="Empleado"/>
    <s v="Término indefinido"/>
    <x v="82"/>
    <m/>
    <s v="Mensual"/>
    <n v="1300000"/>
    <s v="No"/>
    <s v="Centro de trabajo Riesgo 3"/>
    <s v="Si"/>
    <s v="luzmorales2@gmail.com"/>
    <m/>
    <s v="Transferencia Bancaria"/>
    <s v="Daviplata"/>
    <s v="Cuenta de Ahorros"/>
    <s v=" 3052131029"/>
    <x v="125"/>
    <s v="Kilometro 2 via circasia reservas el bosque"/>
    <s v=" 3052131029"/>
    <s v="Restaurante El Solar"/>
    <s v="Operativa"/>
    <x v="50"/>
    <s v="Mano de Obra Directa"/>
    <s v="Nueva EPS"/>
    <s v="Protección"/>
    <s v="Porvenir"/>
    <x v="3"/>
    <s v="Mujer"/>
    <s v="ordinario"/>
    <s v="No"/>
    <m/>
    <s v="No"/>
    <s v="No aplica"/>
    <s v="No aplica"/>
    <s v="No"/>
    <s v="No aplica"/>
    <s v="No"/>
    <x v="0"/>
    <m/>
    <m/>
    <m/>
    <x v="0"/>
    <n v="262"/>
    <n v="48.011111111111113"/>
  </r>
  <r>
    <n v="155"/>
    <x v="141"/>
    <s v="Marín Gómez"/>
    <s v="Cédula de ciudadanía"/>
    <n v="1005091405"/>
    <s v="Empleado"/>
    <s v="Término indefinido"/>
    <x v="83"/>
    <s v=""/>
    <s v="Mensual"/>
    <n v="1300000"/>
    <s v="Si"/>
    <s v="Centro de trabajo Riesgo 2"/>
    <s v="Si"/>
    <s v="andresnacional41@hotmail.com"/>
    <m/>
    <s v="Transferencia Bancaria"/>
    <s v="Banco Davivienda"/>
    <s v="Cuenta de Ahorros"/>
    <s v="488436677592"/>
    <x v="126"/>
    <s v="Barrio Simón Bolívar Mz 19 casa 16 Armenia"/>
    <n v="3235305442"/>
    <s v="Sede principal"/>
    <s v="Operaciones"/>
    <x v="55"/>
    <s v="Mano de Obra Directa"/>
    <s v="Sanitas"/>
    <s v="Porvenir"/>
    <s v="Protección"/>
    <x v="7"/>
    <s v="Hombre"/>
    <s v="ordinario"/>
    <m/>
    <m/>
    <s v="Si"/>
    <s v="Hijos"/>
    <s v="Si"/>
    <s v="Si"/>
    <s v="Hijos"/>
    <s v="Si"/>
    <x v="0"/>
    <m/>
    <m/>
    <m/>
    <x v="0"/>
    <n v="260"/>
    <n v="27.669444444444444"/>
  </r>
  <r>
    <n v="156"/>
    <x v="115"/>
    <s v="Parra Quintero"/>
    <s v="Cédula de ciudadanía"/>
    <n v="1094902856"/>
    <s v="Empleado"/>
    <s v="Término indefinido"/>
    <x v="84"/>
    <m/>
    <s v="Mensual"/>
    <n v="1300000"/>
    <s v="Si"/>
    <s v="Centro de trabajo Riesgo 3"/>
    <s v="Si"/>
    <s v="parraquinterodavid9@gmail.com"/>
    <m/>
    <s v="Transferencia Bancaria"/>
    <s v="Bancolombia"/>
    <s v="Cuenta de Ahorros"/>
    <s v="13117664230"/>
    <x v="127"/>
    <s v="Casa 11 segundo piso Manzana 8 El Prado "/>
    <n v="3117664230"/>
    <s v="Restaurante El Solar"/>
    <s v="Servicio y producción"/>
    <x v="19"/>
    <s v="Mano de Obra Directa"/>
    <s v="Nueva EPS"/>
    <s v="Protección"/>
    <s v="Protección"/>
    <x v="3"/>
    <s v="Hombre"/>
    <s v="ordinario"/>
    <s v="No"/>
    <m/>
    <s v="No"/>
    <s v="No aplica"/>
    <s v="No aplica"/>
    <s v="No"/>
    <s v="No aplica"/>
    <s v="No"/>
    <x v="26"/>
    <s v="Renuncia voluntaria"/>
    <m/>
    <m/>
    <x v="1"/>
    <n v="103"/>
    <n v="35.158333333333331"/>
  </r>
  <r>
    <n v="157"/>
    <x v="142"/>
    <s v="Bedoya Giraldo"/>
    <s v="Cédula de ciudadanía"/>
    <n v="18416515"/>
    <s v="Empleado"/>
    <s v="Término indefinido"/>
    <x v="85"/>
    <m/>
    <s v="Mensual"/>
    <n v="1300000"/>
    <s v="No"/>
    <s v="Centro de trabajo Riesgo 2"/>
    <s v="Si"/>
    <s v="efrain23@gmail.com"/>
    <m/>
    <s v="Efectivo"/>
    <m/>
    <m/>
    <m/>
    <x v="23"/>
    <s v="Municipio zarzal finca Balkanes"/>
    <s v="3188292304"/>
    <s v="Valle del Cauca"/>
    <s v="Operativa"/>
    <x v="28"/>
    <s v="Mano de Obra Directa"/>
    <s v="Nueva EPS"/>
    <s v="Protección"/>
    <s v="Porvenir"/>
    <x v="5"/>
    <s v="Hombre"/>
    <s v="ordinario"/>
    <s v="No"/>
    <m/>
    <s v="No "/>
    <s v="No aplica"/>
    <s v="No aplica"/>
    <s v="No"/>
    <s v="No aplica"/>
    <s v="No aplica"/>
    <x v="27"/>
    <s v="Renuncia voluntaria"/>
    <m/>
    <m/>
    <x v="1"/>
    <n v="74"/>
    <s v=""/>
  </r>
  <r>
    <n v="158"/>
    <x v="143"/>
    <s v="Caicedo Caicedo"/>
    <s v="Cédula de ciudadanía"/>
    <n v="1111746835"/>
    <s v="Empleado"/>
    <s v="Término indefinido"/>
    <x v="86"/>
    <m/>
    <s v="Mensual"/>
    <n v="2000000"/>
    <s v="Si"/>
    <s v="Centro de trabajo Riesgo 1"/>
    <s v="Si"/>
    <s v="anamilenacaicedocontadora@gmail.com"/>
    <m/>
    <s v="Transferencia Bancaria"/>
    <s v="Bancolombia"/>
    <s v="Cuenta de Ahorros"/>
    <s v="91246496132"/>
    <x v="128"/>
    <s v="Cra 26 # 34 -02, Calarcá"/>
    <n v="3218248979"/>
    <s v="Armenia "/>
    <s v="Administrativa"/>
    <x v="10"/>
    <s v="Mano de Obra Directa"/>
    <s v="Salud Total"/>
    <s v="Protección"/>
    <s v="Protección"/>
    <x v="16"/>
    <s v="Mujer"/>
    <s v="ordinario"/>
    <s v="Si"/>
    <n v="800000"/>
    <s v="No"/>
    <s v="No aplica"/>
    <s v="No"/>
    <s v="Si"/>
    <s v="Padres"/>
    <s v="No"/>
    <x v="28"/>
    <s v="Renuncia voluntaria"/>
    <m/>
    <m/>
    <x v="1"/>
    <n v="107"/>
    <n v="38.230555555555554"/>
  </r>
  <r>
    <n v="159"/>
    <x v="144"/>
    <s v="Sanchéz Martínez"/>
    <s v="Cédula de ciudadanía"/>
    <n v="6804779"/>
    <s v="Empleado"/>
    <s v="Término indefinido"/>
    <x v="86"/>
    <m/>
    <s v="Mensual"/>
    <n v="1300000"/>
    <s v="Si"/>
    <s v="Centro de trabajo Riesgo 4"/>
    <s v="Si"/>
    <s v="orduweysanchezmartinez@gmail.com"/>
    <m/>
    <s v="Transferencia Bancaria"/>
    <s v="Banco Davivienda"/>
    <s v="Cuenta de Ahorros"/>
    <s v="0550488413690048"/>
    <x v="129"/>
    <s v="Barrio Santander calle 35 -carra 27 - 02"/>
    <n v="3147961784"/>
    <s v="Armenia "/>
    <s v="Operativa"/>
    <x v="38"/>
    <s v="Operativo"/>
    <s v="EPS Sura"/>
    <s v="Protección"/>
    <s v="Porvenir"/>
    <x v="0"/>
    <s v="Hombre"/>
    <s v="ordinario"/>
    <s v="No"/>
    <m/>
    <s v="No"/>
    <s v="No aplica"/>
    <s v="No"/>
    <s v="No"/>
    <s v="No aplica"/>
    <s v="No"/>
    <x v="0"/>
    <m/>
    <m/>
    <m/>
    <x v="0"/>
    <n v="254"/>
    <n v="40.35"/>
  </r>
  <r>
    <n v="160"/>
    <x v="145"/>
    <s v="Angarita Galindo"/>
    <s v="Cédula de ciudadanía"/>
    <n v="1094964496"/>
    <s v="Empleado"/>
    <s v="Término indefinido"/>
    <x v="87"/>
    <m/>
    <s v="Mensual"/>
    <n v="1500000"/>
    <s v="Si"/>
    <s v="Centro de trabajo Riesgo 1"/>
    <s v="Si"/>
    <s v="dani.081997@hotmail.com"/>
    <m/>
    <s v="Transferencia Bancaria"/>
    <s v="BBVA Colombia"/>
    <s v="Cuenta de Ahorros"/>
    <s v="0642244388"/>
    <x v="130"/>
    <s v="Villa Alejandra 2 etapa mz 11 numero 1"/>
    <n v="3128802624"/>
    <s v="Armenia "/>
    <s v="Legal"/>
    <x v="67"/>
    <s v="Mano de Obra Directa"/>
    <s v="Sanitas"/>
    <s v="Protección"/>
    <s v="Protección"/>
    <x v="16"/>
    <s v="Mujer"/>
    <s v="ordinario"/>
    <s v="Si"/>
    <n v="650000"/>
    <s v="No"/>
    <s v="No aplica"/>
    <s v="No"/>
    <s v="No"/>
    <s v="No aplica"/>
    <s v="No"/>
    <x v="0"/>
    <m/>
    <m/>
    <m/>
    <x v="0"/>
    <n v="252"/>
    <n v="26.488888888888887"/>
  </r>
  <r>
    <n v="161"/>
    <x v="146"/>
    <s v="Echavarria Betancurt"/>
    <s v="Cédula de ciudadanía"/>
    <n v="1097397516"/>
    <s v="Empleado"/>
    <s v="Término indefinido"/>
    <x v="88"/>
    <s v=""/>
    <s v="Mensual"/>
    <n v="1300000"/>
    <s v="Si"/>
    <s v="Centro de trabajo Riesgo 2"/>
    <s v="Si"/>
    <s v="echavarriah171@gmail.com"/>
    <m/>
    <s v="Transferencia Bancaria"/>
    <s v="Banco Davivienda"/>
    <s v="Cuenta de Ahorros"/>
    <s v="0550488411847335"/>
    <x v="131"/>
    <s v="Brr Congal 2 Mz D #10-24 - Barcelona"/>
    <n v="3117604670"/>
    <s v="Armenia "/>
    <s v="Operativa"/>
    <x v="55"/>
    <s v="Mano de Obra Directa"/>
    <s v="Nueva EPS"/>
    <s v="Porvenir"/>
    <s v="Porvenir"/>
    <x v="7"/>
    <s v="Hombre"/>
    <s v="ordinario"/>
    <m/>
    <m/>
    <s v="Si"/>
    <s v="Hijos"/>
    <s v="Si"/>
    <s v="Si"/>
    <s v="Hijos"/>
    <s v="Si"/>
    <x v="0"/>
    <m/>
    <m/>
    <m/>
    <x v="0"/>
    <n v="247"/>
    <n v="32.494444444444447"/>
  </r>
  <r>
    <n v="162"/>
    <x v="147"/>
    <s v="Arce Quiceno"/>
    <s v="Cédula de ciudadanía"/>
    <n v="1094912202"/>
    <s v="Empleado"/>
    <s v="Término indefinido"/>
    <x v="88"/>
    <d v="2023-09-19T00:00:00"/>
    <s v="Mensual"/>
    <n v="1300000"/>
    <s v="Si"/>
    <s v="Centro de trabajo Riesgo 2"/>
    <s v="Si"/>
    <s v="arcequiceno@hotmail.com"/>
    <m/>
    <s v="Transferencia Bancaria"/>
    <s v="Banco Davivienda"/>
    <s v="Cuenta de Ahorros"/>
    <s v="0550136000949638"/>
    <x v="132"/>
    <s v="Brr Cañas Gordas Mz 3 #18 - Armenia"/>
    <n v="3045306665"/>
    <s v="Armenia "/>
    <s v="Operativa"/>
    <x v="55"/>
    <s v="Mano de Obra Directa"/>
    <s v="Nueva EPS"/>
    <s v="Colpensiones"/>
    <s v="Porvenir"/>
    <x v="7"/>
    <s v="Hombre"/>
    <s v="ordinario"/>
    <m/>
    <m/>
    <s v="Si"/>
    <s v="Hijos"/>
    <s v="Si"/>
    <s v="Si"/>
    <s v="Hijos"/>
    <s v="Si"/>
    <x v="29"/>
    <s v="Renuncia voluntaria"/>
    <s v="Viaje"/>
    <m/>
    <x v="1"/>
    <n v="49"/>
    <n v="33.988888888888887"/>
  </r>
  <r>
    <n v="163"/>
    <x v="148"/>
    <s v="Cortes Jaramillo"/>
    <s v="Cédula de ciudadanía"/>
    <n v="4572908"/>
    <s v="Empleado"/>
    <s v="Término indefinido"/>
    <x v="88"/>
    <m/>
    <s v="Mensual"/>
    <n v="1300000"/>
    <s v="No"/>
    <s v="Centro de trabajo Riesgo 2"/>
    <m/>
    <m/>
    <m/>
    <s v="Efectivo"/>
    <m/>
    <m/>
    <m/>
    <x v="14"/>
    <s v="finca la Elvira Alcalá valle"/>
    <s v="3226918232"/>
    <s v="Valle del Cauca"/>
    <s v="Operativa"/>
    <x v="69"/>
    <s v="Mano de Obra Directa"/>
    <s v="Nueva EPS"/>
    <s v="Colpensiones"/>
    <s v="Porvenir"/>
    <x v="6"/>
    <s v="Hombre"/>
    <s v="ordinario"/>
    <s v="No"/>
    <m/>
    <s v="No "/>
    <s v="No aplica"/>
    <s v="No aplica"/>
    <s v="No"/>
    <s v="No aplica"/>
    <s v="No aplica"/>
    <x v="4"/>
    <s v="Renuncia voluntaria"/>
    <m/>
    <m/>
    <x v="1"/>
    <n v="183"/>
    <n v="56.194444444444443"/>
  </r>
  <r>
    <n v="165"/>
    <x v="149"/>
    <s v="Restrepo Fernández"/>
    <s v="Cédula de ciudadanía"/>
    <n v="1096032371"/>
    <s v="Empleado"/>
    <s v="Término indefinido"/>
    <x v="88"/>
    <m/>
    <s v="Mensual"/>
    <n v="1300000"/>
    <s v="Si"/>
    <s v="Centro de trabajo Riesgo 3"/>
    <s v="Si"/>
    <s v="jhoanarestrepo331@gmail.com"/>
    <m/>
    <s v="Transferencia Bancaria"/>
    <s v="Bancolombia"/>
    <s v="Cuenta de Ahorros"/>
    <s v="06955522131 "/>
    <x v="133"/>
    <s v="Barrio Cristales Mz P casa 3 La Tebaida. "/>
    <n v="3122747863"/>
    <s v="Baronesa Mall Paraíso"/>
    <s v="Restaurantes"/>
    <x v="44"/>
    <s v="Mall Paraíso"/>
    <s v="Nueva EPS"/>
    <s v="Porvenir"/>
    <s v="Porvenir"/>
    <x v="10"/>
    <s v="Mujer"/>
    <s v="ordinario"/>
    <s v="No"/>
    <m/>
    <s v="Si"/>
    <s v="Hijos"/>
    <s v="Si"/>
    <s v="Si"/>
    <s v="Hijos"/>
    <s v="Si"/>
    <x v="0"/>
    <m/>
    <m/>
    <m/>
    <x v="0"/>
    <n v="247"/>
    <n v="33.116666666666667"/>
  </r>
  <r>
    <n v="166"/>
    <x v="150"/>
    <s v="Rojas Ruiz"/>
    <s v="Cédula de ciudadanía"/>
    <n v="1113594027"/>
    <s v="Empleado"/>
    <s v="Término indefinido"/>
    <x v="88"/>
    <m/>
    <s v="Mensual"/>
    <n v="1300000"/>
    <s v="No"/>
    <s v="Centro de trabajo Riesgo 2"/>
    <s v="Si"/>
    <s v="julianro1290@gmail.com"/>
    <m/>
    <s v="Efectivo"/>
    <m/>
    <m/>
    <m/>
    <x v="102"/>
    <s v="CORREGIMIENTO DE VALLEJUELO FINCA  BALKANES ZARZAL"/>
    <s v="317 8594659"/>
    <s v="Vale del cauca"/>
    <s v="Operativa"/>
    <x v="7"/>
    <s v="Mano de Obra Directa"/>
    <s v="Salud Total"/>
    <s v="Protección"/>
    <s v="Protección"/>
    <x v="5"/>
    <s v="Hombre"/>
    <s v="ordinario"/>
    <s v="No"/>
    <m/>
    <s v="No"/>
    <s v="No aplica"/>
    <s v="No aplica"/>
    <s v="No"/>
    <s v="No aplica"/>
    <s v="No aplica"/>
    <x v="3"/>
    <s v="Terminación por mutuo acuerdo"/>
    <m/>
    <m/>
    <x v="1"/>
    <n v="151"/>
    <n v="33.325000000000003"/>
  </r>
  <r>
    <n v="167"/>
    <x v="73"/>
    <s v="Rojas Tovar"/>
    <s v="Cédula de ciudadanía"/>
    <n v="66956964"/>
    <s v="Empleado"/>
    <s v="Término indefinido"/>
    <x v="88"/>
    <m/>
    <s v="Mensual"/>
    <n v="1300000"/>
    <s v="Si"/>
    <s v="Centro de trabajo Riesgo 3"/>
    <s v="Si"/>
    <s v="miguevale.1972@hotmail.com"/>
    <m/>
    <s v="Efectivo"/>
    <m/>
    <m/>
    <m/>
    <x v="134"/>
    <s v="Cra 33 No. 31A 6 - 4 Cali"/>
    <n v="3224606724"/>
    <s v="Cali"/>
    <s v="Comercial"/>
    <x v="70"/>
    <s v="Ventas"/>
    <s v="EPS Sura"/>
    <s v="Colfondos"/>
    <s v="Colfondos"/>
    <x v="18"/>
    <s v="Mujer"/>
    <s v="ordinario"/>
    <s v="Si"/>
    <n v="182828"/>
    <s v="Si"/>
    <s v="Hijos"/>
    <s v="Si"/>
    <s v="Si"/>
    <s v="Hijos"/>
    <s v="Si"/>
    <x v="0"/>
    <m/>
    <m/>
    <m/>
    <x v="0"/>
    <n v="247"/>
    <n v="48.394444444444446"/>
  </r>
  <r>
    <n v="168"/>
    <x v="151"/>
    <s v="Mena"/>
    <s v="Cédula de ciudadanía"/>
    <n v="38604116"/>
    <s v="Empleado"/>
    <s v="Término indefinido"/>
    <x v="88"/>
    <m/>
    <s v="Mensual"/>
    <n v="1300000"/>
    <s v="Si"/>
    <s v="Centro de trabajo Riesgo 3"/>
    <s v="Si"/>
    <s v="linamena1983@hotmail.com"/>
    <m/>
    <s v="Transferencia Bancaria"/>
    <s v="Bancolombia"/>
    <s v="Cuenta de Ahorros"/>
    <s v="71600002120"/>
    <x v="135"/>
    <s v="Calle 27 #25 -90 barrio Aguablanca Cali - Valle del Cauca"/>
    <n v="3046572426"/>
    <s v="Cali"/>
    <s v="Comercial"/>
    <x v="70"/>
    <s v="Ventas"/>
    <s v="S.O.S. Servicio Occidental de Salud S.A."/>
    <s v="Protección"/>
    <s v="Protección"/>
    <x v="18"/>
    <s v="Mujer"/>
    <s v="ordinario"/>
    <s v="Si"/>
    <n v="207828"/>
    <s v="Si"/>
    <s v="Hijos"/>
    <s v="Si"/>
    <s v="Si"/>
    <s v="Hijos"/>
    <s v="Si"/>
    <x v="30"/>
    <s v="Periodo de prueba"/>
    <m/>
    <m/>
    <x v="1"/>
    <n v="25"/>
    <n v="40.708333333333336"/>
  </r>
  <r>
    <n v="169"/>
    <x v="152"/>
    <s v="Castro Fuigueroa"/>
    <s v="Cédula de ciudadanía"/>
    <n v="1094943773"/>
    <s v="Empleado"/>
    <s v="Término indefinido"/>
    <x v="89"/>
    <m/>
    <s v="Mensual"/>
    <n v="1300000"/>
    <s v="Si"/>
    <s v="Centro de trabajo Riesgo 4"/>
    <s v="Si"/>
    <s v="janner.cdlm@gmail.com"/>
    <m/>
    <s v="Transferencia Bancaria"/>
    <s v="Banco Davivienda"/>
    <s v="Cuenta de Ahorros"/>
    <s v="488440642137"/>
    <x v="23"/>
    <s v="Altos de la pavona MZ B Casa 5"/>
    <n v="3122111158"/>
    <s v="Armenia "/>
    <s v="Operativa"/>
    <x v="36"/>
    <s v="Operativo"/>
    <s v="Sanitas"/>
    <s v="Colpensiones"/>
    <s v="Porvenir"/>
    <x v="0"/>
    <s v="Hombre"/>
    <s v="ordinario"/>
    <s v="No"/>
    <m/>
    <m/>
    <m/>
    <m/>
    <m/>
    <m/>
    <m/>
    <x v="31"/>
    <s v="Renuncia voluntaria"/>
    <m/>
    <m/>
    <x v="1"/>
    <n v="179"/>
    <s v=""/>
  </r>
  <r>
    <n v="170"/>
    <x v="153"/>
    <s v="Ortegon Martinez"/>
    <s v="Cédula de ciudadanía"/>
    <n v="41948906"/>
    <s v="Empleado"/>
    <s v="Término indefinido"/>
    <x v="89"/>
    <m/>
    <s v="Mensual"/>
    <n v="1300000"/>
    <s v="Si"/>
    <s v="Centro de trabajo Riesgo 4"/>
    <s v="Si"/>
    <s v="jabeto007@gmail.com"/>
    <m/>
    <s v="Transferencia Bancaria"/>
    <s v="Banco Davivienda"/>
    <s v="Cuenta de Ahorros"/>
    <s v="488440589791"/>
    <x v="136"/>
    <s v="Carrera 24a No 13-26 BRR Corbones"/>
    <n v="3012730011"/>
    <s v="Armenia "/>
    <s v="Ventas"/>
    <x v="37"/>
    <s v="Armenia Ventas"/>
    <s v="EPS Sura"/>
    <s v="Colpensiones"/>
    <s v="Porvenir"/>
    <x v="0"/>
    <s v="Mujer"/>
    <s v="ordinario"/>
    <s v="No"/>
    <m/>
    <m/>
    <m/>
    <m/>
    <m/>
    <m/>
    <m/>
    <x v="4"/>
    <s v="Renuncia voluntaria"/>
    <m/>
    <m/>
    <x v="1"/>
    <n v="181"/>
    <n v="45.163888888888891"/>
  </r>
  <r>
    <n v="171"/>
    <x v="41"/>
    <s v="Cruz Gonzalez "/>
    <s v="Cédula de ciudadanía"/>
    <n v="79587698"/>
    <s v="Empleado"/>
    <s v="Término indefinido"/>
    <x v="90"/>
    <m/>
    <s v="Mensual"/>
    <n v="1300000"/>
    <s v="Si"/>
    <s v="Centro de trabajo Riesgo 4"/>
    <m/>
    <s v="juancarloscruzgonzalez476@gmail.com"/>
    <m/>
    <s v="Transferencia Bancaria"/>
    <s v="Bancolombia"/>
    <s v="Cuenta de Ahorros"/>
    <s v="06938050773"/>
    <x v="137"/>
    <s v="Urbanización los cristales bloque c apto 304"/>
    <n v="3148606663"/>
    <s v="Armenia"/>
    <s v="Ventas"/>
    <x v="37"/>
    <s v="Armenia Ventas"/>
    <s v="EPS Sura"/>
    <s v="Colpensiones"/>
    <s v="Porvenir"/>
    <x v="0"/>
    <s v="Hombre"/>
    <s v="ordinario"/>
    <s v="No"/>
    <m/>
    <m/>
    <m/>
    <m/>
    <m/>
    <m/>
    <m/>
    <x v="31"/>
    <s v="Renuncia voluntaria"/>
    <m/>
    <m/>
    <x v="1"/>
    <n v="177"/>
    <n v="55.5"/>
  </r>
  <r>
    <n v="172"/>
    <x v="154"/>
    <s v="Betancourt Delagado"/>
    <s v="Cédula de ciudadanía"/>
    <n v="1006026309"/>
    <s v="Empleado"/>
    <s v="Término fijo"/>
    <x v="91"/>
    <d v="2023-10-08T00:00:00"/>
    <s v="Mensual"/>
    <n v="1300000"/>
    <s v="Si"/>
    <s v="Centro de trabajo Riesgo 2"/>
    <s v="Si"/>
    <s v="anderbetancourt.2123@gmail.com"/>
    <m/>
    <s v="Efectivo"/>
    <m/>
    <m/>
    <m/>
    <x v="138"/>
    <s v="Carrera 8 # 10 - 30 Centro - Lerida"/>
    <n v="3137649743"/>
    <s v="Lerida"/>
    <s v="Operativa"/>
    <x v="71"/>
    <s v="Operativo"/>
    <s v="Nueva EPS"/>
    <s v="Colpensiones"/>
    <s v="Protección"/>
    <x v="9"/>
    <s v="Hombre"/>
    <s v="ordinario"/>
    <s v="No"/>
    <m/>
    <s v="No"/>
    <s v="No aplica"/>
    <s v="No"/>
    <s v="No"/>
    <s v="No aplica"/>
    <s v="No"/>
    <x v="29"/>
    <m/>
    <m/>
    <m/>
    <x v="1"/>
    <n v="42"/>
    <n v="20.536111111111111"/>
  </r>
  <r>
    <n v="173"/>
    <x v="155"/>
    <s v="Pardo Rueda"/>
    <s v="Cédula de ciudadanía"/>
    <n v="1020759137"/>
    <s v="Empleado"/>
    <s v="Término fijo"/>
    <x v="91"/>
    <d v="2023-10-08T00:00:00"/>
    <s v="Mensual"/>
    <n v="2500000"/>
    <s v="No"/>
    <s v="Centro de trabajo Riesgo 1"/>
    <s v="Si"/>
    <s v="alejandra.pardo1190@gmail.com"/>
    <m/>
    <s v="Transferencia Bancaria"/>
    <s v="Bancolombia"/>
    <s v="Cuenta de Ahorros"/>
    <s v="03366250076"/>
    <x v="139"/>
    <s v="Carrera 65 # 175 - 55 San José de Bavaría Casa 4"/>
    <n v="3178303443"/>
    <s v="Bogota"/>
    <s v="Administrativa"/>
    <x v="72"/>
    <s v="Ventas"/>
    <s v="EPS Sura"/>
    <s v="Protección"/>
    <s v="Protección"/>
    <x v="9"/>
    <s v="Mujer"/>
    <s v="ordinario"/>
    <s v="No"/>
    <m/>
    <s v="No"/>
    <s v="No aplica"/>
    <s v="No"/>
    <s v="No"/>
    <s v="No aplica"/>
    <s v="No"/>
    <x v="32"/>
    <m/>
    <m/>
    <m/>
    <x v="1"/>
    <n v="61"/>
    <n v="33.361111111111114"/>
  </r>
  <r>
    <n v="174"/>
    <x v="156"/>
    <s v="Rojas Calderon"/>
    <s v="Cédula de ciudadanía"/>
    <n v="1006122517"/>
    <s v="Empleado"/>
    <s v="Término fijo"/>
    <x v="91"/>
    <d v="2023-10-08T00:00:00"/>
    <s v="Mensual"/>
    <n v="1160000"/>
    <s v="Si"/>
    <s v="Centro de trabajo Riesgo 2"/>
    <s v="Si"/>
    <s v="estidrojas@gmail.com"/>
    <m/>
    <s v="Efectivo"/>
    <m/>
    <m/>
    <m/>
    <x v="140"/>
    <s v="Mz3-Cs19 B/Inurbe"/>
    <n v="3166740395"/>
    <s v="Lerida"/>
    <s v="Operativa"/>
    <x v="73"/>
    <s v="Operativo"/>
    <s v="Nueva EPS"/>
    <s v="Porvenir"/>
    <s v="Porvenir"/>
    <x v="9"/>
    <s v="Hombre"/>
    <s v="ordinario"/>
    <s v="No"/>
    <m/>
    <s v="No"/>
    <s v="No aplica"/>
    <s v="No"/>
    <s v="No"/>
    <s v="No aplica"/>
    <s v="No"/>
    <x v="29"/>
    <m/>
    <m/>
    <m/>
    <x v="1"/>
    <n v="42"/>
    <n v="18.947222222222223"/>
  </r>
  <r>
    <n v="175"/>
    <x v="157"/>
    <s v="Paez Rojas"/>
    <s v="Cédula de ciudadanía"/>
    <n v="1109265590"/>
    <s v="Empleado"/>
    <s v="Término fijo"/>
    <x v="91"/>
    <d v="2023-10-08T00:00:00"/>
    <s v="Mensual"/>
    <n v="1160000"/>
    <s v="Si"/>
    <s v="Centro de trabajo Riesgo 2"/>
    <s v="Si"/>
    <s v="camilapaezr@gmail.com"/>
    <m/>
    <s v="Efectivo"/>
    <m/>
    <m/>
    <m/>
    <x v="141"/>
    <s v="manzana j casa 1 b/ paraíso"/>
    <n v="3242074296"/>
    <s v="Saldañal Espinal"/>
    <s v="Operativa"/>
    <x v="73"/>
    <s v="Operativo"/>
    <s v="Famisanar"/>
    <s v="Porvenir"/>
    <s v="Porvenir"/>
    <x v="9"/>
    <s v="Mujer"/>
    <s v="ordinario"/>
    <s v="No"/>
    <m/>
    <s v="No"/>
    <s v="No aplica"/>
    <s v="No"/>
    <s v="No"/>
    <s v="No aplica"/>
    <s v="No"/>
    <x v="33"/>
    <m/>
    <m/>
    <m/>
    <x v="1"/>
    <n v="51"/>
    <n v="29.93611111111111"/>
  </r>
  <r>
    <n v="176"/>
    <x v="158"/>
    <s v="Bocanegra Zabala"/>
    <s v="Cédula de ciudadanía"/>
    <n v="1005824702"/>
    <s v="Empleado"/>
    <s v="Término fijo"/>
    <x v="91"/>
    <d v="2023-10-08T00:00:00"/>
    <s v="Mensual"/>
    <n v="1160000"/>
    <s v="Si"/>
    <s v="Centro de trabajo Riesgo 2"/>
    <s v="Si"/>
    <s v="kathabocan407@gmail.com"/>
    <m/>
    <s v="Efectivo"/>
    <m/>
    <m/>
    <m/>
    <x v="142"/>
    <s v="Mz i casa 4 villa de las palmas, purificación Tolima."/>
    <n v="3142711064"/>
    <s v="Saldañal Espinal"/>
    <s v="Operativa"/>
    <x v="71"/>
    <s v="Operativo"/>
    <s v="Nueva EPS"/>
    <s v="Colpensiones"/>
    <m/>
    <x v="9"/>
    <s v="Mujer"/>
    <s v="ordinario"/>
    <s v="No"/>
    <m/>
    <s v="No"/>
    <s v="No aplica"/>
    <s v="No"/>
    <s v="No"/>
    <s v="No aplica"/>
    <s v="No"/>
    <x v="33"/>
    <m/>
    <m/>
    <m/>
    <x v="1"/>
    <n v="51"/>
    <n v="22.75"/>
  </r>
  <r>
    <n v="177"/>
    <x v="159"/>
    <s v="Vanegas Torrente"/>
    <s v="Cédula de ciudadanía"/>
    <n v="25282043"/>
    <s v="Empleado"/>
    <s v="Término fijo"/>
    <x v="91"/>
    <d v="2023-10-08T00:00:00"/>
    <s v="Mensual"/>
    <n v="1160000"/>
    <s v="Si"/>
    <s v="Centro de trabajo Riesgo 2"/>
    <s v="Si"/>
    <s v="nana_maria123@hotmail.com"/>
    <m/>
    <s v="Efectivo"/>
    <m/>
    <m/>
    <m/>
    <x v="143"/>
    <s v="Calle 49 #23-11 Venecia"/>
    <n v="3507099101"/>
    <s v="Neiva"/>
    <s v="Operativa"/>
    <x v="73"/>
    <s v="Operativo"/>
    <s v="Sanitas"/>
    <s v="Protección"/>
    <s v="Protección"/>
    <x v="9"/>
    <s v="Mujer"/>
    <s v="ordinario"/>
    <s v="No"/>
    <m/>
    <s v="No"/>
    <s v="No aplica"/>
    <s v="No"/>
    <s v="No"/>
    <s v="No aplica"/>
    <s v="No"/>
    <x v="34"/>
    <m/>
    <m/>
    <m/>
    <x v="1"/>
    <n v="17"/>
    <n v="47.505555555555553"/>
  </r>
  <r>
    <n v="178"/>
    <x v="160"/>
    <s v="Gonzalez Ceballos"/>
    <s v="Cédula de ciudadanía"/>
    <n v="1003864700"/>
    <s v="Empleado"/>
    <s v="Término fijo"/>
    <x v="91"/>
    <d v="2023-10-08T00:00:00"/>
    <s v="Mensual"/>
    <n v="1300000"/>
    <s v="Si"/>
    <s v="Centro de trabajo Riesgo 2"/>
    <s v="Si"/>
    <s v="gonzalezg34@gmail.com"/>
    <m/>
    <s v="Efectivo"/>
    <m/>
    <m/>
    <m/>
    <x v="144"/>
    <s v="Coruña verdes Nieva (viaja)"/>
    <n v="3209111468"/>
    <s v="Campoalegre"/>
    <s v="Operativa"/>
    <x v="45"/>
    <s v="Operativo"/>
    <s v="Medimás"/>
    <s v="Porvenir"/>
    <s v="Porvenir"/>
    <x v="9"/>
    <s v="Hombre"/>
    <s v="ordinario"/>
    <s v="No"/>
    <m/>
    <s v="No"/>
    <s v="No aplica"/>
    <s v="No"/>
    <s v="No"/>
    <s v="No aplica"/>
    <s v="No"/>
    <x v="29"/>
    <m/>
    <m/>
    <m/>
    <x v="1"/>
    <n v="42"/>
    <n v="22.772222222222222"/>
  </r>
  <r>
    <n v="179"/>
    <x v="161"/>
    <s v="Jaramillo Cobete"/>
    <s v="Cédula de ciudadanía"/>
    <n v="1005827240"/>
    <s v="Empleado"/>
    <s v="Término fijo"/>
    <x v="91"/>
    <d v="2023-10-08T00:00:00"/>
    <s v="Mensual"/>
    <n v="1160000"/>
    <s v="Si"/>
    <s v="Centro de trabajo Riesgo 2"/>
    <s v="Si"/>
    <s v="sebastiancobete716@gmail.com"/>
    <m/>
    <s v="Efectivo"/>
    <m/>
    <m/>
    <m/>
    <x v="145"/>
    <s v="Manzana 2 casa 10 barrio adrofasa leridad tolima"/>
    <n v="3162398497"/>
    <s v="Lerida"/>
    <s v="Operativa"/>
    <x v="71"/>
    <s v="Operativo"/>
    <s v="Nueva EPS"/>
    <s v="Porvenir"/>
    <s v="Porvenir"/>
    <x v="9"/>
    <s v="Hombre"/>
    <s v="ordinario"/>
    <s v="No"/>
    <m/>
    <s v="No"/>
    <s v="No aplica"/>
    <s v="No"/>
    <s v="No"/>
    <s v="No aplica"/>
    <s v="No"/>
    <x v="29"/>
    <m/>
    <m/>
    <m/>
    <x v="1"/>
    <n v="42"/>
    <n v="22.3"/>
  </r>
  <r>
    <n v="180"/>
    <x v="162"/>
    <s v="Urrego Gutierrez"/>
    <s v="Cédula de ciudadanía"/>
    <n v="1075221480"/>
    <s v="Empleado"/>
    <s v="Término fijo"/>
    <x v="91"/>
    <d v="2023-10-08T00:00:00"/>
    <s v="Mensual"/>
    <n v="1160000"/>
    <s v="Si"/>
    <s v="Centro de trabajo Riesgo 2"/>
    <s v="Si"/>
    <s v="norbeyurrego0@gmail.com"/>
    <m/>
    <s v="Efectivo"/>
    <m/>
    <m/>
    <m/>
    <x v="146"/>
    <s v="dirección: cra25a sur #12-12"/>
    <n v="3209602901"/>
    <s v="Neiva"/>
    <s v="Operativa"/>
    <x v="71"/>
    <s v="Operativo"/>
    <s v="Nueva EPS"/>
    <s v="Colpensiones"/>
    <s v="Protección"/>
    <x v="9"/>
    <s v="Hombre"/>
    <s v="ordinario"/>
    <s v="No"/>
    <m/>
    <s v="No"/>
    <s v="No aplica"/>
    <s v="No"/>
    <s v="No"/>
    <s v="No aplica"/>
    <s v="No"/>
    <x v="34"/>
    <m/>
    <m/>
    <m/>
    <x v="1"/>
    <n v="17"/>
    <n v="18.855555555555554"/>
  </r>
  <r>
    <n v="181"/>
    <x v="163"/>
    <s v="Gonzalez Guzman"/>
    <s v="Cédula de ciudadanía"/>
    <n v="1007438723"/>
    <s v="Empleado"/>
    <s v="Término fijo"/>
    <x v="91"/>
    <d v="2023-10-08T00:00:00"/>
    <s v="Mensual"/>
    <n v="1160000"/>
    <s v="Si"/>
    <s v="Centro de trabajo Riesgo 2"/>
    <s v="Si"/>
    <s v="Nordeiguz@hotmail.com"/>
    <m/>
    <s v="Efectivo"/>
    <m/>
    <m/>
    <m/>
    <x v="23"/>
    <s v="Calle 22 A#18-76 barrio Mirador"/>
    <n v="3124742351"/>
    <s v="Saldañal Espinal"/>
    <s v="Operativa"/>
    <x v="71"/>
    <s v="Operativo"/>
    <s v="Sanitas"/>
    <s v="Colpensiones"/>
    <m/>
    <x v="9"/>
    <s v="Hombre"/>
    <s v="ordinario"/>
    <s v="No"/>
    <m/>
    <s v="No"/>
    <s v="No aplica"/>
    <s v="No"/>
    <s v="No"/>
    <s v="No aplica"/>
    <s v="No"/>
    <x v="33"/>
    <m/>
    <m/>
    <m/>
    <x v="1"/>
    <n v="51"/>
    <s v=""/>
  </r>
  <r>
    <n v="182"/>
    <x v="164"/>
    <s v="García Durán"/>
    <s v="Cédula de ciudadanía"/>
    <n v="1026586173"/>
    <s v="Empleado"/>
    <s v="Término fijo"/>
    <x v="91"/>
    <d v="2023-10-08T00:00:00"/>
    <s v="Mensual"/>
    <n v="1300000"/>
    <s v="Si"/>
    <s v="Centro de trabajo Riesgo 2"/>
    <s v="Si"/>
    <s v="juanda15garcia@hotmail.com"/>
    <m/>
    <s v="Efectivo"/>
    <m/>
    <m/>
    <m/>
    <x v="23"/>
    <s v="manzana 17 Casa 18 b/balknes"/>
    <n v="3156446330"/>
    <s v="Saldañal Espinal"/>
    <s v="Operativa"/>
    <x v="45"/>
    <s v="Operativo"/>
    <s v="Nueva EPS"/>
    <s v="Porvenir"/>
    <s v="Porvenir"/>
    <x v="9"/>
    <s v="Hombre"/>
    <s v="ordinario"/>
    <s v="No"/>
    <m/>
    <s v="No"/>
    <s v="No aplica"/>
    <s v="No"/>
    <s v="No"/>
    <s v="No aplica"/>
    <s v="No"/>
    <x v="33"/>
    <m/>
    <m/>
    <m/>
    <x v="1"/>
    <n v="51"/>
    <s v=""/>
  </r>
  <r>
    <n v="183"/>
    <x v="165"/>
    <s v="Zuluaga Rodriguez"/>
    <s v="Cédula de ciudadanía"/>
    <n v="1003804614"/>
    <s v="Empleado"/>
    <s v="Término fijo"/>
    <x v="91"/>
    <d v="2023-10-08T00:00:00"/>
    <s v="Mensual"/>
    <n v="1160000"/>
    <s v="Si"/>
    <s v="Centro de trabajo Riesgo 2"/>
    <s v="Si"/>
    <s v="zuluagaj391@gmail.com"/>
    <m/>
    <s v="Efectivo"/>
    <m/>
    <m/>
    <m/>
    <x v="147"/>
    <s v="Calle 14#39-83"/>
    <n v="3112565178"/>
    <s v="Neiva"/>
    <s v="Operativa"/>
    <x v="71"/>
    <s v="Operativo"/>
    <s v="Nueva EPS"/>
    <s v="Colpensiones"/>
    <s v="Protección"/>
    <x v="9"/>
    <s v="Hombre"/>
    <s v="ordinario"/>
    <s v="No"/>
    <m/>
    <s v="No"/>
    <s v="No aplica"/>
    <s v="No"/>
    <s v="No"/>
    <s v="No aplica"/>
    <s v="No"/>
    <x v="35"/>
    <m/>
    <m/>
    <m/>
    <x v="1"/>
    <n v="8"/>
    <n v="22.8"/>
  </r>
  <r>
    <n v="184"/>
    <x v="166"/>
    <s v="Viuche Cordoba"/>
    <s v="Cédula de ciudadanía"/>
    <n v="1119212144"/>
    <s v="Empleado"/>
    <s v="Término fijo"/>
    <x v="91"/>
    <d v="2023-10-08T00:00:00"/>
    <s v="Mensual"/>
    <n v="1160000"/>
    <s v="Si"/>
    <s v="Centro de trabajo Riesgo 2"/>
    <s v="Si"/>
    <s v="kerlyalejandracordoba@gmail.com"/>
    <m/>
    <s v="Efectivo"/>
    <m/>
    <m/>
    <m/>
    <x v="148"/>
    <s v="Dirección calle 25/ 12/ 72"/>
    <n v="3132001431"/>
    <s v="Campoalegre"/>
    <s v="Operativa"/>
    <x v="73"/>
    <s v="Operativo"/>
    <s v="Asmet Salud"/>
    <s v="Colpensiones"/>
    <s v="Porvenir"/>
    <x v="9"/>
    <s v="Mujer"/>
    <s v="ordinario"/>
    <s v="No"/>
    <m/>
    <s v="No"/>
    <s v="No aplica"/>
    <s v="No"/>
    <s v="No"/>
    <s v="No aplica"/>
    <s v="No"/>
    <x v="29"/>
    <m/>
    <m/>
    <m/>
    <x v="1"/>
    <n v="42"/>
    <n v="22.972222222222221"/>
  </r>
  <r>
    <n v="185"/>
    <x v="167"/>
    <s v="Avilez Guevera"/>
    <s v="Cédula de ciudadanía"/>
    <n v="1079173590"/>
    <s v="Empleado"/>
    <s v="Término fijo"/>
    <x v="91"/>
    <d v="2023-10-08T00:00:00"/>
    <s v="Mensual"/>
    <n v="1160000"/>
    <s v="Si"/>
    <s v="Centro de trabajo Riesgo 2"/>
    <s v="Si"/>
    <s v="lunadelmaravilesguevara@gmail.com"/>
    <m/>
    <s v="Efectivo"/>
    <m/>
    <m/>
    <m/>
    <x v="149"/>
    <s v="Calle 44#15-03"/>
    <n v="3183329144"/>
    <s v="Campoalegre"/>
    <s v="Operativa"/>
    <x v="71"/>
    <s v="Operativo"/>
    <s v="Asmet Salud"/>
    <s v="Colpensiones"/>
    <m/>
    <x v="9"/>
    <s v="Mujer"/>
    <s v="ordinario"/>
    <s v="No"/>
    <m/>
    <s v="No"/>
    <s v="No aplica"/>
    <s v="No"/>
    <s v="No"/>
    <s v="No aplica"/>
    <s v="No"/>
    <x v="36"/>
    <m/>
    <m/>
    <m/>
    <x v="1"/>
    <n v="0"/>
    <n v="19.305555555555557"/>
  </r>
  <r>
    <n v="186"/>
    <x v="168"/>
    <s v="Bejarano Bernal"/>
    <s v="Cédula de ciudadanía"/>
    <n v="1106740319"/>
    <s v="Empleado"/>
    <s v="Término fijo"/>
    <x v="91"/>
    <d v="2023-10-08T00:00:00"/>
    <s v="Mensual"/>
    <n v="1300000"/>
    <s v="Si"/>
    <s v="Centro de trabajo Riesgo 2"/>
    <s v="Si"/>
    <s v="bejarano.s.m@hotmail.com"/>
    <m/>
    <s v="Efectivo"/>
    <m/>
    <m/>
    <m/>
    <x v="23"/>
    <s v="Carrera 4 # 9 - 56 centro - Lerida"/>
    <n v="3229494402"/>
    <s v="Lerida"/>
    <s v="Operativa"/>
    <x v="45"/>
    <s v="Operativo"/>
    <s v="Salud Total"/>
    <s v="Porvenir"/>
    <s v="Porvenir"/>
    <x v="9"/>
    <s v="Hombre"/>
    <s v="ordinario"/>
    <s v="No"/>
    <m/>
    <s v="No"/>
    <s v="No aplica"/>
    <s v="No"/>
    <s v="No"/>
    <s v="No aplica"/>
    <s v="No"/>
    <x v="37"/>
    <m/>
    <m/>
    <m/>
    <x v="1"/>
    <n v="43"/>
    <s v=""/>
  </r>
  <r>
    <n v="187"/>
    <x v="169"/>
    <s v="Alvarez Cardenas"/>
    <s v="Cédula de ciudadanía"/>
    <n v="1003809815"/>
    <s v="Empleado"/>
    <s v="Término fijo"/>
    <x v="91"/>
    <d v="2023-10-08T00:00:00"/>
    <s v="Mensual"/>
    <n v="1300000"/>
    <s v="Si"/>
    <s v="Centro de trabajo Riesgo 2"/>
    <s v="Si"/>
    <s v="cardenads17@gmail.com"/>
    <m/>
    <s v="Efectivo"/>
    <m/>
    <m/>
    <m/>
    <x v="150"/>
    <s v="Calle49#19-77 apto 202"/>
    <n v="3202721312"/>
    <s v="Neiva"/>
    <s v="Operativa"/>
    <x v="45"/>
    <s v="Operativo"/>
    <s v="Asociación Indigena del Cauca - AIC"/>
    <s v="Protección"/>
    <s v="Protección"/>
    <x v="9"/>
    <s v="Hombre"/>
    <s v="ordinario"/>
    <s v="No"/>
    <m/>
    <s v="No"/>
    <s v="No aplica"/>
    <s v="No"/>
    <s v="No"/>
    <s v="No aplica"/>
    <s v="No"/>
    <x v="34"/>
    <m/>
    <m/>
    <m/>
    <x v="1"/>
    <n v="17"/>
    <n v="21.274999999999999"/>
  </r>
  <r>
    <n v="188"/>
    <x v="170"/>
    <s v="Suaza Vanegas"/>
    <s v="Cédula de ciudadanía"/>
    <n v="1004063206"/>
    <s v="Empleado"/>
    <s v="Término fijo"/>
    <x v="91"/>
    <d v="2023-10-08T00:00:00"/>
    <s v="Mensual"/>
    <n v="1160000"/>
    <s v="Si"/>
    <s v="Centro de trabajo Riesgo 2"/>
    <s v="Si"/>
    <s v="yancarlossuaza2@gmail.com"/>
    <m/>
    <s v="Efectivo"/>
    <m/>
    <m/>
    <m/>
    <x v="151"/>
    <s v="Cll 23A#14-88 sincelejo."/>
    <n v="3169550730"/>
    <s v="Campoalegre"/>
    <s v="Operativa"/>
    <x v="71"/>
    <s v="Operativo"/>
    <s v="Famisanar"/>
    <s v="Porvenir"/>
    <s v="Porvenir"/>
    <x v="9"/>
    <s v="Hombre"/>
    <s v="ordinario"/>
    <s v="No"/>
    <m/>
    <s v="No"/>
    <s v="No aplica"/>
    <s v="No"/>
    <s v="No"/>
    <s v="No aplica"/>
    <s v="No"/>
    <x v="29"/>
    <m/>
    <m/>
    <m/>
    <x v="1"/>
    <n v="42"/>
    <n v="20.883333333333333"/>
  </r>
  <r>
    <n v="189"/>
    <x v="171"/>
    <s v="Sánchez Manyoma"/>
    <s v="Cédula de ciudadanía"/>
    <n v="1114816336"/>
    <s v="Empleado"/>
    <s v="Término indefinido"/>
    <x v="92"/>
    <m/>
    <s v="Mensual"/>
    <n v="1300000"/>
    <s v="Si"/>
    <s v="Centro de trabajo Riesgo 3"/>
    <s v="Si"/>
    <s v="robinso0201@gmail.com "/>
    <m/>
    <s v="Transferencia Bancaria"/>
    <s v="Banco de Bogotá"/>
    <s v="Cuenta de Ahorros"/>
    <s v="454122995"/>
    <x v="152"/>
    <s v="calle 4b Nº8-33 pasaje Jiménez"/>
    <n v="3234874711"/>
    <s v="Cali"/>
    <s v="Producción"/>
    <x v="6"/>
    <s v="Mano de Obra Directa"/>
    <s v="EPS Sura"/>
    <s v="Colpensiones"/>
    <s v="Porvenir"/>
    <x v="18"/>
    <s v="Hombre"/>
    <s v="ordinario"/>
    <s v="No"/>
    <m/>
    <s v="No"/>
    <s v="No aplica"/>
    <s v="No aplica"/>
    <s v="No"/>
    <s v="No aplica"/>
    <s v="No"/>
    <x v="0"/>
    <m/>
    <m/>
    <m/>
    <x v="0"/>
    <n v="239"/>
    <n v="36.255555555555553"/>
  </r>
  <r>
    <n v="190"/>
    <x v="172"/>
    <s v="Suaza Vanegas"/>
    <s v="Cédula de ciudadanía"/>
    <n v="1007704876"/>
    <s v="Empleado"/>
    <s v="Término fijo"/>
    <x v="93"/>
    <d v="2023-09-19T00:00:00"/>
    <s v="Mensual"/>
    <n v="1160000"/>
    <s v="Si"/>
    <s v="Centro de trabajo Riesgo 2"/>
    <s v="Si"/>
    <s v="isuazavanegas@gmail.com"/>
    <m/>
    <s v="Transferencia Bancaria"/>
    <s v="Bancolombia"/>
    <s v="Cuenta de Ahorros"/>
    <s v="13187418746"/>
    <x v="153"/>
    <s v="Cll 23A#14-88 sincelejo."/>
    <n v="3187418746"/>
    <s v="Campoalegre"/>
    <s v="Operativa"/>
    <x v="71"/>
    <s v="Operativo"/>
    <s v="Nueva EPS"/>
    <s v="Porvenir"/>
    <s v="Porvenir"/>
    <x v="9"/>
    <s v="Mujer"/>
    <s v="ordinario"/>
    <s v="No"/>
    <m/>
    <s v="No"/>
    <s v="No aplica"/>
    <s v="No"/>
    <s v="No"/>
    <s v="No aplica"/>
    <s v="No"/>
    <x v="29"/>
    <m/>
    <m/>
    <m/>
    <x v="1"/>
    <n v="36"/>
    <n v="23.619444444444444"/>
  </r>
  <r>
    <n v="191"/>
    <x v="173"/>
    <s v="Andrade Medellin"/>
    <s v="Cédula de ciudadanía"/>
    <n v="70528591"/>
    <s v="Empleado"/>
    <s v="Término indefinido"/>
    <x v="93"/>
    <s v=""/>
    <s v="Mensual"/>
    <n v="1400000"/>
    <s v="No"/>
    <s v="Centro de trabajo Riesgo 2"/>
    <s v="Si"/>
    <s v="armandoandrademe@gmail.com"/>
    <m/>
    <s v="Transferencia Bancaria"/>
    <s v="Bancolombia"/>
    <s v="Cuenta de Ahorros"/>
    <s v="39786895247"/>
    <x v="154"/>
    <s v="km 1.5 via al eden. Armenia"/>
    <n v="3246818563"/>
    <s v="Corporacion Vaqueros "/>
    <s v="Operativa"/>
    <x v="61"/>
    <s v="Mano de Obra Directa"/>
    <s v="Nueva EPS"/>
    <s v="Colpensiones"/>
    <s v="Protección"/>
    <x v="15"/>
    <s v="Hombre"/>
    <s v="ordinario"/>
    <s v="Si"/>
    <n v="144000"/>
    <s v="No"/>
    <s v="No aplica"/>
    <s v="No"/>
    <s v="No"/>
    <s v="No aplica"/>
    <s v="No"/>
    <x v="0"/>
    <m/>
    <m/>
    <m/>
    <x v="0"/>
    <n v="234"/>
    <n v="46.794444444444444"/>
  </r>
  <r>
    <n v="192"/>
    <x v="174"/>
    <s v="Sarmiento Espejo"/>
    <s v="Cédula de ciudadanía"/>
    <n v="28949604"/>
    <s v="Empleado"/>
    <s v="Término indefinido"/>
    <x v="93"/>
    <m/>
    <s v="Mensual"/>
    <n v="1300000"/>
    <s v="Si"/>
    <s v="Centro de trabajo Riesgo 1"/>
    <s v="Si"/>
    <s v="dimasa4025@outlook.com "/>
    <m/>
    <s v="Transferencia Bancaria"/>
    <s v="Banco Davivienda"/>
    <s v="Cuenta de Ahorros"/>
    <s v="0550166300004743"/>
    <x v="155"/>
    <s v="Barrio 14 Octubre Mz D # 50-24"/>
    <n v="3107698923"/>
    <s v="Armenia "/>
    <s v="Comercial"/>
    <x v="37"/>
    <s v="Ventas"/>
    <s v="Sanitas"/>
    <s v="Protección"/>
    <s v="Porvenir"/>
    <x v="0"/>
    <s v="Mujer"/>
    <s v="ordinario"/>
    <s v="No"/>
    <m/>
    <s v="No"/>
    <s v="No aplica"/>
    <s v="No"/>
    <s v="No"/>
    <s v="No aplica"/>
    <s v="No"/>
    <x v="38"/>
    <s v="Renuncia voluntaria"/>
    <m/>
    <m/>
    <x v="1"/>
    <n v="9"/>
    <n v="45.758333333333333"/>
  </r>
  <r>
    <n v="193"/>
    <x v="175"/>
    <s v="Piña Beltrán"/>
    <s v="Cédula de ciudadanía"/>
    <n v="1094928379"/>
    <s v="Empleado"/>
    <s v="Término indefinido"/>
    <x v="94"/>
    <m/>
    <s v="Mensual"/>
    <n v="1300000"/>
    <s v="Si"/>
    <s v="Centro de trabajo Riesgo 2"/>
    <s v="Si"/>
    <s v="Pinabeltranerikajohana@gmail.com"/>
    <m/>
    <s v="Transferencia Bancaria"/>
    <s v="Banco Davivienda"/>
    <s v="Cuenta de Ahorros"/>
    <s v="488438628163"/>
    <x v="156"/>
    <s v="urb consota Torre 2A apto 303 armenia."/>
    <n v="3005744764"/>
    <s v="Armenia "/>
    <s v="Comercial"/>
    <x v="37"/>
    <s v="Ventas"/>
    <s v="Sanitas"/>
    <s v="Porvenir"/>
    <s v="Porvenir"/>
    <x v="0"/>
    <s v="Mujer"/>
    <s v="ordinario"/>
    <s v="No"/>
    <m/>
    <s v="No"/>
    <s v="No aplica"/>
    <s v="No"/>
    <s v="No"/>
    <s v="No aplica"/>
    <s v="No"/>
    <x v="39"/>
    <s v="Renuncia voluntaria"/>
    <m/>
    <m/>
    <x v="1"/>
    <n v="0"/>
    <n v="31.755555555555556"/>
  </r>
  <r>
    <n v="194"/>
    <x v="176"/>
    <s v="Prado Orozco"/>
    <s v="Cédula de ciudadanía"/>
    <n v="1075254378"/>
    <s v="Empleado"/>
    <s v="Término fijo"/>
    <x v="95"/>
    <d v="2023-08-26T00:00:00"/>
    <s v="Mensual"/>
    <n v="1160000"/>
    <s v="Si"/>
    <s v="Centro de trabajo Riesgo 2"/>
    <s v="Si"/>
    <s v="Alejoprado_23@hotmail.com"/>
    <m/>
    <s v="Transferencia Bancaria"/>
    <s v="Daviplata"/>
    <s v="Cuenta de Ahorros"/>
    <s v="3213904377"/>
    <x v="157"/>
    <s v="Calle 6 b # 19-20"/>
    <n v="3213904377"/>
    <s v="Neiva"/>
    <s v="Operativa"/>
    <x v="71"/>
    <s v="Operativo"/>
    <s v="Nueva EPS"/>
    <s v="Colpensiones"/>
    <s v="Porvenir"/>
    <x v="9"/>
    <s v="Hombre"/>
    <s v="ordinario"/>
    <s v="No"/>
    <m/>
    <s v="No"/>
    <s v="No aplica"/>
    <s v="No"/>
    <s v="No"/>
    <s v="No aplica"/>
    <s v="No"/>
    <x v="34"/>
    <m/>
    <m/>
    <m/>
    <x v="1"/>
    <n v="6"/>
    <n v="32.780555555555559"/>
  </r>
  <r>
    <n v="195"/>
    <x v="163"/>
    <s v="Trejos Cano"/>
    <s v="Cédula de ciudadanía"/>
    <n v="1096036255"/>
    <s v="Empleado"/>
    <s v="Término indefinido"/>
    <x v="96"/>
    <m/>
    <s v="Mensual"/>
    <n v="1300000"/>
    <s v="Si"/>
    <s v="Centro de trabajo Riesgo 4"/>
    <s v="Si"/>
    <s v="Trejos.92@hotmail.com "/>
    <m/>
    <s v="Transferencia Bancaria"/>
    <s v="Banco Davivienda"/>
    <s v="Cuenta de Ahorros"/>
    <s v="488421595098"/>
    <x v="158"/>
    <s v="BARRIO VENECIA MZ C CASA #9"/>
    <n v="3203242707"/>
    <s v="Armenia "/>
    <s v="Operativa"/>
    <x v="36"/>
    <s v="Operativo"/>
    <s v="Salud Total"/>
    <s v="Protección"/>
    <s v="Porvenir"/>
    <x v="0"/>
    <s v="Hombre"/>
    <s v="ordinario"/>
    <s v="No"/>
    <m/>
    <s v="No"/>
    <s v="No aplica"/>
    <s v="No"/>
    <s v="No"/>
    <s v="No aplica"/>
    <s v="No"/>
    <x v="2"/>
    <s v="Renuncia voluntaria"/>
    <m/>
    <m/>
    <x v="1"/>
    <n v="146"/>
    <n v="31.711111111111112"/>
  </r>
  <r>
    <n v="196"/>
    <x v="177"/>
    <s v="Avalo Ceballos"/>
    <s v="Cédula de ciudadanía"/>
    <n v="94487826"/>
    <s v="Empleado"/>
    <s v="Término indefinido"/>
    <x v="97"/>
    <m/>
    <s v="Mensual"/>
    <n v="1300000"/>
    <s v="Si"/>
    <s v="Centro de trabajo Riesgo 4"/>
    <s v="Si"/>
    <m/>
    <m/>
    <s v="Transferencia Bancaria"/>
    <s v="Banco Davivienda"/>
    <s v="Cuenta de Ahorros"/>
    <s v="138000077014"/>
    <x v="159"/>
    <s v="Finca Hotel Portal de las Gemelas Vía Pueblo Tapao - Quindío"/>
    <s v="321 892 1013"/>
    <s v="Armenia "/>
    <s v="Operativa"/>
    <x v="50"/>
    <s v="Operativo"/>
    <s v="EPS Sura"/>
    <s v="Porvenir"/>
    <s v="Porvenir"/>
    <x v="0"/>
    <s v="Hombre"/>
    <s v="ordinario"/>
    <s v="No"/>
    <m/>
    <m/>
    <m/>
    <m/>
    <m/>
    <m/>
    <m/>
    <x v="0"/>
    <m/>
    <m/>
    <m/>
    <x v="0"/>
    <n v="224"/>
    <n v="52.68888888888889"/>
  </r>
  <r>
    <n v="197"/>
    <x v="178"/>
    <s v="Gallego Marín"/>
    <s v="Cédula de ciudadanía"/>
    <n v="1094920436"/>
    <s v="Empleado"/>
    <s v="Término indefinido"/>
    <x v="98"/>
    <m/>
    <s v="Mensual"/>
    <n v="1300000"/>
    <s v="Si"/>
    <s v="Centro de trabajo Riesgo 1"/>
    <s v="Si"/>
    <s v="nataligallego57@gmail.com"/>
    <m/>
    <s v="Transferencia Bancaria"/>
    <s v="Banco Davivienda"/>
    <s v="Cuenta de Ahorros"/>
    <s v="0550488440912837"/>
    <x v="160"/>
    <s v="Barrio Quindío Calle 30 # 27 - 25"/>
    <n v="3126759400"/>
    <s v="Armenia "/>
    <s v="Comercial"/>
    <x v="37"/>
    <s v="Ventas"/>
    <s v="S.O.S. Servicio Occidental de Salud S.A."/>
    <s v="Porvenir"/>
    <s v="Porvenir"/>
    <x v="0"/>
    <s v="Mujer"/>
    <s v="ordinario"/>
    <s v="No"/>
    <m/>
    <s v="No"/>
    <s v="No aplica"/>
    <s v="No"/>
    <s v="No"/>
    <s v="No aplica"/>
    <s v="No"/>
    <x v="40"/>
    <s v="Renuncia voluntaria"/>
    <m/>
    <m/>
    <x v="1"/>
    <n v="8"/>
    <n v="32.852777777777774"/>
  </r>
  <r>
    <n v="198"/>
    <x v="179"/>
    <s v="Cardenas Bolivar"/>
    <s v="Cédula de ciudadanía"/>
    <n v="1098310624"/>
    <s v="Empleado"/>
    <s v="Término indefinido"/>
    <x v="98"/>
    <m/>
    <s v="Mensual"/>
    <n v="1300000"/>
    <s v="Si"/>
    <s v="Centro de trabajo Riesgo 3"/>
    <s v="Si"/>
    <s v="jesuskardenas6@gmail.com"/>
    <m/>
    <s v="Transferencia Bancaria"/>
    <s v="Banco Davivienda"/>
    <s v="Cuenta de Ahorros"/>
    <s v="488412660125"/>
    <x v="161"/>
    <s v="Barrio Mirador de Circasia Manzana F Casa 75"/>
    <n v="3007608495"/>
    <s v="Restaurante El Solar"/>
    <s v="Servicio y producción"/>
    <x v="19"/>
    <s v="Mano de Obra Directa"/>
    <s v="Nueva EPS"/>
    <s v="Porvenir"/>
    <s v="Porvenir"/>
    <x v="3"/>
    <s v="Hombre"/>
    <s v="ordinario"/>
    <s v="No"/>
    <m/>
    <s v="Si"/>
    <s v="Hijos"/>
    <s v="Si"/>
    <s v="Si"/>
    <s v="Hijos"/>
    <s v="Si"/>
    <x v="41"/>
    <s v="Renuncia voluntaria"/>
    <m/>
    <m/>
    <x v="1"/>
    <n v="79"/>
    <n v="29.730555555555554"/>
  </r>
  <r>
    <n v="199"/>
    <x v="180"/>
    <s v="Florez Fuentes"/>
    <s v="Cédula de ciudadanía"/>
    <n v="1001271515"/>
    <s v="Empleado"/>
    <s v="Término indefinido"/>
    <x v="99"/>
    <m/>
    <s v="Mensual"/>
    <n v="1300000"/>
    <s v="Si"/>
    <s v="Centro de trabajo Riesgo 2"/>
    <s v="Si"/>
    <s v="florzsarai3@gmail.com"/>
    <m/>
    <s v="Transferencia Bancaria"/>
    <s v="Daviplata"/>
    <s v="Cuenta de Ahorros"/>
    <s v="3135079748"/>
    <x v="162"/>
    <s v="Calle 32 #28- 35 barrio Santa Elena"/>
    <n v="3135079748"/>
    <s v="Armenia "/>
    <s v="Administrativa"/>
    <x v="35"/>
    <s v="Portal del Quindío"/>
    <s v="Nueva EPS"/>
    <s v="Colpensiones"/>
    <s v="Porvenir"/>
    <x v="10"/>
    <s v="Mujer"/>
    <s v="ordinario"/>
    <s v="No"/>
    <m/>
    <s v="No"/>
    <s v="No aplica"/>
    <s v="No"/>
    <s v="No"/>
    <s v="No aplica"/>
    <s v="No aplica"/>
    <x v="42"/>
    <m/>
    <m/>
    <m/>
    <x v="1"/>
    <n v="20"/>
    <n v="22.430555555555557"/>
  </r>
  <r>
    <n v="200"/>
    <x v="181"/>
    <s v="AGUDELO HOYOS"/>
    <s v="Cédula de ciudadanía"/>
    <n v="9807471"/>
    <s v="Empleado"/>
    <s v="Término indefinido"/>
    <x v="99"/>
    <m/>
    <s v="Mensual"/>
    <n v="1300000"/>
    <s v="Si"/>
    <s v="Centro de trabajo Riesgo 1"/>
    <s v="Si"/>
    <s v="heydaygroupcpa@gmail.com"/>
    <m/>
    <s v="Efectivo"/>
    <m/>
    <m/>
    <s v=""/>
    <x v="163"/>
    <s v="B/ Gabriel Lopez mz C cs # 54"/>
    <s v="3137473526"/>
    <s v="LOS ALAMOS"/>
    <s v="Mantenimiento"/>
    <x v="47"/>
    <s v="Mano de Obra Directa"/>
    <s v="Nueva EPS"/>
    <s v="Colpensiones"/>
    <s v="Porvenir"/>
    <x v="11"/>
    <s v="Hombre"/>
    <s v="dirección, confianza y/o manejo"/>
    <s v="No"/>
    <m/>
    <s v="No "/>
    <s v="No aplica"/>
    <s v="No aplica"/>
    <s v="No"/>
    <s v="No aplica"/>
    <s v="No aplica"/>
    <x v="0"/>
    <m/>
    <m/>
    <m/>
    <x v="0"/>
    <n v="216"/>
    <n v="54.488888888888887"/>
  </r>
  <r>
    <n v="201"/>
    <x v="182"/>
    <s v="Castro Gonzalez"/>
    <s v="Cédula de ciudadanía"/>
    <n v="93456608"/>
    <s v="Empleado"/>
    <s v="Término indefinido"/>
    <x v="99"/>
    <m/>
    <s v="Mensual"/>
    <n v="1300000"/>
    <s v="No"/>
    <s v="Centro de trabajo Riesgo 2"/>
    <m/>
    <m/>
    <m/>
    <s v="Efectivo"/>
    <m/>
    <m/>
    <m/>
    <x v="164"/>
    <s v="Finca la Maquita Municipio de Caicedonia valle"/>
    <s v="3111111111"/>
    <s v="Finca La Maquita"/>
    <s v="Domestico"/>
    <x v="74"/>
    <s v="Mano de Obra Directa"/>
    <s v="Nueva EPS"/>
    <s v="Porvenir"/>
    <s v="Porvenir"/>
    <x v="1"/>
    <s v="Hombre"/>
    <s v="ordinario"/>
    <s v="No"/>
    <m/>
    <s v="No"/>
    <s v="No aplica"/>
    <s v="No aplica"/>
    <s v="No"/>
    <s v="No aplica"/>
    <s v="No aplica"/>
    <x v="0"/>
    <m/>
    <m/>
    <m/>
    <x v="0"/>
    <n v="216"/>
    <n v="45.919444444444444"/>
  </r>
  <r>
    <n v="202"/>
    <x v="183"/>
    <s v="Quintero Bernal"/>
    <s v="Cédula de ciudadanía"/>
    <n v="1006293809"/>
    <s v="Empleado"/>
    <s v="Término indefinido"/>
    <x v="99"/>
    <m/>
    <s v="Mensual"/>
    <n v="1300000"/>
    <s v="No"/>
    <s v="Centro de trabajo Riesgo 2"/>
    <s v="Si"/>
    <m/>
    <m/>
    <s v="Efectivo"/>
    <m/>
    <m/>
    <m/>
    <x v="165"/>
    <s v="Finca la Palma"/>
    <m/>
    <s v="Finca La Palma"/>
    <s v="Servicios Generales"/>
    <x v="6"/>
    <s v="Mano de Obra Directa"/>
    <s v="Nueva EPS"/>
    <s v="Porvenir"/>
    <s v="Porvenir"/>
    <x v="12"/>
    <s v="Hombre"/>
    <s v="ordinario"/>
    <s v="No"/>
    <m/>
    <s v="No"/>
    <s v="No aplica"/>
    <s v="No"/>
    <s v="No"/>
    <s v="No aplica"/>
    <s v="No"/>
    <x v="27"/>
    <s v="Renuncia voluntaria"/>
    <m/>
    <m/>
    <x v="1"/>
    <n v="35"/>
    <n v="21.977777777777778"/>
  </r>
  <r>
    <n v="203"/>
    <x v="184"/>
    <s v="Rey Solorzano"/>
    <s v="Cédula de ciudadanía"/>
    <n v="1005368181"/>
    <s v="Empleado"/>
    <s v="Término indefinido"/>
    <x v="99"/>
    <m/>
    <s v="Mensual"/>
    <n v="1300000"/>
    <s v="Si"/>
    <s v="Centro de trabajo Riesgo 2"/>
    <s v="Si"/>
    <s v="reysolorzanoesteban@gmail.com"/>
    <m/>
    <s v="Transferencia Bancaria"/>
    <s v="Bancolombia"/>
    <s v="Cuenta de Ahorros"/>
    <s v="77200001795"/>
    <x v="166"/>
    <s v="Vereda Travesias Finca la Cascada"/>
    <s v="3137771441"/>
    <s v="Finca las brisas"/>
    <s v="Operaciones"/>
    <x v="42"/>
    <s v="Mano de Obra Directa"/>
    <s v="EPS Sura"/>
    <s v="Colpensiones"/>
    <s v="Porvenir"/>
    <x v="2"/>
    <s v="Hombre"/>
    <s v="ordinario"/>
    <m/>
    <m/>
    <m/>
    <m/>
    <m/>
    <m/>
    <m/>
    <m/>
    <x v="2"/>
    <s v="Terminación por mutuo acuerdo"/>
    <s v="Reestructuración empresarial"/>
    <m/>
    <x v="1"/>
    <n v="136"/>
    <n v="21.913888888888888"/>
  </r>
  <r>
    <n v="204"/>
    <x v="185"/>
    <s v="Chavarria Carvajal"/>
    <s v="Cédula de ciudadanía"/>
    <n v="1037262274"/>
    <s v="Empleado"/>
    <s v="Término indefinido"/>
    <x v="99"/>
    <m/>
    <s v="Mensual"/>
    <n v="1300000"/>
    <s v="Si"/>
    <s v="Centro de trabajo Riesgo 2"/>
    <s v="Si"/>
    <s v="velezjuanhernesto@gmail.com"/>
    <m/>
    <s v="Transferencia Bancaria"/>
    <s v="Bancolombia"/>
    <s v="Cuenta de Ahorros"/>
    <s v="77257510771"/>
    <x v="167"/>
    <s v="Vereda Travesias Finca la Cascada"/>
    <s v="3205831488"/>
    <s v="Finca las brisas"/>
    <s v="Operaciones"/>
    <x v="42"/>
    <s v="Mano de Obra Directa"/>
    <s v="Nueva EPS"/>
    <s v="Colpensiones"/>
    <s v="Porvenir"/>
    <x v="2"/>
    <s v="Hombre"/>
    <s v="ordinario"/>
    <m/>
    <m/>
    <m/>
    <m/>
    <m/>
    <m/>
    <m/>
    <m/>
    <x v="2"/>
    <s v="Terminación por mutuo acuerdo"/>
    <s v="Reestructuración empresarial"/>
    <m/>
    <x v="1"/>
    <n v="136"/>
    <n v="19.963888888888889"/>
  </r>
  <r>
    <n v="205"/>
    <x v="186"/>
    <s v="Cardenas Guerrero"/>
    <s v="Cédula de ciudadanía"/>
    <n v="1005091433"/>
    <s v="Empleado"/>
    <s v="Término indefinido"/>
    <x v="99"/>
    <m/>
    <s v="Mensual"/>
    <n v="1300000"/>
    <s v="Si"/>
    <s v="Centro de trabajo Riesgo 2"/>
    <s v="Si"/>
    <s v="rodrigoamayaperez65@gmail.com"/>
    <m/>
    <s v="Transferencia Bancaria"/>
    <s v="Bancolombia"/>
    <s v="Cuenta de Ahorros"/>
    <s v="77257505629"/>
    <x v="168"/>
    <s v="Vereda Travesias Finca la Cascada"/>
    <s v="3145912020"/>
    <s v="Finca las brisas"/>
    <s v="Operaciones"/>
    <x v="42"/>
    <s v="Mano de Obra Directa"/>
    <s v="Emssanar"/>
    <s v="Colpensiones"/>
    <s v="Porvenir"/>
    <x v="2"/>
    <s v="Mujer"/>
    <s v="ordinario"/>
    <m/>
    <m/>
    <m/>
    <m/>
    <m/>
    <m/>
    <m/>
    <m/>
    <x v="2"/>
    <s v="Terminación por mutuo acuerdo"/>
    <s v="Reestructuración empresarial"/>
    <m/>
    <x v="1"/>
    <n v="136"/>
    <n v="24.255555555555556"/>
  </r>
  <r>
    <n v="206"/>
    <x v="187"/>
    <s v="Chavarría Carvajal"/>
    <s v="Cédula de ciudadanía"/>
    <n v="1037262274"/>
    <s v="Empleado"/>
    <s v="Término indefinido"/>
    <x v="100"/>
    <m/>
    <s v="Mensual"/>
    <n v="1300000"/>
    <s v="Si"/>
    <s v="Centro de trabajo Riesgo 3"/>
    <s v="Si"/>
    <s v="velezjuanhernesto@gmail.com"/>
    <m/>
    <m/>
    <m/>
    <m/>
    <m/>
    <x v="167"/>
    <s v="Vereda Travesías Finca la Cascada"/>
    <n v="3205831488"/>
    <m/>
    <m/>
    <x v="75"/>
    <m/>
    <m/>
    <m/>
    <m/>
    <x v="19"/>
    <s v="Hombre"/>
    <m/>
    <m/>
    <m/>
    <m/>
    <m/>
    <m/>
    <m/>
    <m/>
    <m/>
    <x v="0"/>
    <m/>
    <m/>
    <m/>
    <x v="0"/>
    <n v="79"/>
    <n v="19.963888888888889"/>
  </r>
  <r>
    <n v="207"/>
    <x v="188"/>
    <s v="Meza Sepulveda"/>
    <s v="Cédula de ciudadanía"/>
    <n v="1063145801"/>
    <s v="Empleado"/>
    <s v="Término indefinido"/>
    <x v="101"/>
    <m/>
    <s v="Mensual"/>
    <n v="1300000"/>
    <s v="Si"/>
    <s v="Centro de trabajo Riesgo 2"/>
    <s v="Si"/>
    <s v="cmario.cmum@gmail.com"/>
    <m/>
    <s v="Transferencia Bancaria"/>
    <s v="Nequi"/>
    <s v="Cuenta de Ahorros"/>
    <s v="3024049551"/>
    <x v="169"/>
    <s v="Barrio La Coquers Cll 1 # 06-50 Montería-Colombia"/>
    <n v="3005533865"/>
    <s v="Monteria"/>
    <s v="Comercial"/>
    <x v="76"/>
    <s v="Ventas"/>
    <s v="Salud Total"/>
    <s v="Porvenir"/>
    <s v="Porvenir"/>
    <x v="18"/>
    <s v="Mujer"/>
    <s v="ordinario"/>
    <s v="Si"/>
    <n v="207828"/>
    <s v="No"/>
    <s v="No aplica"/>
    <s v="No aplica"/>
    <s v="No"/>
    <s v="No aplica"/>
    <s v="No"/>
    <x v="43"/>
    <s v="Periodo de prueba"/>
    <m/>
    <m/>
    <x v="1"/>
    <n v="11"/>
    <n v="39.144444444444446"/>
  </r>
  <r>
    <n v="208"/>
    <x v="189"/>
    <s v="Martinez Gutierrez"/>
    <s v="Cédula de ciudadanía"/>
    <n v="1098309232"/>
    <s v="Empleado"/>
    <s v="Término indefinido"/>
    <x v="102"/>
    <m/>
    <s v="Mensual"/>
    <n v="1300000"/>
    <s v="Si"/>
    <s v="Centro de trabajo Riesgo 3"/>
    <s v="Si"/>
    <s v="Vickymartinez5253@gmail.com"/>
    <m/>
    <s v="Transferencia Bancaria"/>
    <s v="Daviplata"/>
    <s v="Cuenta de Ahorros"/>
    <s v="3013214499"/>
    <x v="170"/>
    <s v="Villa diana Manzana K #11"/>
    <n v="3013214499"/>
    <s v="Restaurante El Solar"/>
    <s v="Servicio y producción"/>
    <x v="19"/>
    <s v="Mano de Obra Directa"/>
    <s v="Nueva EPS"/>
    <s v="Protección"/>
    <s v="Protección"/>
    <x v="3"/>
    <s v="Mujer"/>
    <s v="ordinario"/>
    <s v="No"/>
    <m/>
    <s v="Si"/>
    <s v="Hijos"/>
    <s v="No aplica"/>
    <s v="Si"/>
    <s v="Hijos"/>
    <s v="No"/>
    <x v="44"/>
    <s v="Renuncia voluntaria"/>
    <m/>
    <m/>
    <x v="1"/>
    <n v="23"/>
    <n v="32.411111111111111"/>
  </r>
  <r>
    <n v="209"/>
    <x v="190"/>
    <s v="Sierra"/>
    <s v="Cédula de ciudadanía"/>
    <n v="1112482332"/>
    <s v="Empleado"/>
    <s v="Término indefinido"/>
    <x v="103"/>
    <m/>
    <s v="Mensual"/>
    <n v="1244320"/>
    <s v="Si"/>
    <s v="Centro de trabajo Riesgo 2"/>
    <s v="Si"/>
    <s v="taniasierra1994@hotmail.com"/>
    <m/>
    <s v="Transferencia Bancaria"/>
    <s v="Banco Davivienda"/>
    <s v="Cuenta de Ahorros"/>
    <s v="0550488413264745"/>
    <x v="171"/>
    <s v="Calle 40 #54-90"/>
    <n v="3122621284"/>
    <s v="Cali"/>
    <s v="Comercial"/>
    <x v="77"/>
    <s v="Ventas"/>
    <s v="EPS Sura"/>
    <s v="Porvenir"/>
    <s v="Porvenir"/>
    <x v="18"/>
    <s v="Mujer"/>
    <s v="ordinario"/>
    <s v="Si"/>
    <n v="207828"/>
    <s v="No"/>
    <s v="No aplica"/>
    <s v="No aplica"/>
    <s v="No"/>
    <s v="No aplica"/>
    <s v="No"/>
    <x v="45"/>
    <m/>
    <m/>
    <m/>
    <x v="1"/>
    <n v="-253"/>
    <n v="29.644444444444446"/>
  </r>
  <r>
    <n v="210"/>
    <x v="191"/>
    <s v="Llanos Baena"/>
    <s v="Cédula de ciudadanía"/>
    <n v="66723709"/>
    <s v="Empleado"/>
    <s v="Término indefinido"/>
    <x v="103"/>
    <m/>
    <s v="Mensual"/>
    <n v="1244320"/>
    <s v="Si"/>
    <s v="Centro de trabajo Riesgo 2"/>
    <s v="Si"/>
    <s v="juankgll@hotmail.com"/>
    <m/>
    <s v="Transferencia Bancaria"/>
    <s v="Bancolombia"/>
    <s v="Cuenta de Ahorros"/>
    <s v="25324740484"/>
    <x v="172"/>
    <s v="Calle 52 # 29 - 48"/>
    <n v="3137628727"/>
    <s v="Medellín"/>
    <s v="Comercial"/>
    <x v="77"/>
    <s v="Ventas"/>
    <s v="EPS Sura"/>
    <s v="Porvenir"/>
    <s v="Protección"/>
    <x v="18"/>
    <s v="Mujer"/>
    <s v="ordinario"/>
    <s v="Si"/>
    <n v="207828"/>
    <s v="No"/>
    <s v="No aplica"/>
    <s v="No aplica"/>
    <s v="No"/>
    <s v="No aplica"/>
    <s v="No"/>
    <x v="42"/>
    <s v="Periodo de prueba"/>
    <m/>
    <m/>
    <x v="1"/>
    <n v="10"/>
    <n v="49.65"/>
  </r>
  <r>
    <n v="211"/>
    <x v="192"/>
    <s v="Quintero Muñoz"/>
    <s v="Cédula de ciudadanía"/>
    <n v="30338883"/>
    <s v="Empleado"/>
    <s v="Término indefinido"/>
    <x v="103"/>
    <m/>
    <s v="Mensual"/>
    <n v="1300000"/>
    <s v="Si"/>
    <s v="Centro de trabajo Riesgo 2"/>
    <s v="Si"/>
    <s v="viandrea333.vq@gmail.com"/>
    <m/>
    <s v="Transferencia Bancaria"/>
    <s v="Bancolombia"/>
    <s v="Cuenta de Ahorros"/>
    <s v="13127941687"/>
    <x v="173"/>
    <s v="carrera 20 #32_29A Barrio las delicias"/>
    <n v="3127941687"/>
    <s v="Manizales"/>
    <s v="Comercial"/>
    <x v="77"/>
    <s v="Ventas"/>
    <s v="Nueva EPS Movilidad"/>
    <s v="Colfondos"/>
    <s v="Porvenir"/>
    <x v="18"/>
    <s v="Mujer"/>
    <s v="ordinario"/>
    <s v="Si"/>
    <n v="207828"/>
    <s v="No"/>
    <s v="No aplica"/>
    <s v="No aplica"/>
    <s v="No"/>
    <s v="No aplica"/>
    <s v="No"/>
    <x v="45"/>
    <m/>
    <m/>
    <m/>
    <x v="1"/>
    <n v="-253"/>
    <n v="48.677777777777777"/>
  </r>
  <r>
    <n v="212"/>
    <x v="193"/>
    <s v="Hernandez Alzate"/>
    <s v="Cédula de ciudadanía"/>
    <n v="24582581"/>
    <s v="Empleado"/>
    <s v="Término indefinido"/>
    <x v="103"/>
    <m/>
    <s v="Mensual"/>
    <n v="1300000"/>
    <s v="Si"/>
    <s v="Centro de trabajo Riesgo 2"/>
    <s v="Si"/>
    <s v="mal.ue@hotmail.com"/>
    <m/>
    <s v="Transferencia Bancaria"/>
    <s v="Bancolombia"/>
    <s v="Cuenta de Ahorros"/>
    <s v="03052947776"/>
    <x v="174"/>
    <s v="MG casa 2 portal del edén alto Armenia"/>
    <n v="3052947776"/>
    <s v="Armenia "/>
    <s v="Comercial"/>
    <x v="77"/>
    <s v="Ventas"/>
    <s v="Nueva EPS"/>
    <s v="Protección"/>
    <s v="Protección"/>
    <x v="18"/>
    <s v="Mujer"/>
    <s v="ordinario"/>
    <s v="Si"/>
    <n v="207828"/>
    <s v="No"/>
    <s v="No aplica"/>
    <s v="No aplica"/>
    <s v="No"/>
    <s v="No aplica"/>
    <s v="No"/>
    <x v="42"/>
    <s v="Periodo de prueba"/>
    <m/>
    <m/>
    <x v="1"/>
    <n v="10"/>
    <n v="52.233333333333334"/>
  </r>
  <r>
    <n v="213"/>
    <x v="194"/>
    <s v="Sanchez Jiménez"/>
    <s v="Cédula de ciudadanía"/>
    <n v="18413519"/>
    <s v="Empleado"/>
    <s v="Término indefinido"/>
    <x v="104"/>
    <m/>
    <s v="Mensual"/>
    <n v="1300000"/>
    <s v="No"/>
    <s v="Centro de trabajo Riesgo 2"/>
    <s v="Si"/>
    <m/>
    <m/>
    <s v="Efectivo"/>
    <m/>
    <m/>
    <m/>
    <x v="175"/>
    <s v="Finca el Guayabito"/>
    <s v="3103541831"/>
    <s v="Finca el Guayabito"/>
    <s v="Administrador"/>
    <x v="6"/>
    <s v="Mano de Obra Directa"/>
    <s v="Nueva EPS"/>
    <s v="Protección"/>
    <s v="Protección"/>
    <x v="12"/>
    <s v="Hombre"/>
    <s v="ordinario"/>
    <s v="No"/>
    <m/>
    <s v="No "/>
    <s v="No aplica"/>
    <s v="No"/>
    <s v="No"/>
    <s v="No aplica"/>
    <s v="No"/>
    <x v="17"/>
    <s v="Renuncia voluntaria"/>
    <m/>
    <m/>
    <x v="1"/>
    <n v="105"/>
    <n v="56.802777777777777"/>
  </r>
  <r>
    <n v="214"/>
    <x v="195"/>
    <s v="Gallego Gonzalez "/>
    <s v="Cédula de ciudadanía"/>
    <n v="1097722991"/>
    <s v="Empleado"/>
    <s v="Término indefinido"/>
    <x v="105"/>
    <m/>
    <s v="Mensual"/>
    <n v="1300000"/>
    <s v="Si"/>
    <s v="Centro de trabajo Riesgo 3"/>
    <s v="Si"/>
    <s v="katalinagallego596@gmail.com"/>
    <m/>
    <s v="Transferencia Bancaria"/>
    <s v="Banco Davivienda"/>
    <s v="Cuenta de Ahorros"/>
    <s v="0550488441351613"/>
    <x v="176"/>
    <s v="Manzana I Casa 2 Calle Villa Jerusalem"/>
    <n v="3218996725"/>
    <s v="Armenia "/>
    <s v="Comercial"/>
    <x v="37"/>
    <s v="Ventas"/>
    <s v="Nueva EPS"/>
    <s v="Porvenir"/>
    <s v="Porvenir"/>
    <x v="0"/>
    <s v="Mujer"/>
    <s v="ordinario"/>
    <s v="No"/>
    <m/>
    <s v="Si"/>
    <s v="Hijos"/>
    <s v="Si"/>
    <s v="Si"/>
    <s v="Hijos"/>
    <s v="Si"/>
    <x v="46"/>
    <s v="Renuncia voluntaria"/>
    <m/>
    <m/>
    <x v="1"/>
    <n v="51"/>
    <n v="34.883333333333333"/>
  </r>
  <r>
    <n v="215"/>
    <x v="196"/>
    <s v="Muñoz Narajo"/>
    <s v="Cédula de ciudadanía"/>
    <n v="1094977269"/>
    <s v="Empleado"/>
    <s v="Término indefinido"/>
    <x v="105"/>
    <m/>
    <s v="Mensual"/>
    <n v="1300000"/>
    <s v="Si"/>
    <s v="Centro de trabajo Riesgo 2"/>
    <s v="Si"/>
    <s v="Danielandresmunoz64@gmail.com"/>
    <m/>
    <s v="Transferencia Bancaria"/>
    <s v="Banco AV Villas"/>
    <s v="Cuenta de Ahorros"/>
    <s v="314802591"/>
    <x v="177"/>
    <s v="Carrera 27A #21a-59  Barrio San José"/>
    <n v="3116815699"/>
    <s v="Restaurante El Solar"/>
    <s v="Operativa"/>
    <x v="20"/>
    <s v="Mano de Obra Directa"/>
    <s v="Nueva EPS"/>
    <s v="Protección"/>
    <s v="Protección"/>
    <x v="3"/>
    <s v="Hombre"/>
    <s v="ordinario"/>
    <s v="No"/>
    <m/>
    <s v="No"/>
    <s v="No aplica"/>
    <s v="No aplica"/>
    <s v="No"/>
    <s v="No aplica"/>
    <s v="No"/>
    <x v="47"/>
    <s v="Renuncia voluntaria"/>
    <m/>
    <m/>
    <x v="1"/>
    <n v="17"/>
    <n v="24.45"/>
  </r>
  <r>
    <n v="216"/>
    <x v="197"/>
    <s v="Giraldo Duque"/>
    <s v="Cédula de ciudadanía"/>
    <n v="41905166"/>
    <s v="Tiempo parcial"/>
    <s v="Término indefinido"/>
    <x v="106"/>
    <m/>
    <s v="Mensual"/>
    <n v="2247450"/>
    <s v="Si"/>
    <s v="Centro de trabajo Riesgo 1"/>
    <s v="Si"/>
    <s v="anarubeliagiraldoduque@gmail.com"/>
    <m/>
    <s v="Efectivo"/>
    <m/>
    <m/>
    <m/>
    <x v="178"/>
    <s v="Carrera 20B # 25-30 Berlin"/>
    <s v="3136752990"/>
    <s v="Oficina"/>
    <s v="Servicios Generales"/>
    <x v="50"/>
    <s v="Mano de Obra Directa"/>
    <m/>
    <s v="Porvenir"/>
    <s v="Protección"/>
    <x v="9"/>
    <s v="Mujer"/>
    <s v="ordinario"/>
    <s v="No"/>
    <m/>
    <s v="No"/>
    <s v="No aplica"/>
    <s v="No"/>
    <s v="No"/>
    <s v="No aplica"/>
    <s v="No"/>
    <x v="0"/>
    <m/>
    <m/>
    <m/>
    <x v="0"/>
    <n v="197"/>
    <n v="59.394444444444446"/>
  </r>
  <r>
    <n v="217"/>
    <x v="198"/>
    <s v="Carmona Álvarez"/>
    <s v="Cédula de ciudadanía"/>
    <n v="41930233"/>
    <s v="Empleado"/>
    <s v="Término indefinido"/>
    <x v="107"/>
    <m/>
    <s v="Mensual"/>
    <n v="1300000"/>
    <s v="Si"/>
    <s v="Centro de trabajo Riesgo 4"/>
    <s v="Si"/>
    <s v="carmona-osorio13@hotmail.com"/>
    <m/>
    <s v="Transferencia Bancaria"/>
    <s v="Banco Davivienda"/>
    <s v="Cuenta de Ahorros"/>
    <s v="0550488447525794"/>
    <x v="179"/>
    <s v="Barrio la Fachada Mz 2 casa 4"/>
    <n v="3177388464"/>
    <s v="Armenia "/>
    <s v="Comercial"/>
    <x v="37"/>
    <s v="Armenia Ventas"/>
    <s v="Nueva EPS"/>
    <s v="Colpensiones"/>
    <s v="Porvenir"/>
    <x v="0"/>
    <s v="Mujer"/>
    <s v="ordinario"/>
    <s v="No"/>
    <m/>
    <m/>
    <m/>
    <m/>
    <m/>
    <m/>
    <m/>
    <x v="0"/>
    <m/>
    <m/>
    <m/>
    <x v="0"/>
    <n v="195"/>
    <n v="50.658333333333331"/>
  </r>
  <r>
    <n v="218"/>
    <x v="199"/>
    <s v="Tunubala Pechene"/>
    <s v="Cédula de ciudadanía"/>
    <n v="1064434226"/>
    <s v="Empleado"/>
    <s v="Término indefinido"/>
    <x v="108"/>
    <s v=""/>
    <s v="Mensual"/>
    <n v="1300000"/>
    <s v="Si"/>
    <s v="Centro de trabajo Riesgo 2"/>
    <s v="Si"/>
    <s v="muelasnilsa@gmail.com"/>
    <m/>
    <s v="Transferencia Bancaria"/>
    <s v="Banco Davivienda"/>
    <s v="Cuenta de Ahorros"/>
    <s v="0550136000953143"/>
    <x v="23"/>
    <s v="Crr 11 #9-09 Barrio Centro-Barcelona"/>
    <s v="3128279671"/>
    <s v="Sede principal"/>
    <s v="Operaciones"/>
    <x v="55"/>
    <s v="Mano de Obra Directa"/>
    <s v="Sanitas"/>
    <s v="Protección"/>
    <s v="Protección"/>
    <x v="7"/>
    <s v="Hombre"/>
    <s v="ordinario"/>
    <m/>
    <m/>
    <m/>
    <m/>
    <m/>
    <m/>
    <m/>
    <m/>
    <x v="0"/>
    <m/>
    <m/>
    <m/>
    <x v="0"/>
    <n v="191"/>
    <s v=""/>
  </r>
  <r>
    <n v="219"/>
    <x v="200"/>
    <s v="Poveda Saza"/>
    <s v="Cédula de ciudadanía"/>
    <n v="1096007811"/>
    <s v="Empleado"/>
    <s v="Término indefinido"/>
    <x v="109"/>
    <m/>
    <s v="Mensual"/>
    <n v="1300000"/>
    <s v="Si"/>
    <s v="Centro de trabajo Riesgo 4"/>
    <s v="Si"/>
    <s v="luiipoveda08@gmail.com"/>
    <m/>
    <s v="Transferencia Bancaria"/>
    <s v="Banco Davivienda"/>
    <s v="Cuenta de Ahorros"/>
    <s v="0550488441543128"/>
    <x v="180"/>
    <s v="Calle 19 # 27-63"/>
    <n v="3135774992"/>
    <s v="Armenia "/>
    <s v="Ventas"/>
    <x v="37"/>
    <s v="Armenia Ventas"/>
    <s v="Nueva EPS"/>
    <s v="Protección"/>
    <s v="Porvenir"/>
    <x v="0"/>
    <s v="Mujer"/>
    <s v="ordinario"/>
    <s v="No"/>
    <m/>
    <s v="Si"/>
    <s v="Hijos"/>
    <s v="Si"/>
    <s v="Si"/>
    <s v="Hijos"/>
    <s v="Si"/>
    <x v="0"/>
    <m/>
    <m/>
    <m/>
    <x v="0"/>
    <n v="188"/>
    <n v="24.988888888888887"/>
  </r>
  <r>
    <n v="220"/>
    <x v="72"/>
    <s v="Montoya Duran"/>
    <s v="Cédula de ciudadanía"/>
    <n v="9728635"/>
    <s v="Empleado"/>
    <s v="Término indefinido"/>
    <x v="110"/>
    <m/>
    <s v="Mensual"/>
    <n v="1300000"/>
    <s v="Si"/>
    <s v="Centro de trabajo Riesgo 4"/>
    <s v="Si"/>
    <s v="luisfernandosud12@gmail.com"/>
    <m/>
    <s v="Transferencia Bancaria"/>
    <s v="Banco Davivienda"/>
    <s v="Cuenta de Ahorros"/>
    <s v="0550488441580492"/>
    <x v="181"/>
    <s v="Bario La montana mz d casa 2"/>
    <n v="3112867438"/>
    <s v="Armenia "/>
    <s v="Ventas"/>
    <x v="37"/>
    <s v="Armenia Ventas"/>
    <s v="EPS Sura"/>
    <s v="Protección"/>
    <s v="Porvenir"/>
    <x v="0"/>
    <s v="Hombre"/>
    <s v="ordinario"/>
    <s v="No"/>
    <m/>
    <s v="Si"/>
    <s v="Hijos"/>
    <m/>
    <s v="Si"/>
    <s v="Hijos"/>
    <m/>
    <x v="0"/>
    <m/>
    <m/>
    <m/>
    <x v="0"/>
    <n v="187"/>
    <n v="42.588888888888889"/>
  </r>
  <r>
    <n v="221"/>
    <x v="201"/>
    <s v="Ruge Quintero"/>
    <s v="Cédula de ciudadanía"/>
    <n v="41915165"/>
    <s v="Empleado"/>
    <s v="Término indefinido"/>
    <x v="110"/>
    <m/>
    <s v="Mensual"/>
    <n v="1300000"/>
    <s v="Si"/>
    <s v="Centro de trabajo Riesgo 4"/>
    <s v="Si"/>
    <s v="yhonospina@hotmail.com"/>
    <m/>
    <s v="Transferencia Bancaria"/>
    <s v="Banco Davivienda"/>
    <s v="Cuenta de Ahorros"/>
    <s v="0550136000953283"/>
    <x v="182"/>
    <s v="Barrio recreo mz G # 23"/>
    <n v="3166046519"/>
    <s v="Armenia "/>
    <s v="Ventas"/>
    <x v="37"/>
    <s v="Armenia Ventas"/>
    <s v="Nueva EPS"/>
    <s v="Colpensiones"/>
    <s v="Porvenir"/>
    <x v="0"/>
    <s v="Mujer"/>
    <s v="ordinario"/>
    <s v="No"/>
    <m/>
    <s v="No"/>
    <m/>
    <m/>
    <s v="No"/>
    <m/>
    <m/>
    <x v="31"/>
    <s v="Renuncia voluntaria"/>
    <m/>
    <m/>
    <x v="1"/>
    <n v="121"/>
    <n v="56.674999999999997"/>
  </r>
  <r>
    <n v="222"/>
    <x v="202"/>
    <s v="Reyes Sarria"/>
    <s v="Cédula de ciudadanía"/>
    <n v="1001669288"/>
    <s v="Empleado"/>
    <s v="Término indefinido"/>
    <x v="111"/>
    <m/>
    <s v="Mensual"/>
    <n v="1300000"/>
    <s v="Si"/>
    <s v="Centro de trabajo Riesgo 2"/>
    <s v="Si"/>
    <s v="reyessarriayuliana@gmail.com"/>
    <m/>
    <s v="Transferencia Bancaria"/>
    <s v="Bancolombia"/>
    <s v="Cuenta de Ahorros"/>
    <s v="03203411811"/>
    <x v="183"/>
    <s v="El Cantarito Manzana E1 Casa 4"/>
    <s v="3203411811"/>
    <s v="Baronesa Portal del Quindío"/>
    <s v="Caja"/>
    <x v="51"/>
    <s v="Portal del Quindío"/>
    <s v="ADRES (regímenes especiales)"/>
    <s v="Colpensiones"/>
    <s v="Porvenir"/>
    <x v="10"/>
    <s v="Mujer"/>
    <s v="ordinario"/>
    <s v="No"/>
    <m/>
    <s v="No"/>
    <s v="No aplica"/>
    <s v="No aplica"/>
    <s v="No"/>
    <s v="No aplica"/>
    <s v="No aplica"/>
    <x v="0"/>
    <m/>
    <m/>
    <m/>
    <x v="0"/>
    <n v="186"/>
    <n v="20.736111111111111"/>
  </r>
  <r>
    <n v="223"/>
    <x v="139"/>
    <s v="García Henao"/>
    <s v="Cédula de ciudadanía"/>
    <n v="5935528"/>
    <s v="Empleado"/>
    <s v="Término indefinido"/>
    <x v="111"/>
    <m/>
    <s v="Mensual"/>
    <n v="1300000"/>
    <s v="Si"/>
    <s v="Centro de trabajo Riesgo 3"/>
    <m/>
    <m/>
    <m/>
    <s v="Transferencia Bancaria"/>
    <s v="Banco Davivienda"/>
    <s v="Cuenta de Ahorros"/>
    <s v="0550136000954190"/>
    <x v="184"/>
    <s v="barrio el recreo manzana L casa 9, primer piso"/>
    <m/>
    <s v="Armenia"/>
    <s v="Operativa"/>
    <x v="78"/>
    <s v="Operativo"/>
    <s v="Nueva EPS"/>
    <s v="Protección"/>
    <s v="Porvenir"/>
    <x v="0"/>
    <s v="Hombre"/>
    <s v="ordinario"/>
    <s v="No"/>
    <m/>
    <m/>
    <m/>
    <m/>
    <m/>
    <m/>
    <m/>
    <x v="48"/>
    <s v="Renuncia voluntaria"/>
    <m/>
    <m/>
    <x v="1"/>
    <n v="111"/>
    <n v="53.961111111111109"/>
  </r>
  <r>
    <n v="224"/>
    <x v="203"/>
    <s v="Arboleda Osorio"/>
    <s v="Cédula de ciudadanía"/>
    <n v="59821939"/>
    <s v="Empleado"/>
    <s v="Término indefinido"/>
    <x v="111"/>
    <m/>
    <s v="Mensual"/>
    <n v="1300000"/>
    <s v="Si"/>
    <s v="Centro de trabajo Riesgo 4"/>
    <m/>
    <s v="Earboledaosorio@gmail.com"/>
    <m/>
    <s v="Transferencia Bancaria"/>
    <s v="Banco Davivienda"/>
    <s v="Cuenta de Ahorros"/>
    <s v="0550136000953531"/>
    <x v="185"/>
    <s v="Av 19 #11N-93 unidad proviteq 5 bloque 1 apto 4B"/>
    <n v="3106157415"/>
    <s v="armenia"/>
    <s v="Ventas"/>
    <x v="37"/>
    <s v="Armenia Ventas"/>
    <s v="Sanitas"/>
    <s v="Colpensiones"/>
    <s v="Porvenir"/>
    <x v="0"/>
    <s v="Mujer"/>
    <s v="ordinario"/>
    <s v="No"/>
    <m/>
    <m/>
    <m/>
    <m/>
    <m/>
    <m/>
    <m/>
    <x v="48"/>
    <s v="Renuncia voluntaria"/>
    <m/>
    <m/>
    <x v="1"/>
    <n v="111"/>
    <n v="54.177777777777777"/>
  </r>
  <r>
    <n v="225"/>
    <x v="204"/>
    <s v="Moreno Reyes"/>
    <s v="Cédula de ciudadanía"/>
    <n v="7540576"/>
    <s v="Empleado"/>
    <s v="Término indefinido"/>
    <x v="111"/>
    <m/>
    <s v="Mensual"/>
    <n v="1300000"/>
    <s v="Si"/>
    <s v="Centro de trabajo Riesgo 3"/>
    <m/>
    <m/>
    <m/>
    <s v="Transferencia Bancaria"/>
    <s v="Banco Davivienda"/>
    <s v="Cuenta de Ahorros"/>
    <s v="0550136000954588"/>
    <x v="186"/>
    <s v="Cll 19#22-16"/>
    <m/>
    <s v="Armenia"/>
    <s v="Operativa"/>
    <x v="78"/>
    <s v="Operativo"/>
    <s v="Nueva EPS"/>
    <s v="Colpensiones"/>
    <s v="Porvenir"/>
    <x v="0"/>
    <s v="Hombre"/>
    <s v="ordinario"/>
    <s v="No"/>
    <m/>
    <m/>
    <m/>
    <m/>
    <m/>
    <m/>
    <m/>
    <x v="49"/>
    <s v="Renuncia voluntaria"/>
    <m/>
    <m/>
    <x v="1"/>
    <n v="37"/>
    <n v="61.305555555555557"/>
  </r>
  <r>
    <n v="226"/>
    <x v="205"/>
    <s v="Garcia Arcila"/>
    <s v="Cédula de ciudadanía"/>
    <n v="41922264"/>
    <s v="Empleado"/>
    <s v="Término indefinido"/>
    <x v="111"/>
    <m/>
    <s v="Mensual"/>
    <n v="1300000"/>
    <s v="Si"/>
    <s v="Centro de trabajo Riesgo 4"/>
    <m/>
    <m/>
    <m/>
    <s v="Transferencia Bancaria"/>
    <s v="Banco Davivienda"/>
    <s v="Cuenta de Ahorros"/>
    <s v="488441607253"/>
    <x v="187"/>
    <s v="Carrera 17#2 norte -30 nueva Cecilia"/>
    <n v="3218083715"/>
    <s v="Armenia"/>
    <s v="Ventas"/>
    <x v="37"/>
    <s v="Armenia Ventas"/>
    <s v="EPS Sura"/>
    <s v="Porvenir"/>
    <s v="Porvenir"/>
    <x v="0"/>
    <s v="Mujer"/>
    <s v="ordinario"/>
    <s v="No"/>
    <m/>
    <m/>
    <m/>
    <m/>
    <m/>
    <m/>
    <m/>
    <x v="0"/>
    <m/>
    <m/>
    <m/>
    <x v="0"/>
    <n v="186"/>
    <n v="53.108333333333334"/>
  </r>
  <r>
    <n v="227"/>
    <x v="206"/>
    <s v="Benjumea"/>
    <s v="Cédula de ciudadanía"/>
    <n v="7551187"/>
    <s v="Empleado"/>
    <s v="Término indefinido"/>
    <x v="111"/>
    <m/>
    <s v="Mensual"/>
    <n v="1300000"/>
    <s v="Si"/>
    <s v="Centro de trabajo Riesgo 3"/>
    <m/>
    <m/>
    <m/>
    <s v="Transferencia Bancaria"/>
    <s v="Banco Davivienda"/>
    <s v="Cuenta de Ahorros"/>
    <s v="0550488481894802"/>
    <x v="188"/>
    <s v="Mz 19 casa 25 barrio Simón Bolívar"/>
    <s v="3188680619"/>
    <s v="Armenia"/>
    <s v="Operativa"/>
    <x v="78"/>
    <s v="Operativo"/>
    <s v="Nueva EPS"/>
    <s v="Porvenir"/>
    <s v="Porvenir"/>
    <x v="0"/>
    <s v="Hombre"/>
    <s v="ordinario"/>
    <s v="No"/>
    <m/>
    <m/>
    <m/>
    <m/>
    <m/>
    <m/>
    <m/>
    <x v="2"/>
    <s v="Renuncia voluntaria"/>
    <m/>
    <m/>
    <x v="1"/>
    <n v="106"/>
    <n v="57.402777777777779"/>
  </r>
  <r>
    <n v="228"/>
    <x v="207"/>
    <s v="Velasquez Piñeros"/>
    <s v="Cédula de ciudadanía"/>
    <n v="41908173"/>
    <s v="Empleado"/>
    <s v="Término indefinido"/>
    <x v="111"/>
    <m/>
    <s v="Mensual"/>
    <n v="1300000"/>
    <s v="Si"/>
    <s v="Centro de trabajo Riesgo 3"/>
    <m/>
    <s v="gcaliche587@gmail.com"/>
    <m/>
    <s v="Transferencia Bancaria"/>
    <s v="Banco Davivienda"/>
    <s v="Cuenta de Ahorros"/>
    <s v="488441762603"/>
    <x v="189"/>
    <s v="BR Quinta de Los Andes MZ 1 5B"/>
    <n v="3226770395"/>
    <s v="Armenia"/>
    <s v="Ventas"/>
    <x v="37"/>
    <s v="Ventas"/>
    <s v="Salud Total"/>
    <s v="Colpensiones"/>
    <s v="Porvenir"/>
    <x v="0"/>
    <s v="Mujer"/>
    <s v="ordinario"/>
    <s v="No"/>
    <m/>
    <m/>
    <m/>
    <m/>
    <m/>
    <m/>
    <m/>
    <x v="2"/>
    <s v="Renuncia voluntaria"/>
    <m/>
    <m/>
    <x v="1"/>
    <n v="106"/>
    <n v="59.966666666666669"/>
  </r>
  <r>
    <n v="229"/>
    <x v="6"/>
    <s v="García Serna"/>
    <s v="Cédula de ciudadanía"/>
    <n v="12552529"/>
    <s v="Empleado"/>
    <s v="Término indefinido"/>
    <x v="111"/>
    <m/>
    <s v="Mensual"/>
    <n v="1300000"/>
    <s v="Si"/>
    <s v="Centro de trabajo Riesgo 4"/>
    <m/>
    <m/>
    <m/>
    <s v="Transferencia Bancaria"/>
    <s v="Banco Davivienda"/>
    <s v="Cuenta de Ahorros"/>
    <s v="0550136200178582"/>
    <x v="190"/>
    <s v="Cra 25 #19-26 "/>
    <n v="3128305087"/>
    <s v="Armenia"/>
    <s v="Ventas"/>
    <x v="37"/>
    <s v="Armenia Ventas"/>
    <s v="S.O.S. Servicio Occidental de Salud S.A."/>
    <s v="Colpensiones"/>
    <s v="Porvenir"/>
    <x v="0"/>
    <s v="Hombre"/>
    <s v="ordinario"/>
    <s v="No"/>
    <m/>
    <m/>
    <m/>
    <m/>
    <m/>
    <m/>
    <m/>
    <x v="4"/>
    <s v="Renuncia voluntaria"/>
    <m/>
    <m/>
    <x v="1"/>
    <n v="122"/>
    <n v="62.869444444444447"/>
  </r>
  <r>
    <n v="230"/>
    <x v="208"/>
    <s v="Gómez Velásquez"/>
    <s v="Cédula de ciudadanía"/>
    <n v="1094885833"/>
    <s v="Empleado"/>
    <s v="Término indefinido"/>
    <x v="111"/>
    <m/>
    <s v="Mensual"/>
    <n v="1300000"/>
    <s v="Si"/>
    <s v="Centro de trabajo Riesgo 3"/>
    <m/>
    <s v="gcaliche587@gmail.com"/>
    <m/>
    <s v="Transferencia Bancaria"/>
    <s v="Banco Davivienda"/>
    <s v="Cuenta de Ahorros"/>
    <s v="488441762892"/>
    <x v="191"/>
    <s v="BR Quinta de Los Andes MZ 1 5B"/>
    <s v="322 6770395"/>
    <s v="armenia"/>
    <s v="Ventas"/>
    <x v="37"/>
    <s v="Ventas"/>
    <s v="Asmet Salud"/>
    <s v="Porvenir"/>
    <s v="Porvenir"/>
    <x v="0"/>
    <s v="Mujer"/>
    <s v="ordinario"/>
    <s v="No"/>
    <m/>
    <m/>
    <m/>
    <m/>
    <m/>
    <m/>
    <m/>
    <x v="17"/>
    <s v="Renuncia voluntaria"/>
    <m/>
    <m/>
    <x v="1"/>
    <n v="91"/>
    <n v="37.25"/>
  </r>
  <r>
    <n v="231"/>
    <x v="55"/>
    <s v="Acevedo Murillo"/>
    <s v="Cédula de ciudadanía"/>
    <n v="1088330413"/>
    <s v="Empleado"/>
    <s v="Término indefinido"/>
    <x v="112"/>
    <s v=""/>
    <s v="Mensual"/>
    <n v="1300000"/>
    <s v="Si"/>
    <s v="Centro de trabajo Riesgo 2"/>
    <s v="Si"/>
    <s v="alejandraam17101995@gmail.com"/>
    <m/>
    <s v="Transferencia Bancaria"/>
    <s v="Banco Davivienda"/>
    <s v="Cuenta de Ahorros"/>
    <m/>
    <x v="192"/>
    <s v="Brr Puerto Espejo Mz 28 casa 2 - Armenia"/>
    <n v="3104615890"/>
    <s v="armenia"/>
    <s v="Operativa"/>
    <x v="79"/>
    <s v="Operativo"/>
    <s v="Famisanar"/>
    <s v="Porvenir"/>
    <s v="Porvenir"/>
    <x v="7"/>
    <s v="Mujer"/>
    <s v="ordinario"/>
    <m/>
    <m/>
    <s v="S"/>
    <s v="Hijos"/>
    <s v="No"/>
    <s v="Si"/>
    <s v="Hijos"/>
    <s v="No"/>
    <x v="0"/>
    <m/>
    <m/>
    <m/>
    <x v="0"/>
    <n v="178"/>
    <n v="28.463888888888889"/>
  </r>
  <r>
    <n v="232"/>
    <x v="209"/>
    <s v="Posada Grajales"/>
    <s v="Cédula de ciudadanía"/>
    <n v="94435240"/>
    <s v="Empleado"/>
    <s v="Término indefinido"/>
    <x v="112"/>
    <m/>
    <s v="Mensual"/>
    <n v="1300000"/>
    <s v="Si"/>
    <s v="Centro de trabajo Riesgo 2"/>
    <m/>
    <s v="posadawilder8@gmail.com"/>
    <m/>
    <s v="Efectivo"/>
    <m/>
    <m/>
    <m/>
    <x v="193"/>
    <s v="Finca Rio Bamba"/>
    <s v="3116059845"/>
    <s v="Finca Rio Bamba"/>
    <s v="Administrador General"/>
    <x v="22"/>
    <s v="Mano de Obra Directa"/>
    <s v="Nueva EPS"/>
    <s v="Porvenir"/>
    <s v="Porvenir"/>
    <x v="8"/>
    <s v="Hombre"/>
    <s v="ordinario"/>
    <s v="No"/>
    <m/>
    <s v="No"/>
    <s v="No aplica"/>
    <s v="No aplica"/>
    <s v="No"/>
    <s v="No aplica"/>
    <s v="No aplica"/>
    <x v="0"/>
    <m/>
    <m/>
    <m/>
    <x v="0"/>
    <n v="178"/>
    <n v="42.616666666666667"/>
  </r>
  <r>
    <n v="233"/>
    <x v="210"/>
    <s v="Cáceres Bucurú"/>
    <s v="Cédula de ciudadanía"/>
    <n v="1007527291"/>
    <s v="Empleado"/>
    <s v="Término indefinido"/>
    <x v="113"/>
    <s v=""/>
    <s v="Mensual"/>
    <n v="1300000"/>
    <s v="Si"/>
    <s v="Centro de trabajo Riesgo 2"/>
    <s v="Si"/>
    <s v="mstevencaceres@gmail.com"/>
    <m/>
    <s v="Transferencia Bancaria"/>
    <s v="Banco Davivienda"/>
    <s v="Cuenta de Ahorros"/>
    <s v="0550488437695627"/>
    <x v="194"/>
    <s v="Puerto Espejo Ed Chilacoa Torre 11 Apt 303"/>
    <s v="3106931462"/>
    <s v="Sede principal"/>
    <s v="Operaciones"/>
    <x v="55"/>
    <s v="Mano de Obra Directa"/>
    <s v="S.O.S. Servicio Occidental de Salud S.A."/>
    <s v="Porvenir"/>
    <s v="Porvenir"/>
    <x v="7"/>
    <s v="Hombre"/>
    <s v="ordinario"/>
    <m/>
    <m/>
    <m/>
    <m/>
    <m/>
    <m/>
    <m/>
    <m/>
    <x v="0"/>
    <m/>
    <m/>
    <m/>
    <x v="0"/>
    <n v="177"/>
    <n v="23.147222222222222"/>
  </r>
  <r>
    <n v="234"/>
    <x v="211"/>
    <s v="Hernandez Quintana"/>
    <s v="Cédula de ciudadanía"/>
    <n v="31950501"/>
    <s v="Empleado"/>
    <s v="Término indefinido"/>
    <x v="114"/>
    <m/>
    <s v="Mensual"/>
    <n v="1300000"/>
    <s v="No"/>
    <s v="Centro de trabajo Riesgo 1"/>
    <m/>
    <s v="No aplica "/>
    <m/>
    <s v="Efectivo"/>
    <m/>
    <m/>
    <m/>
    <x v="195"/>
    <s v="Mazana I casa 1  La isabela Caicedonia"/>
    <n v="3105050157"/>
    <s v="Armenia"/>
    <s v="Operativa"/>
    <x v="23"/>
    <s v="Operativo"/>
    <s v="Emssanar"/>
    <s v="Colpensiones"/>
    <s v="Porvenir"/>
    <x v="13"/>
    <s v="Mujer"/>
    <s v="ordinario"/>
    <s v="No"/>
    <m/>
    <s v="No"/>
    <s v="No aplica"/>
    <s v="No"/>
    <s v="No"/>
    <s v="No aplica"/>
    <s v="No"/>
    <x v="50"/>
    <s v="Terminación con justa causa"/>
    <m/>
    <m/>
    <x v="1"/>
    <n v="83"/>
    <n v="59.847222222222221"/>
  </r>
  <r>
    <n v="235"/>
    <x v="212"/>
    <s v="Puerta Serna"/>
    <s v="Cédula de ciudadanía"/>
    <n v="1116441979"/>
    <s v="Empleado"/>
    <s v="Término indefinido"/>
    <x v="114"/>
    <m/>
    <s v="Mensual"/>
    <n v="1300000"/>
    <s v="No"/>
    <s v="Centro de trabajo Riesgo 2"/>
    <s v="Si"/>
    <m/>
    <m/>
    <s v="Efectivo"/>
    <m/>
    <m/>
    <m/>
    <x v="23"/>
    <s v=""/>
    <s v="3126073453"/>
    <s v="Valle del Cauca"/>
    <s v="Operativa"/>
    <x v="6"/>
    <s v="Mano de Obra Directa"/>
    <s v="Nueva EPS"/>
    <s v="Porvenir"/>
    <s v="Porvenir"/>
    <x v="5"/>
    <s v="Hombre"/>
    <s v="ordinario"/>
    <s v="No"/>
    <m/>
    <s v="No "/>
    <s v="No aplica"/>
    <s v="No aplica"/>
    <s v="No"/>
    <s v="No aplica"/>
    <s v="No aplica"/>
    <x v="0"/>
    <m/>
    <m/>
    <m/>
    <x v="0"/>
    <n v="171"/>
    <s v=""/>
  </r>
  <r>
    <n v="236"/>
    <x v="213"/>
    <s v="Jaramillo Osorio"/>
    <s v="Cédula de ciudadanía"/>
    <n v="16803357"/>
    <s v="Empleado"/>
    <s v="Término indefinido"/>
    <x v="114"/>
    <m/>
    <s v="Mensual"/>
    <n v="1300000"/>
    <s v="Si"/>
    <s v="Centro de trabajo Riesgo 2"/>
    <m/>
    <s v="servimaquinasjaramilloycarvajal@hotmail.com"/>
    <m/>
    <s v="Efectivo"/>
    <m/>
    <m/>
    <m/>
    <x v="196"/>
    <s v="Finca Rio Bamba"/>
    <s v="3202116546"/>
    <s v="El carmelo"/>
    <s v="Administrador General"/>
    <x v="80"/>
    <s v="Mano de Obra Directa"/>
    <s v="Nueva EPS"/>
    <s v="Colpensiones"/>
    <s v="Porvenir"/>
    <x v="8"/>
    <s v="Hombre"/>
    <s v="ordinario"/>
    <s v="No"/>
    <m/>
    <s v="No"/>
    <s v="No aplica"/>
    <s v="No aplica"/>
    <s v="No"/>
    <s v="No aplica"/>
    <s v="No aplica"/>
    <x v="0"/>
    <m/>
    <m/>
    <m/>
    <x v="0"/>
    <n v="171"/>
    <n v="46.091666666666669"/>
  </r>
  <r>
    <n v="237"/>
    <x v="214"/>
    <s v="Arenas Gallego"/>
    <s v="Cédula de ciudadanía"/>
    <n v="94287053"/>
    <s v="Empleado"/>
    <s v="Término indefinido"/>
    <x v="114"/>
    <m/>
    <s v="Mensual"/>
    <n v="1300000"/>
    <s v="No"/>
    <s v="Centro de trabajo Riesgo 2"/>
    <m/>
    <s v=""/>
    <m/>
    <s v="Efectivo"/>
    <m/>
    <m/>
    <m/>
    <x v="197"/>
    <s v=""/>
    <s v="3170381910"/>
    <s v="Finca La Maquita"/>
    <s v="Administrador"/>
    <x v="22"/>
    <s v="Mano de Obra Directa"/>
    <s v="S.O.S. Servicio Occidental de Salud S.A."/>
    <s v="Protección"/>
    <s v="Protección"/>
    <x v="1"/>
    <s v="Hombre"/>
    <s v="ordinario"/>
    <s v="No"/>
    <m/>
    <s v="No"/>
    <s v="No aplica"/>
    <s v="No aplica"/>
    <s v="No"/>
    <s v="No aplica"/>
    <s v="No aplica"/>
    <x v="0"/>
    <m/>
    <m/>
    <m/>
    <x v="0"/>
    <n v="171"/>
    <n v="45.430555555555557"/>
  </r>
  <r>
    <n v="238"/>
    <x v="215"/>
    <s v="Toledo Estrella"/>
    <s v="Cédula de ciudadanía"/>
    <n v="5348909"/>
    <s v="Empleado"/>
    <s v="Término indefinido"/>
    <x v="115"/>
    <m/>
    <s v="Mensual"/>
    <n v="1350000"/>
    <s v="Si"/>
    <s v="Centro de trabajo Riesgo 4"/>
    <s v="Si"/>
    <s v="vialtoes75@hotmail.com"/>
    <m/>
    <s v="Transferencia Bancaria"/>
    <s v="BBVA Colombia"/>
    <s v="Cuenta de Ahorros"/>
    <n v="665053534"/>
    <x v="198"/>
    <s v="Carrera 9 Número 51 - 255 Conjunto Residencial Entre Lomas Torre 26 Apto 201"/>
    <n v="3054451992"/>
    <s v="Armenia"/>
    <s v="Operativa"/>
    <x v="3"/>
    <s v="Operativo"/>
    <s v="ADRES (regímenes especiales)"/>
    <s v="No aplica"/>
    <s v="Porvenir"/>
    <x v="14"/>
    <s v="Hombre"/>
    <s v="ordinario"/>
    <s v="Si"/>
    <n v="668000"/>
    <s v="No"/>
    <s v="No aplica"/>
    <s v="No aplica"/>
    <s v="No"/>
    <s v="No aplica"/>
    <s v="No"/>
    <x v="51"/>
    <s v="Renuncia voluntaria"/>
    <m/>
    <m/>
    <x v="1"/>
    <n v="4"/>
    <n v="49.022222222222226"/>
  </r>
  <r>
    <n v="239"/>
    <x v="16"/>
    <s v="Suarez Sanchez "/>
    <s v="Cédula de ciudadanía"/>
    <n v="1094883790"/>
    <s v="Empleado"/>
    <s v="Término fijo"/>
    <x v="115"/>
    <d v="2023-01-16T00:00:00"/>
    <s v="Mensual- medio tiempo"/>
    <n v="580000"/>
    <s v="Si"/>
    <s v="Centro de trabajo Riesgo 1"/>
    <m/>
    <s v="luisafersuasa@gmail.com"/>
    <m/>
    <s v="Transferencia Bancaria"/>
    <s v="Bancolombia"/>
    <s v="Cuenta de Ahorros"/>
    <n v="37454695535"/>
    <x v="199"/>
    <s v="Barrio el placer Mz k #232"/>
    <n v="3128361773"/>
    <s v="Armenia"/>
    <s v="Administrativa"/>
    <x v="81"/>
    <s v="Administrativo"/>
    <s v="EPS Sura"/>
    <s v="Porvenir"/>
    <s v="Porvenir"/>
    <x v="2"/>
    <s v="Mujer"/>
    <s v="ordinario"/>
    <m/>
    <m/>
    <m/>
    <m/>
    <m/>
    <m/>
    <m/>
    <m/>
    <x v="52"/>
    <s v="Terminación por mutuo acuerdo"/>
    <s v="Finalización del término"/>
    <m/>
    <x v="1"/>
    <n v="91"/>
    <n v="37.536111111111111"/>
  </r>
  <r>
    <n v="240"/>
    <x v="139"/>
    <s v="Avila Rodríguez"/>
    <s v="Permiso de protección  temporal"/>
    <n v="4091638"/>
    <s v="Empleado"/>
    <s v="Término indefinido"/>
    <x v="116"/>
    <m/>
    <s v="Mensual"/>
    <n v="1300000"/>
    <s v="Si"/>
    <s v="Centro de trabajo Riesgo 3"/>
    <s v="Si"/>
    <s v="rodriguezkrloss@gmail.com"/>
    <m/>
    <s v="Transferencia Bancaria"/>
    <s v="Banco Davivienda"/>
    <s v="Cuenta de Ahorros"/>
    <n v="550136200170522"/>
    <x v="200"/>
    <s v="Urbanización guaduales del Eden, torre 1, apartamento 302, Armenia Quindío"/>
    <n v="3007134276"/>
    <s v="Restaurante El Solar"/>
    <s v="Servicio y producción"/>
    <x v="19"/>
    <s v="Operativo"/>
    <s v="Nueva EPS"/>
    <s v="Porvenir"/>
    <s v="Porvenir"/>
    <x v="3"/>
    <s v="Hombre"/>
    <s v="ordinario"/>
    <s v="No"/>
    <m/>
    <s v="No"/>
    <s v="No aplica"/>
    <s v="No aplica"/>
    <s v="No"/>
    <s v="No aplica"/>
    <s v="No"/>
    <x v="53"/>
    <s v="Renuncia voluntaria"/>
    <m/>
    <m/>
    <x v="1"/>
    <n v="56"/>
    <n v="28.577777777777779"/>
  </r>
  <r>
    <n v="241"/>
    <x v="216"/>
    <s v="López Rivera"/>
    <s v="Cédula de ciudadanía"/>
    <n v="1130660791"/>
    <s v="Empleado"/>
    <s v="Término indefinido"/>
    <x v="117"/>
    <m/>
    <s v="Mensual"/>
    <n v="1300000"/>
    <s v="Si"/>
    <s v="Centro de trabajo Riesgo 3"/>
    <s v="Si"/>
    <s v="alice.roxette@gmail.com"/>
    <m/>
    <s v="Transferencia Bancaria"/>
    <s v="Nequi"/>
    <s v="Cuenta de Ahorros"/>
    <n v="3187359764"/>
    <x v="201"/>
    <s v="Cra 21 # 63-32 B/ ARTURO LOPEZ"/>
    <n v="3208015567"/>
    <s v="Armenia"/>
    <s v="Ventas"/>
    <x v="70"/>
    <s v="Ventas"/>
    <s v="Sanitas"/>
    <s v="Porvenir"/>
    <s v="Porvenir"/>
    <x v="18"/>
    <s v="Mujer"/>
    <s v="ordinario"/>
    <s v="Si"/>
    <n v="182828"/>
    <s v="No"/>
    <s v="No aplica"/>
    <s v="No aplica"/>
    <s v="No"/>
    <s v="No aplica"/>
    <s v="No"/>
    <x v="54"/>
    <s v="Periodo de prueba"/>
    <m/>
    <m/>
    <x v="1"/>
    <n v="60"/>
    <n v="36.130555555555553"/>
  </r>
  <r>
    <n v="242"/>
    <x v="217"/>
    <s v="Hoyos Agudelo"/>
    <s v="Cédula de ciudadanía"/>
    <n v="67007510"/>
    <s v="Empleado"/>
    <s v="Término indefinido"/>
    <x v="117"/>
    <m/>
    <s v="Mensual"/>
    <n v="1300000"/>
    <s v="Si"/>
    <s v="Centro de trabajo Riesgo 3"/>
    <s v="Si"/>
    <s v="amparohoyosagudelo@gmail.com"/>
    <m/>
    <s v="Transferencia Bancaria"/>
    <s v="Bancolombia"/>
    <s v="Cuenta de Ahorros"/>
    <n v="1872827214"/>
    <x v="89"/>
    <s v="CL 47 # 72A - 29"/>
    <n v="3157236075"/>
    <s v="Armenia"/>
    <s v="Ventas"/>
    <x v="70"/>
    <s v="Ventas"/>
    <s v="EPS Sura"/>
    <s v="Porvenir"/>
    <s v="Porvenir"/>
    <x v="18"/>
    <s v="Mujer"/>
    <s v="ordinario"/>
    <s v="No"/>
    <m/>
    <s v="No"/>
    <s v="No aplica"/>
    <s v="No aplica"/>
    <s v="No"/>
    <s v="No aplica"/>
    <s v="No"/>
    <x v="55"/>
    <s v="Renuncia voluntaria"/>
    <m/>
    <m/>
    <x v="1"/>
    <n v="86"/>
    <n v="46.644444444444446"/>
  </r>
  <r>
    <n v="243"/>
    <x v="41"/>
    <s v="Cely Rivera"/>
    <s v="Cédula de ciudadanía"/>
    <n v="94285592"/>
    <s v="Empleado"/>
    <s v="Término indefinido"/>
    <x v="118"/>
    <m/>
    <s v="Mensual"/>
    <n v="2500000"/>
    <s v="No"/>
    <s v="Centro de trabajo Riesgo 4"/>
    <s v="Si"/>
    <s v="jcrivera646@gmail.com"/>
    <m/>
    <s v="Transferencia Bancaria"/>
    <s v="Banco AV Villas"/>
    <s v="Cuenta de Ahorros"/>
    <n v="314806147"/>
    <x v="202"/>
    <s v="Ciudadela del Café Torre 4B Apto 305"/>
    <n v="3114607815"/>
    <s v="Armenia"/>
    <s v="Operativa"/>
    <x v="3"/>
    <s v="Operativo"/>
    <s v="ADRES (regímenes especiales)"/>
    <s v="Porvenir"/>
    <s v="Porvenir"/>
    <x v="14"/>
    <s v="Hombre"/>
    <s v="ordinario"/>
    <m/>
    <m/>
    <s v="Si"/>
    <s v="Hijos"/>
    <m/>
    <s v="Si"/>
    <s v="Hijos"/>
    <m/>
    <x v="49"/>
    <m/>
    <m/>
    <m/>
    <x v="1"/>
    <n v="14"/>
    <n v="45.788888888888891"/>
  </r>
  <r>
    <n v="244"/>
    <x v="218"/>
    <s v="Granada Gomez"/>
    <s v="Cédula de ciudadanía"/>
    <n v="1216725696"/>
    <s v="Empleado"/>
    <s v="Término indefinido"/>
    <x v="119"/>
    <m/>
    <s v="Mensual"/>
    <n v="1360000"/>
    <s v="Si"/>
    <s v="Centro de trabajo Riesgo 3"/>
    <m/>
    <s v="dayanna.gomez19@icloud.com"/>
    <m/>
    <s v="Transferencia Bancaria"/>
    <s v="Bancolombia"/>
    <s v="Cuenta de Ahorros"/>
    <s v="3166500734"/>
    <x v="203"/>
    <s v="Carrera 44 # 50 - 86 Apto 101 Torre 3 Camino del Puerto "/>
    <s v="3127231322"/>
    <s v="La Cava Terraza"/>
    <s v="Administrativa"/>
    <x v="82"/>
    <s v="Administrativo"/>
    <s v="EPS Sura"/>
    <s v="Protección"/>
    <s v="Protección"/>
    <x v="20"/>
    <s v="Mujer"/>
    <s v="dirección, confianza y/o manejo"/>
    <s v="No"/>
    <m/>
    <s v="Si"/>
    <m/>
    <m/>
    <m/>
    <m/>
    <m/>
    <x v="0"/>
    <m/>
    <m/>
    <m/>
    <x v="0"/>
    <n v="155"/>
    <n v="26.125"/>
  </r>
  <r>
    <n v="245"/>
    <x v="219"/>
    <s v="Baracaldo Betancourt"/>
    <s v="Cédula de ciudadanía"/>
    <n v="1192924584"/>
    <s v="Empleado"/>
    <s v="Término indefinido"/>
    <x v="119"/>
    <m/>
    <s v="Mensual"/>
    <n v="1400000"/>
    <s v="Si"/>
    <s v="Centro de trabajo Riesgo 3"/>
    <m/>
    <s v="miltonbaracaldo@gmail.com"/>
    <m/>
    <s v="Transferencia Bancaria"/>
    <s v="Bancolombia"/>
    <s v="Cuenta de Ahorros"/>
    <s v="16732393092"/>
    <x v="204"/>
    <s v="Nisa Bulevar Bloque 1 Apto 504"/>
    <s v="3154352476"/>
    <s v="La Cava Terraza"/>
    <s v="Servicio"/>
    <x v="83"/>
    <s v="Mano de Obra Directa"/>
    <s v="EPS Sura"/>
    <s v="Protección"/>
    <s v="Protección"/>
    <x v="20"/>
    <s v="Hombre"/>
    <s v="ordinario"/>
    <s v="No"/>
    <m/>
    <s v="No"/>
    <s v="No aplica"/>
    <s v="No aplica"/>
    <s v="No"/>
    <s v="No aplica"/>
    <s v="No aplica"/>
    <x v="56"/>
    <s v="Renuncia voluntaria"/>
    <m/>
    <m/>
    <x v="1"/>
    <n v="130"/>
    <n v="23.230555555555554"/>
  </r>
  <r>
    <n v="246"/>
    <x v="220"/>
    <s v="Agudelo Arenas"/>
    <s v="Cédula de ciudadanía"/>
    <n v="1094890839"/>
    <s v="Empleado"/>
    <s v="Término indefinido"/>
    <x v="119"/>
    <m/>
    <s v="Mensual"/>
    <n v="1300000"/>
    <s v="Si"/>
    <s v="Centro de trabajo Riesgo 3"/>
    <m/>
    <s v="carlosandres_827@hotmail.com"/>
    <m/>
    <s v="Transferencia Bancaria"/>
    <s v="Bancolombia"/>
    <s v="Cuenta de Ahorros"/>
    <s v="33419304463"/>
    <x v="205"/>
    <s v="Barrio Monteblanco 3 etapa Mz D casa 6"/>
    <s v="3225190323"/>
    <s v="La Cava Terraza"/>
    <s v="Cocina"/>
    <x v="84"/>
    <s v="Mano de Obra Directa"/>
    <s v="EPS Sura"/>
    <s v="Protección"/>
    <s v="Protección"/>
    <x v="20"/>
    <s v="Hombre"/>
    <s v="ordinario"/>
    <s v="Si"/>
    <n v="499394"/>
    <s v="No"/>
    <s v="No aplica"/>
    <s v="No aplica"/>
    <s v="No"/>
    <s v="No aplica"/>
    <m/>
    <x v="0"/>
    <m/>
    <m/>
    <m/>
    <x v="0"/>
    <n v="155"/>
    <n v="36.602777777777774"/>
  </r>
  <r>
    <n v="247"/>
    <x v="221"/>
    <s v="Mosquera Camilo"/>
    <s v="Cédula de ciudadanía"/>
    <n v="1094878736"/>
    <s v="Empleado"/>
    <s v="Término indefinido"/>
    <x v="119"/>
    <m/>
    <s v="Mensual"/>
    <n v="1300000"/>
    <s v="Si"/>
    <s v="Centro de trabajo Riesgo 3"/>
    <s v="Si"/>
    <s v="mosquera.sofi2004@gmail.com"/>
    <m/>
    <s v="Transferencia Bancaria"/>
    <s v="Daviplata"/>
    <s v="Cuenta de Ahorros"/>
    <n v="3136673904"/>
    <x v="206"/>
    <s v="Salvador Allende alto #502"/>
    <n v="3136673904"/>
    <s v="Restaurante El Solar"/>
    <s v="Servicio y producción"/>
    <x v="19"/>
    <s v="Mano de Obra Directa "/>
    <s v="Nueva EPS"/>
    <s v="Porvenir"/>
    <s v="Porvenir"/>
    <x v="3"/>
    <s v="Mujer"/>
    <s v="ordinario"/>
    <s v="No"/>
    <m/>
    <s v="No"/>
    <s v="No aplica"/>
    <s v="No aplica"/>
    <s v="No"/>
    <s v="No aplica"/>
    <s v="No"/>
    <x v="57"/>
    <s v="Renuncia voluntaria"/>
    <m/>
    <m/>
    <x v="1"/>
    <n v="115"/>
    <n v="20.138888888888889"/>
  </r>
  <r>
    <n v="248"/>
    <x v="222"/>
    <s v="Coneo Pereira"/>
    <s v="Cédula de ciudadanía"/>
    <n v="50981747"/>
    <s v="Empleado"/>
    <s v="Término indefinido"/>
    <x v="119"/>
    <m/>
    <s v="Mensual"/>
    <n v="2000000"/>
    <s v="Si"/>
    <s v="Centro de trabajo Riesgo 3"/>
    <s v="Si"/>
    <s v="amanda_787patricia@hotmail.com"/>
    <m/>
    <s v="Transferencia Bancaria"/>
    <s v="Nequi"/>
    <s v="Cuenta de Ahorros"/>
    <n v="3046642585"/>
    <x v="207"/>
    <s v="Diag 25 # 2B-29 Barrio Santa Lucía Montería (Córdoba)"/>
    <n v="3046642585"/>
    <s v="Monteria"/>
    <s v="Ventas"/>
    <x v="85"/>
    <s v="Ventas"/>
    <s v="Mutual Ser"/>
    <s v="Porvenir"/>
    <s v="Porvenir"/>
    <x v="18"/>
    <s v="Mujer"/>
    <s v="ordinario"/>
    <s v="Si"/>
    <n v="400000"/>
    <s v="No"/>
    <s v="No aplica"/>
    <s v="No aplica"/>
    <s v="No"/>
    <s v="No aplica"/>
    <s v="No"/>
    <x v="58"/>
    <s v="Terminación con justa causa"/>
    <m/>
    <m/>
    <x v="1"/>
    <n v="43"/>
    <n v="45.083333333333336"/>
  </r>
  <r>
    <n v="249"/>
    <x v="223"/>
    <s v="Alonso Sanchez"/>
    <s v="Cédula de ciudadanía"/>
    <n v="1097338846"/>
    <s v="Empleado"/>
    <s v="Término indefinido"/>
    <x v="120"/>
    <m/>
    <s v="Mensual"/>
    <n v="1300000"/>
    <s v="Si"/>
    <s v="Centro de trabajo Riesgo 3"/>
    <m/>
    <s v="valentinaasanchez271@gmail.com"/>
    <m/>
    <s v="Transferencia Bancaria"/>
    <s v="Nequi"/>
    <s v="Cuenta de Ahorros"/>
    <s v="3226703979"/>
    <x v="208"/>
    <s v="via al caimo verede marmato los coches "/>
    <s v="3226703979"/>
    <s v="La Cava Terraza"/>
    <s v="Cocina"/>
    <x v="19"/>
    <s v="Mano de Obra Directa"/>
    <s v="Nueva EPS"/>
    <s v="Protección"/>
    <s v="Protección"/>
    <x v="20"/>
    <s v="Mujer"/>
    <s v="ordinario"/>
    <s v="No"/>
    <m/>
    <s v="No"/>
    <s v="No aplica"/>
    <s v="No aplica"/>
    <s v="No"/>
    <s v="No aplica"/>
    <s v="No aplica"/>
    <x v="0"/>
    <m/>
    <m/>
    <m/>
    <x v="0"/>
    <n v="140"/>
    <n v="19.780555555555555"/>
  </r>
  <r>
    <n v="250"/>
    <x v="224"/>
    <s v="Salazar Mesa"/>
    <s v="Cédula de ciudadanía"/>
    <n v="1094934763"/>
    <s v="Empleado"/>
    <s v="Término indefinido"/>
    <x v="120"/>
    <m/>
    <s v="Mensual"/>
    <n v="1300000"/>
    <s v="Si"/>
    <s v="Centro de trabajo Riesgo 3"/>
    <m/>
    <s v="sebitas.salazarm@gmail.com"/>
    <m/>
    <s v="Transferencia Bancaria"/>
    <s v="Bancolombia"/>
    <s v="Cuenta de Ahorros"/>
    <s v="03217190851"/>
    <x v="209"/>
    <s v="Barrio Modelo Mz E casa 20 Armenia"/>
    <s v="3217190851"/>
    <s v="La Cava Terraza"/>
    <s v="Cocina"/>
    <x v="19"/>
    <s v="Mano de Obra Directa"/>
    <s v="Salud Total"/>
    <s v="Protección"/>
    <s v="Protección"/>
    <x v="20"/>
    <s v="Hombre"/>
    <s v="ordinario"/>
    <s v="No"/>
    <m/>
    <s v="No"/>
    <s v="No aplica"/>
    <s v="No aplica"/>
    <s v="No"/>
    <s v="No aplica"/>
    <s v="No aplica"/>
    <x v="59"/>
    <s v="Renuncia voluntaria"/>
    <m/>
    <m/>
    <x v="1"/>
    <n v="137"/>
    <n v="30.927777777777777"/>
  </r>
  <r>
    <n v="251"/>
    <x v="17"/>
    <s v="Granados Velasco"/>
    <s v="Cédula de ciudadanía"/>
    <n v="1094965000"/>
    <s v="Empleado"/>
    <s v="Término indefinido"/>
    <x v="120"/>
    <m/>
    <s v="Mensual"/>
    <n v="1300000"/>
    <s v="Si"/>
    <s v="Centro de trabajo Riesgo 3"/>
    <s v="Si"/>
    <s v="mariaalejandragranados1997@gmail.com"/>
    <m/>
    <s v="Transferencia Bancaria"/>
    <s v="Daviplata"/>
    <s v="Cuenta de Ahorros"/>
    <n v="3044891250"/>
    <x v="210"/>
    <s v="Puerto Espejo Bloques de Consota Bloque B - Apto 405"/>
    <n v="3044891250"/>
    <s v="Restaurante El Solar"/>
    <s v="Servicio y producción"/>
    <x v="19"/>
    <s v="Mano de Obra Directa"/>
    <s v="Nueva EPS"/>
    <s v="Protección"/>
    <s v="Protección"/>
    <x v="3"/>
    <s v="Mujer"/>
    <s v="ordinario"/>
    <s v="No"/>
    <m/>
    <s v="Si"/>
    <s v="Padres"/>
    <s v="No aplica"/>
    <s v="Si"/>
    <s v="Hijos"/>
    <s v="No"/>
    <x v="0"/>
    <m/>
    <m/>
    <m/>
    <x v="0"/>
    <n v="140"/>
    <n v="26.555555555555557"/>
  </r>
  <r>
    <n v="252"/>
    <x v="225"/>
    <s v="García Hurtado "/>
    <s v="Cédula de ciudadanía"/>
    <n v="1110515711"/>
    <s v="Empleado"/>
    <s v="Término indefinido"/>
    <x v="121"/>
    <m/>
    <s v="Mensual"/>
    <n v="1300000"/>
    <s v="Si"/>
    <s v="Centro de trabajo Riesgo 3"/>
    <m/>
    <s v="lorenagarcia2804@hotmail.com"/>
    <m/>
    <s v="Transferencia Bancaria"/>
    <s v="Banco Davivienda"/>
    <s v="Cuenta de Ahorros"/>
    <n v="550488447599906"/>
    <x v="211"/>
    <s v="Villa Carolina 1 etapa mza ñ casa 16"/>
    <n v="3154657416"/>
    <s v="Armenia"/>
    <s v="Ventas"/>
    <x v="37"/>
    <s v="Ventas"/>
    <s v="Sanitas"/>
    <s v="Protección"/>
    <s v="Porvenir"/>
    <x v="0"/>
    <s v="Mujer"/>
    <s v="ordinario"/>
    <s v="No"/>
    <m/>
    <s v="No"/>
    <m/>
    <s v="No"/>
    <s v="No"/>
    <m/>
    <s v="No"/>
    <x v="60"/>
    <m/>
    <m/>
    <m/>
    <x v="1"/>
    <n v="21"/>
    <n v="32.62222222222222"/>
  </r>
  <r>
    <n v="253"/>
    <x v="226"/>
    <s v="Infante Infante"/>
    <s v="Permiso por protección  temporal"/>
    <n v="750087"/>
    <s v="Empleado"/>
    <s v="Término indefinido"/>
    <x v="122"/>
    <m/>
    <s v="Mensual"/>
    <n v="1300000"/>
    <s v="Si"/>
    <s v="Centro de trabajo Riesgo 4"/>
    <m/>
    <s v="Jhoninfante22@gmail.com"/>
    <m/>
    <s v="Transferencia Bancaria"/>
    <s v="Banco Davivienda"/>
    <s v="Cuenta de Ahorros"/>
    <n v="570136270182001"/>
    <x v="212"/>
    <s v="Recreo mz i # 21 apto 4"/>
    <n v="3023338010"/>
    <s v="Armenia"/>
    <s v="Operativa"/>
    <x v="86"/>
    <s v="Operativo"/>
    <s v="EPS Sura"/>
    <s v="Protección"/>
    <s v="Porvenir"/>
    <x v="0"/>
    <s v="Hombre"/>
    <s v="ordinario"/>
    <s v="No"/>
    <m/>
    <s v="Si"/>
    <s v="Hijos"/>
    <s v="Si"/>
    <s v="Si"/>
    <s v="Hijos"/>
    <s v="Si"/>
    <x v="0"/>
    <m/>
    <m/>
    <m/>
    <x v="0"/>
    <n v="135"/>
    <n v="37.81111111111111"/>
  </r>
  <r>
    <n v="254"/>
    <x v="227"/>
    <s v="Lenis Marín"/>
    <s v="Cédula de ciudadanía"/>
    <n v="1113306827"/>
    <s v="Empleado"/>
    <s v="Término indefinido"/>
    <x v="122"/>
    <m/>
    <s v="Mensual"/>
    <n v="1300000"/>
    <s v="Si"/>
    <s v="Centro de trabajo Riesgo 3"/>
    <m/>
    <s v="juancholenis123@hotmail.com"/>
    <m/>
    <s v="Transferencia Bancaria"/>
    <s v="Banco Davivienda"/>
    <s v="Cuenta de Ahorros"/>
    <n v="550488423959672"/>
    <x v="213"/>
    <s v="Barrio Villa Jerusalem Mz C casa 3 - Montenegro "/>
    <n v="3223655149"/>
    <s v="La Cava Terraza"/>
    <s v="Ventas"/>
    <x v="87"/>
    <s v="Mano de Obra Directa"/>
    <s v="Sanitas"/>
    <s v="Protección"/>
    <s v="Protección"/>
    <x v="20"/>
    <s v="Hombre"/>
    <s v="dirección, confianza y/o manejo"/>
    <s v="No"/>
    <m/>
    <s v="Si"/>
    <s v="Hijos"/>
    <s v="Si"/>
    <s v="Si"/>
    <s v="Hijos"/>
    <s v="Si"/>
    <x v="0"/>
    <m/>
    <m/>
    <m/>
    <x v="0"/>
    <n v="135"/>
    <n v="33.705555555555556"/>
  </r>
  <r>
    <n v="255"/>
    <x v="228"/>
    <s v="Ramírez Ramírez "/>
    <s v="Cédula de ciudadanía"/>
    <n v="25023439"/>
    <s v="Empleado"/>
    <s v="Término indefinido"/>
    <x v="122"/>
    <m/>
    <s v="Mensual"/>
    <n v="1300000"/>
    <s v="No"/>
    <s v="Centro de trabajo Riesgo 3"/>
    <m/>
    <s v="paty-1977@hotmail.com"/>
    <m/>
    <s v="Transferencia Bancaria"/>
    <s v="Bancolombia"/>
    <s v="Cuenta de Ahorros"/>
    <n v="3218476514"/>
    <x v="214"/>
    <s v="Ciudadela del Sol Manzana B casa 3 bajo"/>
    <n v="3218476514"/>
    <s v="Montenegro"/>
    <s v="Operativa"/>
    <x v="88"/>
    <s v="Mano de Obra Directa"/>
    <s v="Sanitas"/>
    <s v="Protección"/>
    <s v="Protección"/>
    <x v="21"/>
    <s v="Mujer"/>
    <s v="ordinario"/>
    <m/>
    <m/>
    <m/>
    <m/>
    <m/>
    <m/>
    <m/>
    <m/>
    <x v="0"/>
    <m/>
    <m/>
    <m/>
    <x v="0"/>
    <n v="135"/>
    <n v="46.905555555555559"/>
  </r>
  <r>
    <n v="256"/>
    <x v="229"/>
    <s v="Luna Orozco"/>
    <s v="Cédula de ciudadanía"/>
    <n v="18465810"/>
    <s v="Empleado"/>
    <s v="Término indefinido"/>
    <x v="122"/>
    <m/>
    <s v="Mensual"/>
    <n v="1300000"/>
    <s v="No"/>
    <s v="Centro de trabajo Riesgo 3"/>
    <m/>
    <s v="Joacoluna3@hotmail.com"/>
    <m/>
    <s v="Transferencia Bancaria"/>
    <s v="Bancolombia"/>
    <s v="Cuenta de Ahorros"/>
    <n v="86595971049"/>
    <x v="215"/>
    <s v="Ciudadela del Sol Manzana B casa 3 bajo"/>
    <n v="3127310504"/>
    <s v="Montenegro"/>
    <s v="Operativa"/>
    <x v="47"/>
    <s v="Mano de Obra Directa"/>
    <s v="Sanitas"/>
    <s v="Protección"/>
    <s v="Protección"/>
    <x v="21"/>
    <s v="Hombre"/>
    <s v="ordinario"/>
    <m/>
    <m/>
    <m/>
    <m/>
    <m/>
    <m/>
    <m/>
    <m/>
    <x v="0"/>
    <m/>
    <m/>
    <m/>
    <x v="0"/>
    <n v="135"/>
    <n v="53.591666666666669"/>
  </r>
  <r>
    <n v="257"/>
    <x v="230"/>
    <s v="Villamizar Cardenas "/>
    <s v="Cédula de ciudadanía"/>
    <n v="1094954993"/>
    <s v="Empleado"/>
    <s v="Término indefinido"/>
    <x v="123"/>
    <m/>
    <s v="Mensual"/>
    <n v="1300000"/>
    <s v="Si"/>
    <s v="Centro de trabajo Riesgo 3"/>
    <s v="Si"/>
    <s v="villamizarmarlyn@gmail.com"/>
    <m/>
    <s v="Transferencia Bancaria"/>
    <s v="Bancolombia"/>
    <s v="Cuenta de Ahorros"/>
    <n v="23222783040"/>
    <x v="216"/>
    <s v="Barrio Simon Bolivar Mz 21 Casa 13 Armenia, Q. "/>
    <n v="3222783040"/>
    <s v="Restaurante El Solar"/>
    <s v="Servicio y producción"/>
    <x v="19"/>
    <s v="Mano de Obra Directa"/>
    <s v="Nueva EPS"/>
    <s v="Porvenir"/>
    <s v="Porvenir"/>
    <x v="3"/>
    <s v="Mujer"/>
    <s v="ordinario"/>
    <s v="No"/>
    <m/>
    <s v="Si"/>
    <s v="Hijos"/>
    <s v="No aplica"/>
    <s v="Si"/>
    <s v="Hijos"/>
    <s v="No"/>
    <x v="61"/>
    <s v="Renuncia voluntaria"/>
    <m/>
    <m/>
    <x v="1"/>
    <n v="63"/>
    <n v="28.213888888888889"/>
  </r>
  <r>
    <n v="258"/>
    <x v="231"/>
    <s v="Arboleda Cifuentes"/>
    <s v="Cédula de ciudadanía"/>
    <n v="1107518697"/>
    <s v="Empleado"/>
    <s v="Término indefinido"/>
    <x v="124"/>
    <m/>
    <s v="Mensual"/>
    <n v="1300000"/>
    <s v="Si"/>
    <s v="Centro de trabajo Riesgo 3"/>
    <m/>
    <s v="arboledacifuentesnathalia@gmail.com"/>
    <m/>
    <s v="Transferencia Bancaria"/>
    <s v="Bancolombia"/>
    <s v="Cuenta de Ahorros"/>
    <n v="81028417152"/>
    <x v="217"/>
    <s v="B/ Villa Sofía mz C # 11 segundo piso - Armenia, Q. "/>
    <n v="3232320197"/>
    <s v="La Cava Terraza"/>
    <s v="Administrativa"/>
    <x v="89"/>
    <s v="Mano de Obra Directa"/>
    <s v="EPS Sura"/>
    <s v="Porvenir"/>
    <s v="Porvenir"/>
    <x v="20"/>
    <s v="Mujer"/>
    <s v="ordinario"/>
    <s v="No"/>
    <m/>
    <s v="Si"/>
    <s v="Padres"/>
    <s v="Si"/>
    <s v="Si"/>
    <s v="Padres"/>
    <s v="Si"/>
    <x v="0"/>
    <m/>
    <m/>
    <m/>
    <x v="0"/>
    <n v="127"/>
    <n v="25.81111111111111"/>
  </r>
  <r>
    <n v="259"/>
    <x v="8"/>
    <s v="Briñez Alvarez"/>
    <s v="Cédula de ciudadanía"/>
    <n v="18420202"/>
    <s v="Empleado"/>
    <s v="Término indefinido"/>
    <x v="125"/>
    <m/>
    <s v="Mensual"/>
    <n v="1300000"/>
    <s v="No"/>
    <s v="Centro de trabajo Riesgo 2"/>
    <m/>
    <s v="jhonbriñez@gmail.com"/>
    <m/>
    <s v="Transferencia Bancaria"/>
    <s v="Bancolombia"/>
    <s v="Cuenta de Ahorros"/>
    <s v="91244322129"/>
    <x v="218"/>
    <s v="Barrio comuneros MZ 5 Casa 9"/>
    <s v="3137863500"/>
    <s v="Quindio"/>
    <s v="Operativa"/>
    <x v="22"/>
    <s v="Mano de Obra Directa"/>
    <s v="Nueva EPS"/>
    <s v="Porvenir"/>
    <s v="Porvenir"/>
    <x v="6"/>
    <s v="Hombre"/>
    <s v="ordinario"/>
    <s v="Si"/>
    <n v="332800"/>
    <s v="No "/>
    <s v="No aplica"/>
    <s v="No aplica"/>
    <s v="No"/>
    <s v="No aplica"/>
    <s v="No aplica"/>
    <x v="0"/>
    <m/>
    <m/>
    <m/>
    <x v="0"/>
    <n v="125"/>
    <n v="40.6"/>
  </r>
  <r>
    <n v="260"/>
    <x v="232"/>
    <s v="Reina Claros"/>
    <s v="Cédula de ciudadanía"/>
    <n v="1029980838"/>
    <s v="Empleado"/>
    <s v="Término indefinido"/>
    <x v="125"/>
    <m/>
    <s v="Mensual"/>
    <n v="1300000"/>
    <s v="Si"/>
    <s v="Centro de trabajo Riesgo 3"/>
    <m/>
    <s v="sofiareinaclaros@gmail.com"/>
    <m/>
    <s v="Transferencia Bancaria"/>
    <s v="Nequi"/>
    <s v="Cuenta de Ahorros"/>
    <n v="3227457926"/>
    <x v="219"/>
    <s v="Vereda Marmato Finca la Zulia"/>
    <s v="3227457926"/>
    <s v="La Cava Terraza"/>
    <s v="Cocina"/>
    <x v="90"/>
    <s v="Mano de Obra Directa"/>
    <s v="Asmet Salud"/>
    <s v="Porvenir"/>
    <s v="Porvenir"/>
    <x v="20"/>
    <s v="Mujer"/>
    <s v="ordinario"/>
    <s v="No"/>
    <m/>
    <s v="No"/>
    <s v="No aplica"/>
    <s v="Si"/>
    <s v="No"/>
    <m/>
    <m/>
    <x v="53"/>
    <s v="Terminación con justa causa"/>
    <m/>
    <m/>
    <x v="1"/>
    <n v="14"/>
    <n v="18.880555555555556"/>
  </r>
  <r>
    <n v="261"/>
    <x v="233"/>
    <s v="Osorio Perez"/>
    <s v="Cédula de ciudadanía"/>
    <n v="1020422416"/>
    <s v="Empleado"/>
    <s v="Término indefinido"/>
    <x v="126"/>
    <m/>
    <s v="Mensual"/>
    <n v="1300000"/>
    <s v="Si"/>
    <s v="Centro de trabajo Riesgo 3"/>
    <s v="Si"/>
    <s v="tatis0102.2015@gmail.com"/>
    <m/>
    <s v="Efectivo"/>
    <m/>
    <m/>
    <m/>
    <x v="220"/>
    <s v="Cra 32#86-30 Manrique Medellin Apto 401"/>
    <n v="3226788865"/>
    <s v="Medellin"/>
    <s v="Comercial"/>
    <x v="91"/>
    <s v="Ventas"/>
    <s v="Nueva EPS"/>
    <s v="Protección"/>
    <s v="Protección"/>
    <x v="18"/>
    <s v="Mujer"/>
    <s v="ordinario"/>
    <s v="No"/>
    <m/>
    <s v="Si"/>
    <s v="Hijos"/>
    <s v="Si"/>
    <s v="Si"/>
    <s v="Hijos"/>
    <s v="Si"/>
    <x v="4"/>
    <s v="Renuncia voluntaria"/>
    <m/>
    <m/>
    <x v="1"/>
    <n v="57"/>
    <n v="34.93611111111111"/>
  </r>
  <r>
    <n v="262"/>
    <x v="234"/>
    <s v="Herrera Gonzalez"/>
    <s v="Cédula de ciudadanía"/>
    <n v="1022362802"/>
    <s v="Empleado"/>
    <s v="Término indefinido"/>
    <x v="127"/>
    <m/>
    <s v="Mensual"/>
    <n v="2500000"/>
    <s v="No"/>
    <s v="Centro de trabajo Riesgo 1"/>
    <s v="Si"/>
    <s v="dayanc1614@hotmail.com"/>
    <m/>
    <s v="Transferencia Bancaria"/>
    <s v="Banco Davivienda"/>
    <s v="Cuenta de Ahorros"/>
    <s v="138000075018"/>
    <x v="221"/>
    <s v="cra 14 # 50n-60"/>
    <s v="3115356000"/>
    <s v="LOS ALAMOS"/>
    <s v="Producción"/>
    <x v="82"/>
    <s v="Administrativo"/>
    <s v="EPS Sura"/>
    <s v="Protección"/>
    <s v="Protección"/>
    <x v="11"/>
    <s v="Mujer"/>
    <s v="dirección, confianza y/o manejo"/>
    <s v="Si"/>
    <n v="500000"/>
    <s v="No"/>
    <s v="No aplica"/>
    <s v="No aplica"/>
    <s v="No"/>
    <s v="No aplica"/>
    <s v="No aplica"/>
    <x v="0"/>
    <m/>
    <m/>
    <m/>
    <x v="0"/>
    <n v="115"/>
    <n v="33.994444444444447"/>
  </r>
  <r>
    <n v="263"/>
    <x v="235"/>
    <s v="Solarte Muñoz"/>
    <s v="Cédula de ciudadanía"/>
    <n v="24499346"/>
    <s v="Empleado"/>
    <s v="Término indefinido"/>
    <x v="127"/>
    <m/>
    <s v="Mensual"/>
    <n v="1300000"/>
    <s v="Si"/>
    <s v="Centro de trabajo Riesgo 1"/>
    <s v="Si"/>
    <s v="acgarcias@uqvirtual.edu.co"/>
    <m/>
    <s v="Transferencia Bancaria"/>
    <s v="Daviplata"/>
    <s v="Cuenta de Ahorros"/>
    <s v="3137452854"/>
    <x v="222"/>
    <s v="Barrio los alpes cra 4 # 15-19 Tebaida"/>
    <s v="3137452854"/>
    <s v="LOS ALAMOS"/>
    <s v="Servicio"/>
    <x v="88"/>
    <s v="Mano de Obra Directa"/>
    <s v="S.O.S. Servicio Occidental de Salud S.A."/>
    <s v="Porvenir"/>
    <s v="Porvenir"/>
    <x v="11"/>
    <s v="Mujer"/>
    <s v="dirección, confianza y/o manejo"/>
    <s v="No"/>
    <m/>
    <s v="No "/>
    <s v="No aplica"/>
    <s v="No aplica"/>
    <s v="No"/>
    <s v="No aplica"/>
    <s v="No aplica"/>
    <x v="0"/>
    <m/>
    <m/>
    <m/>
    <x v="0"/>
    <n v="115"/>
    <n v="50.966666666666669"/>
  </r>
  <r>
    <n v="264"/>
    <x v="236"/>
    <s v="Sabogal Londoño"/>
    <s v="Cédula de ciudadanía"/>
    <n v="41930358"/>
    <s v="Empleado"/>
    <s v="Término indefinido"/>
    <x v="128"/>
    <m/>
    <s v="Mensual"/>
    <n v="1300000"/>
    <s v="Si"/>
    <s v="Centro de trabajo Riesgo 4"/>
    <m/>
    <s v="noreya321sabogal@hotmail.com"/>
    <m/>
    <s v="Transferencia Bancaria"/>
    <s v="Banco Davivienda"/>
    <s v="Cuenta de Ahorros"/>
    <s v="0550136000957540"/>
    <x v="223"/>
    <s v="villa de las Américas MZ B Casa13"/>
    <n v="3105138924"/>
    <s v="Armenia"/>
    <s v="Ventas"/>
    <x v="37"/>
    <s v="Armenia Ventas"/>
    <s v="EPS Sura"/>
    <s v="Protección"/>
    <s v="Porvenir"/>
    <x v="0"/>
    <s v="Mujer"/>
    <s v="ordinario"/>
    <s v="No"/>
    <m/>
    <m/>
    <m/>
    <m/>
    <m/>
    <m/>
    <m/>
    <x v="0"/>
    <m/>
    <m/>
    <m/>
    <x v="0"/>
    <n v="114"/>
    <n v="50.147222222222226"/>
  </r>
  <r>
    <n v="265"/>
    <x v="16"/>
    <s v="Berrio Martinez"/>
    <s v="Cédula de ciudadanía"/>
    <n v="1094935528"/>
    <s v="Empleado"/>
    <s v="Término indefinido"/>
    <x v="129"/>
    <m/>
    <s v="Mensual"/>
    <n v="1300000"/>
    <s v="No"/>
    <s v="Centro de trabajo Riesgo 1"/>
    <s v="Si"/>
    <s v="liz_berri_15@hotmail.com"/>
    <m/>
    <s v="Transferencia Bancaria"/>
    <s v="Daviplata"/>
    <s v="Cuenta de Ahorros"/>
    <s v="3113657787"/>
    <x v="224"/>
    <s v="Entre verdes MZ 8 CASA 9 Armenia"/>
    <s v="3113657787"/>
    <s v="LOS ALAMOS"/>
    <s v="Servicio"/>
    <x v="92"/>
    <s v="Mano de Obra Directa"/>
    <s v="EPS Sura"/>
    <s v="Porvenir"/>
    <s v="Porvenir"/>
    <x v="11"/>
    <s v="Mujer"/>
    <s v="dirección, confianza y/o manejo"/>
    <s v="No"/>
    <m/>
    <s v="No "/>
    <s v="No aplica"/>
    <s v="No aplica"/>
    <s v="No"/>
    <s v="No aplica"/>
    <s v="No aplica"/>
    <x v="23"/>
    <s v="Renuncia voluntaria"/>
    <m/>
    <m/>
    <x v="1"/>
    <n v="77"/>
    <n v="30.802777777777777"/>
  </r>
  <r>
    <n v="266"/>
    <x v="237"/>
    <s v="Molina Franco"/>
    <s v="Cédula de ciudadanía"/>
    <n v="1098312188"/>
    <s v="Empleado"/>
    <s v="Término indefinido"/>
    <x v="130"/>
    <m/>
    <s v="Mensual"/>
    <n v="1300000"/>
    <s v="Si"/>
    <s v="Centro de trabajo Riesgo 5"/>
    <s v="Si"/>
    <s v="ppmolinaf@uqvirtual.edu.co"/>
    <m/>
    <s v="Transferencia Bancaria"/>
    <s v="Daviplata"/>
    <s v="Cuenta de Ahorros"/>
    <s v="3207890604"/>
    <x v="225"/>
    <s v="Mzn 5, calle 5 #6-54 barrio la pista Circasia"/>
    <s v="3207890604"/>
    <s v="LOS ALAMOS"/>
    <s v="Servicio"/>
    <x v="93"/>
    <s v="Mano de Obra Directa"/>
    <s v="Nueva EPS"/>
    <s v="Protección"/>
    <s v="Protección"/>
    <x v="11"/>
    <s v="Hombre"/>
    <s v="dirección, confianza y/o manejo"/>
    <s v="No"/>
    <m/>
    <s v="No "/>
    <s v="No aplica"/>
    <s v="No aplica"/>
    <s v="No"/>
    <s v="No aplica"/>
    <s v="No aplica"/>
    <x v="62"/>
    <s v="Periodo de prueba"/>
    <m/>
    <m/>
    <x v="1"/>
    <n v="24"/>
    <n v="27.094444444444445"/>
  </r>
  <r>
    <n v="267"/>
    <x v="238"/>
    <s v="Mora Molina"/>
    <s v="Cédula de ciudadanía"/>
    <n v="80388392"/>
    <s v="Empleado"/>
    <s v="Término indefinido"/>
    <x v="131"/>
    <m/>
    <s v="Mensual"/>
    <n v="1300000"/>
    <s v="Si"/>
    <s v="Centro de trabajo Riesgo 1"/>
    <s v="Si"/>
    <s v="jefferbimbo@hotmail.com"/>
    <m/>
    <s v="Efectivo"/>
    <m/>
    <m/>
    <m/>
    <x v="226"/>
    <s v="CRA 23e# 8-37"/>
    <n v="3148103623"/>
    <s v="LOS ALAMOS"/>
    <s v="Servicio y producción"/>
    <x v="84"/>
    <s v="Mano de Obra Directa"/>
    <s v="Nueva EPS"/>
    <s v="Protección"/>
    <s v="Protección"/>
    <x v="11"/>
    <s v="Hombre"/>
    <s v="dirección, confianza y/o manejo"/>
    <s v="No"/>
    <m/>
    <s v="No "/>
    <s v="No aplica"/>
    <s v="No aplica"/>
    <s v="No"/>
    <s v="No aplica"/>
    <s v="No aplica"/>
    <x v="17"/>
    <s v="Renuncia voluntaria"/>
    <m/>
    <m/>
    <x v="1"/>
    <n v="10"/>
    <n v="39.577777777777776"/>
  </r>
  <r>
    <n v="268"/>
    <x v="239"/>
    <s v="Sossa Deosaa"/>
    <s v="Cédula de ciudadanía"/>
    <n v="21515492"/>
    <s v="Empleado"/>
    <s v="Término indefinido"/>
    <x v="132"/>
    <m/>
    <s v="Mensual"/>
    <n v="1300000"/>
    <s v="Si"/>
    <s v="Centro de trabajo Riesgo 1"/>
    <m/>
    <s v="sossamarta71@gmail.com"/>
    <m/>
    <s v="Transferencia Bancaria"/>
    <s v="Bancolombia"/>
    <s v="Cuenta de Ahorros"/>
    <n v="13023305583"/>
    <x v="227"/>
    <s v="Callle 54 a sur Numero 54 E3 Barrio Aragón Medellín"/>
    <n v="3023305583"/>
    <s v="Medellin"/>
    <s v="Servicios Generales"/>
    <x v="50"/>
    <s v="Mano de Obra Directa"/>
    <s v="EPS Sura"/>
    <s v="Porvenir"/>
    <s v="Porvenir"/>
    <x v="19"/>
    <s v="Mujer"/>
    <s v="ordinario"/>
    <m/>
    <m/>
    <s v="No"/>
    <m/>
    <m/>
    <s v="No"/>
    <m/>
    <s v="No"/>
    <x v="0"/>
    <m/>
    <m/>
    <m/>
    <x v="0"/>
    <n v="94"/>
    <n v="59.163888888888891"/>
  </r>
  <r>
    <n v="269"/>
    <x v="240"/>
    <s v="Torres Cotrino"/>
    <s v="Cédula de ciudadanía"/>
    <n v="1097404045"/>
    <s v="Empleado"/>
    <s v="Término indefinido"/>
    <x v="132"/>
    <m/>
    <s v="Mensual"/>
    <n v="1300000"/>
    <s v="Si"/>
    <s v="Centro de trabajo Riesgo 3"/>
    <s v="Si"/>
    <s v="leandro.torres93@hotmail.com"/>
    <m/>
    <s v="Transferencia Bancaria"/>
    <s v="Bancolombia"/>
    <s v="Cuenta de Ahorros"/>
    <n v="75604690099"/>
    <x v="228"/>
    <s v="Avenida el Cacique Número 39 - 60 Calarcá Quindío"/>
    <n v="3144604315"/>
    <s v="Restaurante El Solar"/>
    <s v="Servicio y producción"/>
    <x v="44"/>
    <s v="Mano de Obra Directa"/>
    <s v="Sanitas"/>
    <s v="Protección"/>
    <s v="Protección"/>
    <x v="3"/>
    <s v="Hombre"/>
    <s v="ordinario"/>
    <s v="Si"/>
    <n v="160000"/>
    <s v="No"/>
    <s v="No aplica"/>
    <s v="No aplica"/>
    <s v="No"/>
    <s v="No aplica"/>
    <s v="No"/>
    <x v="59"/>
    <s v="Renuncia voluntaria"/>
    <m/>
    <m/>
    <x v="1"/>
    <n v="91"/>
    <n v="27.983333333333334"/>
  </r>
  <r>
    <n v="270"/>
    <x v="241"/>
    <s v="Laya Rodriguez"/>
    <s v="Permiso por protección  temporal"/>
    <n v="1144409"/>
    <s v="Empleado"/>
    <s v="Término indefinido"/>
    <x v="133"/>
    <m/>
    <s v="Mensual"/>
    <n v="1300000"/>
    <s v="Si"/>
    <s v="Centro de trabajo Riesgo 3"/>
    <s v="Si"/>
    <s v="dury130288@gmail.com"/>
    <m/>
    <s v="Efectivo"/>
    <m/>
    <m/>
    <m/>
    <x v="229"/>
    <s v="Barrio Obrero Carrera 12 Casa A-14 La Tebaida"/>
    <n v="3018000583"/>
    <s v="LOS ALAMOS"/>
    <s v="Servicio y producción"/>
    <x v="94"/>
    <s v="Mano de Obra Directa"/>
    <s v="EPS Sura"/>
    <s v="Protección"/>
    <s v="Protección"/>
    <x v="11"/>
    <s v="Mujer"/>
    <s v="ordinario"/>
    <s v="No"/>
    <m/>
    <s v="Si"/>
    <s v="Hijos"/>
    <s v="No"/>
    <s v="Si"/>
    <s v="Hijos"/>
    <s v="No"/>
    <x v="63"/>
    <s v="Renuncia voluntaria"/>
    <m/>
    <m/>
    <x v="1"/>
    <n v="8"/>
    <n v="36.144444444444446"/>
  </r>
  <r>
    <n v="271"/>
    <x v="242"/>
    <s v="Tabares Gutierrez"/>
    <s v="Cédula de ciudadanía"/>
    <n v="1193351959"/>
    <s v="Empleado"/>
    <s v="Término indefinido"/>
    <x v="134"/>
    <m/>
    <s v="Mensual"/>
    <n v="1300000"/>
    <s v="Si"/>
    <s v="Centro de trabajo Riesgo 4"/>
    <m/>
    <s v="claratataguti@gmail.com"/>
    <m/>
    <s v="Transferencia Bancaria"/>
    <s v="Banco Davivienda"/>
    <s v="Cuenta de Ahorros"/>
    <s v="0550488438541168"/>
    <x v="230"/>
    <s v="calle 9 Norte # 21-51 yulima 3 bloque 6 apto 101"/>
    <s v="3172293178"/>
    <s v="Armenia"/>
    <s v="Administrativo"/>
    <x v="95"/>
    <s v="Armenia Administrativo"/>
    <s v="EPS Sura"/>
    <s v="Protección"/>
    <s v="Porvenir"/>
    <x v="0"/>
    <s v="Mujer"/>
    <s v="ordinario"/>
    <s v="No"/>
    <m/>
    <s v="No"/>
    <m/>
    <m/>
    <s v="No"/>
    <m/>
    <s v="No"/>
    <x v="0"/>
    <m/>
    <m/>
    <m/>
    <x v="0"/>
    <n v="86"/>
    <n v="20.691666666666666"/>
  </r>
  <r>
    <n v="272"/>
    <x v="65"/>
    <s v="Gallego"/>
    <s v="Cédula de ciudadanía"/>
    <n v="94233408"/>
    <s v="Empleado"/>
    <s v="Término indefinido"/>
    <x v="100"/>
    <m/>
    <s v="Mensual"/>
    <n v="1708000"/>
    <s v="Si"/>
    <s v="Centro de trabajo Riesgo 2 "/>
    <m/>
    <s v="Bbladimirgallego@icloud.com"/>
    <m/>
    <s v="Transferencia Bancaria"/>
    <s v="Bancolombia"/>
    <s v="Cuenta de Ahorros"/>
    <s v="76100001303"/>
    <x v="56"/>
    <s v="Quebrada nueva municipio zarzal"/>
    <n v="3217495032"/>
    <s v="La Duquesa"/>
    <s v="Operaciones"/>
    <x v="28"/>
    <s v="Mano de Obra Directa"/>
    <s v="Nueva EPS"/>
    <s v="Porvenir"/>
    <s v="Porvenir"/>
    <x v="19"/>
    <s v="Hombre"/>
    <s v="ordinario"/>
    <m/>
    <m/>
    <m/>
    <m/>
    <m/>
    <m/>
    <m/>
    <m/>
    <x v="0"/>
    <m/>
    <m/>
    <m/>
    <x v="0"/>
    <n v="79"/>
    <n v="39.524999999999999"/>
  </r>
  <r>
    <n v="273"/>
    <x v="21"/>
    <s v="Gomez Giraldo"/>
    <s v="Cédula de ciudadanía"/>
    <n v="1115189699"/>
    <s v="Empleado"/>
    <s v="Término indefinido"/>
    <x v="100"/>
    <m/>
    <s v="Mensual"/>
    <n v="6264219"/>
    <s v="No"/>
    <s v="Centro de trabajo Riesgo 2 "/>
    <m/>
    <s v="carlosjgomezgiraldo3@gmail.com"/>
    <m/>
    <s v="Transferencia Bancaria"/>
    <s v="Bancolombia"/>
    <s v="Cuenta de Ahorros"/>
    <s v="76156092360"/>
    <x v="21"/>
    <s v="Carrera 14 # 10- 05 conjunto Robledal B/ La Castellana Armenia"/>
    <s v="3104114119"/>
    <s v="La Duquesa"/>
    <s v="Gerencia"/>
    <x v="15"/>
    <s v="Mano de Obra Directa"/>
    <s v="Sanitas"/>
    <s v="Porvenir"/>
    <s v="Porvenir"/>
    <x v="19"/>
    <s v="Hombre"/>
    <s v="dirección, confianza y/o manejo"/>
    <m/>
    <m/>
    <m/>
    <m/>
    <m/>
    <m/>
    <m/>
    <m/>
    <x v="0"/>
    <m/>
    <m/>
    <m/>
    <x v="0"/>
    <n v="79"/>
    <n v="31.355555555555554"/>
  </r>
  <r>
    <n v="274"/>
    <x v="22"/>
    <s v="Angel Londono"/>
    <s v="Cédula de ciudadanía"/>
    <n v="41952820"/>
    <s v="Empleado"/>
    <s v="Término indefinido"/>
    <x v="100"/>
    <m/>
    <s v="Mensual"/>
    <n v="5994506"/>
    <s v="No"/>
    <s v="Centro de trabajo Riesgo 2 "/>
    <m/>
    <s v="cal0519@hotmail.com"/>
    <m/>
    <s v="Transferencia Bancaria"/>
    <s v="Bancolombia"/>
    <s v="Cuenta de Ahorros"/>
    <s v="76100001304"/>
    <x v="22"/>
    <s v="Finca Guayaquil Vereda San Jose Municipio Montenegro"/>
    <s v="3174052036"/>
    <s v="La Duquesa"/>
    <s v="Gerencia"/>
    <x v="16"/>
    <s v="Mano de Obra Directa"/>
    <s v="EPS Sura"/>
    <s v="Colpensiones"/>
    <s v="Porvenir"/>
    <x v="19"/>
    <s v="Mujer"/>
    <s v="dirección, confianza y/o manejo"/>
    <m/>
    <m/>
    <m/>
    <m/>
    <m/>
    <m/>
    <m/>
    <m/>
    <x v="0"/>
    <m/>
    <m/>
    <m/>
    <x v="0"/>
    <n v="79"/>
    <n v="41.875"/>
  </r>
  <r>
    <n v="275"/>
    <x v="74"/>
    <s v="Ocampo Rodriguez"/>
    <s v="Cédula de ciudadanía"/>
    <n v="94462631"/>
    <s v="Empleado"/>
    <s v="Término indefinido"/>
    <x v="100"/>
    <m/>
    <s v="Mensual"/>
    <n v="2281766"/>
    <s v="Si"/>
    <s v="Centro de trabajo Riesgo 2"/>
    <m/>
    <s v="caorzoo_81@hotmail.com"/>
    <m/>
    <s v="Transferencia Bancaria"/>
    <s v="Banco Davivienda"/>
    <s v="Cuenta de Ahorros"/>
    <n v="137500068903"/>
    <x v="64"/>
    <s v="Barrio el Carmen, caicedonia valle calle 9 #16-18"/>
    <s v="3148921487"/>
    <s v="Finca las brisas"/>
    <s v="Operaciones"/>
    <x v="28"/>
    <s v="Mano de Obra Directa"/>
    <s v="Emssanar"/>
    <s v="Porvenir"/>
    <s v="Porvenir"/>
    <x v="19"/>
    <s v="Hombre"/>
    <s v="ordinario"/>
    <m/>
    <m/>
    <m/>
    <m/>
    <m/>
    <m/>
    <m/>
    <m/>
    <x v="0"/>
    <m/>
    <m/>
    <m/>
    <x v="0"/>
    <n v="79"/>
    <n v="42.838888888888889"/>
  </r>
  <r>
    <n v="276"/>
    <x v="90"/>
    <s v="Lopez zapata"/>
    <s v="Cédula de ciudadanía"/>
    <n v="1007397516"/>
    <s v="Empleado"/>
    <s v="Término indefinido"/>
    <x v="100"/>
    <m/>
    <s v="Mensual"/>
    <n v="1300000"/>
    <s v="Si"/>
    <s v="Centro de trabajo Riesgo 2"/>
    <m/>
    <s v="cristiancamilolopezzapata5@gmail.com"/>
    <m/>
    <s v="Transferencia Bancaria"/>
    <s v="Bancolombia"/>
    <s v="Cuenta de Ahorros"/>
    <s v="76100001305"/>
    <x v="75"/>
    <s v="caserio aures caicedonia valle del cauca"/>
    <s v="3117563473"/>
    <s v="Finca las brisas"/>
    <s v="Operaciones"/>
    <x v="6"/>
    <s v="Mano de Obra Directa"/>
    <s v="Emssanar"/>
    <s v="Colpensiones"/>
    <s v="Porvenir"/>
    <x v="19"/>
    <s v="Hombre"/>
    <s v="ordinario"/>
    <m/>
    <m/>
    <m/>
    <m/>
    <m/>
    <m/>
    <m/>
    <m/>
    <x v="0"/>
    <m/>
    <m/>
    <m/>
    <x v="0"/>
    <n v="79"/>
    <n v="26.583333333333332"/>
  </r>
  <r>
    <n v="277"/>
    <x v="35"/>
    <s v="Romero Garzon"/>
    <s v="Cédula de ciudadanía"/>
    <n v="94227092"/>
    <s v="Empleado"/>
    <s v="Término indefinido"/>
    <x v="100"/>
    <m/>
    <s v="Mensual"/>
    <n v="1300000"/>
    <s v="Si"/>
    <s v="Centro de trabajo Riesgo 2 "/>
    <m/>
    <s v="auramarianarios824@gmail.com"/>
    <m/>
    <s v="Transferencia Bancaria"/>
    <s v="Bancolombia"/>
    <s v="Cuenta de Ahorros"/>
    <s v="76100001306"/>
    <x v="35"/>
    <s v="CORREGIMIENTO QUEBRADANUEVA"/>
    <n v="3234368604"/>
    <s v="La Duquesa"/>
    <s v="Operaciones"/>
    <x v="6"/>
    <s v="Mano de Obra Directa"/>
    <s v="Coosalud"/>
    <s v="Porvenir"/>
    <s v="Porvenir"/>
    <x v="19"/>
    <s v="Hombre"/>
    <s v="ordinario"/>
    <m/>
    <m/>
    <m/>
    <m/>
    <m/>
    <m/>
    <m/>
    <m/>
    <x v="0"/>
    <m/>
    <m/>
    <m/>
    <x v="0"/>
    <n v="79"/>
    <n v="55.588888888888889"/>
  </r>
  <r>
    <n v="278"/>
    <x v="35"/>
    <s v="Cañaveral Usuga"/>
    <s v="Cédula de ciudadanía"/>
    <n v="1116442776"/>
    <s v="Empleado"/>
    <s v="Término indefinido"/>
    <x v="100"/>
    <m/>
    <s v="Mensual"/>
    <n v="1300000"/>
    <s v="Si"/>
    <s v="Centro de trabajo Riesgo 2"/>
    <m/>
    <s v="diegousuga312@gmail.com"/>
    <m/>
    <s v="Transferencia Bancaria"/>
    <s v="Banco Davivienda"/>
    <s v="Cuenta de Ahorros"/>
    <m/>
    <x v="81"/>
    <s v="Quebrada nueva finca la duquesa"/>
    <n v="3225256298"/>
    <s v="La Duquesa"/>
    <s v="Operaciones"/>
    <x v="6"/>
    <s v="Mano de Obra Directa"/>
    <s v="EPS Sura"/>
    <s v="Porvenir"/>
    <s v="Porvenir"/>
    <x v="19"/>
    <s v="Hombre"/>
    <s v="ordinario"/>
    <m/>
    <m/>
    <m/>
    <m/>
    <m/>
    <m/>
    <m/>
    <m/>
    <x v="0"/>
    <m/>
    <m/>
    <m/>
    <x v="0"/>
    <n v="79"/>
    <n v="30.569444444444443"/>
  </r>
  <r>
    <n v="279"/>
    <x v="243"/>
    <s v="Varon Salgado"/>
    <s v="Cédula de ciudadanía"/>
    <n v="1116265012"/>
    <s v="Empleado"/>
    <s v="Término indefinido"/>
    <x v="100"/>
    <m/>
    <s v="Mensual"/>
    <n v="1300000"/>
    <s v="Si"/>
    <s v="Centro de trabajo Riesgo 2"/>
    <m/>
    <s v="edinsonbrsfc@gmail.com"/>
    <m/>
    <s v="Transferencia Bancaria"/>
    <s v="Banco Davivienda"/>
    <s v="Cuenta de Ahorros"/>
    <m/>
    <x v="231"/>
    <s v="Quebrada nueva finca la duquesa"/>
    <n v="3238025618"/>
    <s v="La Duquesa"/>
    <s v="Operaciones"/>
    <x v="6"/>
    <s v="Mano de Obra Directa"/>
    <s v="Nueva EPS"/>
    <s v="Porvenir"/>
    <s v="Porvenir"/>
    <x v="19"/>
    <s v="Hombre"/>
    <s v="ordinario"/>
    <m/>
    <m/>
    <m/>
    <m/>
    <m/>
    <m/>
    <m/>
    <m/>
    <x v="0"/>
    <m/>
    <m/>
    <m/>
    <x v="0"/>
    <n v="79"/>
    <n v="29.488888888888887"/>
  </r>
  <r>
    <n v="280"/>
    <x v="107"/>
    <s v="Romero Garzon"/>
    <s v="Cédula de ciudadanía"/>
    <n v="2699869"/>
    <s v="Empleado"/>
    <s v="Término indefinido"/>
    <x v="100"/>
    <m/>
    <s v="Mensual"/>
    <n v="1300000"/>
    <s v="Si"/>
    <s v="Centro de trabajo Riesgo 2"/>
    <m/>
    <s v="edisonromerogarzon@gmail.com"/>
    <m/>
    <s v="Transferencia Bancaria"/>
    <s v="Bancolombia"/>
    <s v="Cuenta de Ahorros"/>
    <s v="76100001307"/>
    <x v="88"/>
    <s v="Barrio Quebrada nueva valle zarzal"/>
    <s v="3165496215"/>
    <s v="La Duquesa"/>
    <s v="Campo"/>
    <x v="6"/>
    <s v="Mano de Obra Directa"/>
    <s v="Nueva EPS"/>
    <s v="Porvenir"/>
    <s v="Porvenir"/>
    <x v="19"/>
    <s v="Hombre"/>
    <s v="ordinario"/>
    <m/>
    <m/>
    <m/>
    <m/>
    <m/>
    <m/>
    <m/>
    <m/>
    <x v="0"/>
    <m/>
    <m/>
    <m/>
    <x v="0"/>
    <n v="79"/>
    <n v="54.19166666666667"/>
  </r>
  <r>
    <n v="281"/>
    <x v="94"/>
    <s v="Rios  Garcia"/>
    <s v="Cédula de ciudadanía"/>
    <n v="1006439026"/>
    <s v="Empleado"/>
    <s v="Término indefinido"/>
    <x v="100"/>
    <m/>
    <s v="Mensual"/>
    <n v="1300000"/>
    <s v="Si"/>
    <s v="Centro de trabajo Riesgo 2"/>
    <m/>
    <s v="riosesneider2@gmail.com"/>
    <m/>
    <s v="Transferencia Bancaria"/>
    <s v="Bancolombia"/>
    <s v="Cuenta de Ahorros"/>
    <s v="76100001308"/>
    <x v="232"/>
    <s v="Quebrada nueva finca la duquesa"/>
    <n v="3136562928"/>
    <s v="La Duquesa"/>
    <s v="Operaciones"/>
    <x v="6"/>
    <s v="Mano de Obra Directa"/>
    <s v="Nueva EPS"/>
    <s v="Porvenir"/>
    <s v="Porvenir"/>
    <x v="19"/>
    <s v="Hombre"/>
    <s v="ordinario"/>
    <m/>
    <m/>
    <m/>
    <m/>
    <m/>
    <m/>
    <m/>
    <m/>
    <x v="64"/>
    <s v="Periodo de prueba"/>
    <m/>
    <m/>
    <x v="1"/>
    <n v="48"/>
    <n v="30.266666666666666"/>
  </r>
  <r>
    <n v="282"/>
    <x v="184"/>
    <s v="Rey Solorzano"/>
    <s v="Cédula de ciudadanía"/>
    <n v="1005368181"/>
    <s v="Empleado"/>
    <s v="Término indefinido"/>
    <x v="100"/>
    <m/>
    <s v="Mensual"/>
    <n v="1300000"/>
    <s v="Si"/>
    <s v="Centro de trabajo Riesgo 2"/>
    <m/>
    <s v="reysolorzanoesteban@gmail.com"/>
    <m/>
    <s v="Transferencia Bancaria"/>
    <s v="Bancolombia"/>
    <s v="Cuenta de Ahorros"/>
    <s v="77200001795"/>
    <x v="166"/>
    <s v="Vereda Travesias "/>
    <s v="3137771441"/>
    <s v="Finca las brisas"/>
    <s v="Operaciones"/>
    <x v="42"/>
    <s v="Mano de Obra Directa"/>
    <s v="EPS Sura"/>
    <s v="Colpensiones"/>
    <s v="Porvenir"/>
    <x v="19"/>
    <s v="Hombre"/>
    <s v="ordinario"/>
    <m/>
    <m/>
    <m/>
    <m/>
    <m/>
    <m/>
    <m/>
    <m/>
    <x v="0"/>
    <m/>
    <m/>
    <m/>
    <x v="0"/>
    <n v="79"/>
    <n v="21.913888888888888"/>
  </r>
  <r>
    <n v="283"/>
    <x v="82"/>
    <s v="Marin Rosas"/>
    <s v="Cédula de ciudadanía"/>
    <n v="94232663"/>
    <s v="Empleado"/>
    <s v="Término indefinido"/>
    <x v="100"/>
    <m/>
    <s v="Mensual"/>
    <n v="1412000"/>
    <s v="Si"/>
    <s v="Centro de trabajo Riesgo 2"/>
    <m/>
    <s v="marinfabio.500@gmail.com"/>
    <m/>
    <s v="Transferencia Bancaria"/>
    <s v="Bancolombia"/>
    <s v="Cuenta de Ahorros"/>
    <s v="76100001309"/>
    <x v="89"/>
    <s v=" Barrio Quebrada nueva valle zarzal "/>
    <s v="3113678650"/>
    <s v="La Duquesa"/>
    <s v="Campo"/>
    <x v="57"/>
    <s v="Mano de Obra Directa"/>
    <s v="S.O.S. Servicio Occidental de Salud S.A."/>
    <s v="Colpensiones"/>
    <s v="Porvenir"/>
    <x v="19"/>
    <s v="Hombre"/>
    <s v="ordinario"/>
    <m/>
    <m/>
    <m/>
    <m/>
    <m/>
    <m/>
    <m/>
    <m/>
    <x v="0"/>
    <m/>
    <m/>
    <m/>
    <x v="0"/>
    <n v="79"/>
    <n v="46.644444444444446"/>
  </r>
  <r>
    <n v="284"/>
    <x v="185"/>
    <s v="Chavarria Carvajal"/>
    <s v="Cédula de ciudadanía"/>
    <n v="1037262274"/>
    <s v="Empleado"/>
    <s v="Término indefinido"/>
    <x v="100"/>
    <m/>
    <s v="Mensual"/>
    <n v="1300000"/>
    <s v="Si"/>
    <s v="Centro de trabajo Riesgo 2"/>
    <m/>
    <s v="camilocaseres43iewjsj@gmail.com"/>
    <m/>
    <s v="Transferencia Bancaria"/>
    <s v="Bancolombia"/>
    <s v="Cuenta de Ahorros"/>
    <s v="77257510771"/>
    <x v="167"/>
    <s v="Vereda Travesias Finca la Cascada"/>
    <s v="3205831488"/>
    <s v="Finca las brisas"/>
    <s v="Operaciones"/>
    <x v="42"/>
    <s v="Mano de Obra Directa"/>
    <s v="Nueva EPS"/>
    <s v="Colpensiones"/>
    <s v="Porvenir"/>
    <x v="19"/>
    <s v="Hombre"/>
    <s v="ordinario"/>
    <m/>
    <m/>
    <m/>
    <m/>
    <m/>
    <m/>
    <m/>
    <m/>
    <x v="0"/>
    <m/>
    <m/>
    <m/>
    <x v="0"/>
    <n v="79"/>
    <n v="19.963888888888889"/>
  </r>
  <r>
    <n v="285"/>
    <x v="91"/>
    <s v="Ortiz Restrepo"/>
    <s v="Cédula de ciudadanía"/>
    <n v="1113042417"/>
    <s v="Empleado"/>
    <s v="Término indefinido"/>
    <x v="100"/>
    <m/>
    <s v="Mensual"/>
    <n v="1300000"/>
    <s v="Si"/>
    <s v="Centro de trabajo Riesgo 2"/>
    <m/>
    <s v="ortizhernan070@gmail.com"/>
    <m/>
    <s v="Transferencia Bancaria"/>
    <s v="Bancolombia"/>
    <s v="Cuenta de Ahorros"/>
    <s v="76100001310"/>
    <x v="76"/>
    <s v="vereda aures municipio caicedonia"/>
    <n v="3147207764"/>
    <s v="Finca las brisas"/>
    <s v="Operaciones"/>
    <x v="6"/>
    <s v="Mano de Obra Directa"/>
    <s v="Salud Total"/>
    <s v="Porvenir"/>
    <s v="Porvenir"/>
    <x v="19"/>
    <s v="Hombre"/>
    <s v="ordinario"/>
    <m/>
    <m/>
    <m/>
    <m/>
    <m/>
    <m/>
    <m/>
    <m/>
    <x v="0"/>
    <m/>
    <m/>
    <m/>
    <x v="0"/>
    <n v="79"/>
    <n v="26.074999999999999"/>
  </r>
  <r>
    <n v="286"/>
    <x v="7"/>
    <s v="Romero Garzon"/>
    <s v="Cédula de ciudadanía"/>
    <n v="94230001"/>
    <s v="Empleado"/>
    <s v="Término indefinido"/>
    <x v="100"/>
    <m/>
    <s v="Mensual"/>
    <n v="1390000"/>
    <s v="Si"/>
    <s v="Centro de trabajo Riesgo 2 "/>
    <m/>
    <s v="hugor8958@gmail.com"/>
    <m/>
    <s v="Transferencia Bancaria"/>
    <s v="Bancolombia"/>
    <s v="Cuenta de Ahorros"/>
    <s v="76100001311"/>
    <x v="7"/>
    <s v="CORREGIMIENTO QUEBRADANUEVA FINCA LA DUQUESA"/>
    <s v="3128141672"/>
    <s v="La Duquesa"/>
    <s v="Operaciones"/>
    <x v="7"/>
    <s v="Mano de Obra Directa"/>
    <s v="Emssanar"/>
    <s v="Colpensiones"/>
    <s v="Porvenir"/>
    <x v="19"/>
    <s v="Hombre"/>
    <s v="ordinario"/>
    <m/>
    <m/>
    <m/>
    <m/>
    <m/>
    <m/>
    <m/>
    <m/>
    <x v="0"/>
    <m/>
    <m/>
    <m/>
    <x v="0"/>
    <n v="79"/>
    <n v="48.861111111111114"/>
  </r>
  <r>
    <n v="287"/>
    <x v="244"/>
    <s v="Mendoza Silva"/>
    <s v="Permiso por protección  temporal"/>
    <n v="5485572"/>
    <s v="Empleado"/>
    <s v="Término indefinido"/>
    <x v="100"/>
    <m/>
    <s v="Mensual"/>
    <n v="1300000"/>
    <s v="Si"/>
    <s v="Centro de trabajo Riesgo 2 "/>
    <m/>
    <s v="Jesusantomendoza1997@gmail.com"/>
    <m/>
    <s v="Transferencia Bancaria"/>
    <s v="Banco Davivienda"/>
    <s v="Cuenta de Ahorros"/>
    <m/>
    <x v="233"/>
    <s v="Quebrada nueva finca la duquesa"/>
    <n v="3128020484"/>
    <s v="La Duquesa"/>
    <s v="Operaciones"/>
    <x v="6"/>
    <s v="Mano de Obra Directa"/>
    <s v="Emssanar"/>
    <s v="Porvenir"/>
    <s v="Porvenir"/>
    <x v="19"/>
    <s v="Hombre"/>
    <s v="ordinario"/>
    <m/>
    <m/>
    <m/>
    <m/>
    <m/>
    <m/>
    <m/>
    <m/>
    <x v="0"/>
    <m/>
    <m/>
    <m/>
    <x v="0"/>
    <n v="79"/>
    <n v="26.719444444444445"/>
  </r>
  <r>
    <n v="288"/>
    <x v="14"/>
    <s v="Quintero Garcia"/>
    <s v="Cédula de ciudadanía"/>
    <n v="2699801"/>
    <s v="Empleado"/>
    <s v="Término indefinido"/>
    <x v="100"/>
    <m/>
    <s v="Mensual"/>
    <n v="1300000"/>
    <s v="Si"/>
    <s v="Centro de trabajo Riesgo 2 "/>
    <m/>
    <s v="quinterogarciajesusbernardo@gmail.com"/>
    <m/>
    <s v="Transferencia Bancaria"/>
    <s v="Bancolombia"/>
    <s v="Cuenta de Ahorros"/>
    <s v="76100001312"/>
    <x v="14"/>
    <s v="FINCA LA ESMERALDA"/>
    <s v="3136540385"/>
    <s v="La Duquesa"/>
    <s v="Operaciones"/>
    <x v="6"/>
    <s v="Mano de Obra Directa"/>
    <s v="Nueva EPS"/>
    <s v="Colpensiones"/>
    <s v="Protección"/>
    <x v="19"/>
    <s v="Hombre"/>
    <s v="ordinario"/>
    <m/>
    <m/>
    <m/>
    <m/>
    <m/>
    <m/>
    <m/>
    <m/>
    <x v="0"/>
    <m/>
    <m/>
    <m/>
    <x v="0"/>
    <n v="79"/>
    <n v="56.194444444444443"/>
  </r>
  <r>
    <n v="289"/>
    <x v="8"/>
    <s v="Zapata"/>
    <s v="Cédula de ciudadanía"/>
    <n v="2699896"/>
    <s v="Empleado"/>
    <s v="Término indefinido"/>
    <x v="100"/>
    <m/>
    <s v="Mensual"/>
    <n v="1300000"/>
    <s v="Si"/>
    <s v="Centro de trabajo Riesgo 2 "/>
    <m/>
    <s v=""/>
    <m/>
    <s v="Transferencia Bancaria"/>
    <s v="Bancolombia"/>
    <s v="Cuenta de Ahorros"/>
    <s v="06956182423"/>
    <x v="8"/>
    <s v="CORREGIMIENTO QUEBRADANUEVA"/>
    <s v="3142617312"/>
    <s v="La Duquesa"/>
    <s v="Operaciones"/>
    <x v="6"/>
    <s v="Mano de Obra Directa"/>
    <s v="Emssanar"/>
    <s v="Porvenir"/>
    <s v="Porvenir"/>
    <x v="19"/>
    <s v="Hombre"/>
    <s v="ordinario"/>
    <m/>
    <m/>
    <m/>
    <m/>
    <m/>
    <m/>
    <m/>
    <m/>
    <x v="64"/>
    <s v="Periodo de prueba"/>
    <m/>
    <m/>
    <x v="1"/>
    <n v="48"/>
    <n v="48.802777777777777"/>
  </r>
  <r>
    <n v="290"/>
    <x v="9"/>
    <s v="Orozco Sarria"/>
    <s v="Cédula de ciudadanía"/>
    <n v="6423539"/>
    <s v="Empleado"/>
    <s v="Término indefinido"/>
    <x v="100"/>
    <m/>
    <s v="Mensual"/>
    <n v="1300000"/>
    <s v="Si"/>
    <s v="Centro de trabajo Riesgo 2 "/>
    <m/>
    <s v="joseeduardoorozco666@gmail.com"/>
    <m/>
    <s v="Transferencia Bancaria"/>
    <s v="Bancolombia"/>
    <s v="Cuenta de Ahorros"/>
    <s v="76100001312"/>
    <x v="9"/>
    <s v="CORREGIMIENTO QUEBRADANUEVA"/>
    <s v="3226372860"/>
    <s v="La Duquesa"/>
    <s v="Operaciones"/>
    <x v="6"/>
    <s v="Mano de Obra Directa"/>
    <s v="Emssanar"/>
    <s v="Colpensiones"/>
    <s v="Porvenir"/>
    <x v="19"/>
    <s v="Hombre"/>
    <s v="ordinario"/>
    <m/>
    <m/>
    <m/>
    <m/>
    <m/>
    <m/>
    <m/>
    <m/>
    <x v="0"/>
    <m/>
    <m/>
    <m/>
    <x v="0"/>
    <n v="79"/>
    <n v="54.68333333333333"/>
  </r>
  <r>
    <n v="291"/>
    <x v="10"/>
    <s v="Zapata Betancourt"/>
    <s v="Cédula de ciudadanía"/>
    <n v="2699711"/>
    <s v="Empleado"/>
    <s v="Término indefinido"/>
    <x v="100"/>
    <m/>
    <s v="Mensual"/>
    <n v="1300000"/>
    <s v="Si"/>
    <s v="Centro de trabajo Riesgo 2 "/>
    <m/>
    <s v="jz985357@gmail.com"/>
    <m/>
    <s v="Transferencia Bancaria"/>
    <s v="Bancolombia"/>
    <s v="Cuenta de Ahorros"/>
    <s v="76100001314"/>
    <x v="10"/>
    <s v="CORREGIMIENTO QUEBRADANUEVA FINCA LA DUQUESA"/>
    <s v="3202607926"/>
    <s v="La Duquesa"/>
    <s v="Operaciones"/>
    <x v="6"/>
    <s v="Mano de Obra Directa"/>
    <s v="Nueva EPS"/>
    <s v="Colpensiones"/>
    <s v="Porvenir"/>
    <x v="19"/>
    <s v="Hombre"/>
    <s v="ordinario"/>
    <m/>
    <m/>
    <m/>
    <m/>
    <m/>
    <m/>
    <m/>
    <m/>
    <x v="0"/>
    <m/>
    <m/>
    <m/>
    <x v="0"/>
    <n v="79"/>
    <n v="62.427777777777777"/>
  </r>
  <r>
    <n v="292"/>
    <x v="69"/>
    <s v="Meneses Morales"/>
    <s v="Cédula de ciudadanía"/>
    <n v="6558638"/>
    <s v="Empleado"/>
    <s v="Término indefinido"/>
    <x v="100"/>
    <m/>
    <s v="Mensual"/>
    <n v="1624000"/>
    <s v="Si"/>
    <s v="Centro de trabajo Riesgo 5 "/>
    <m/>
    <s v="menesesjoserubiel@gmail.com"/>
    <m/>
    <s v="Transferencia Bancaria"/>
    <s v="Bancolombia"/>
    <s v="Cuenta de Ahorros"/>
    <s v="76100001315"/>
    <x v="59"/>
    <s v="Zarzal valle del cauca calle 15 numero 11 - 10 barrio las mercedes"/>
    <s v="3126098882"/>
    <s v="La Duquesa"/>
    <s v="Operaciones"/>
    <x v="42"/>
    <s v="Mano de Obra Directa"/>
    <s v="Emssanar"/>
    <s v="Porvenir"/>
    <s v="Porvenir"/>
    <x v="19"/>
    <s v="Hombre"/>
    <s v="ordinario"/>
    <m/>
    <m/>
    <m/>
    <m/>
    <m/>
    <m/>
    <m/>
    <m/>
    <x v="0"/>
    <m/>
    <m/>
    <m/>
    <x v="0"/>
    <n v="79"/>
    <n v="67.466666666666669"/>
  </r>
  <r>
    <n v="293"/>
    <x v="108"/>
    <s v="Barbosa Murillo"/>
    <s v="Cédula de ciudadanía"/>
    <n v="1116435166"/>
    <s v="Empleado"/>
    <s v="Término indefinido"/>
    <x v="100"/>
    <m/>
    <s v="Mensual"/>
    <n v="1412000"/>
    <s v="Si"/>
    <s v="Centro de trabajo Riesgo 2"/>
    <m/>
    <s v="barbosalennin@gmail.com"/>
    <m/>
    <s v="Transferencia Bancaria"/>
    <s v="Bancolombia"/>
    <s v="Cuenta de Ahorros"/>
    <s v="76100001329"/>
    <x v="90"/>
    <s v="Barrio Quebrada nueva valle zarzal"/>
    <n v="3164430997"/>
    <s v="La Duquesa"/>
    <s v="Campo"/>
    <x v="57"/>
    <s v="Mano de Obra Directa"/>
    <s v="Coosalud"/>
    <s v="Porvenir"/>
    <s v="Porvenir"/>
    <x v="19"/>
    <s v="Hombre"/>
    <s v="ordinario"/>
    <m/>
    <m/>
    <m/>
    <m/>
    <m/>
    <m/>
    <m/>
    <m/>
    <x v="0"/>
    <m/>
    <m/>
    <m/>
    <x v="0"/>
    <n v="79"/>
    <n v="36.611111111111114"/>
  </r>
  <r>
    <n v="294"/>
    <x v="245"/>
    <s v="Garces Rincon"/>
    <s v="Cédula de ciudadanía"/>
    <n v="1116445312"/>
    <s v="Empleado"/>
    <s v="Término indefinido"/>
    <x v="100"/>
    <m/>
    <s v="Mensual"/>
    <n v="1300000"/>
    <s v="Si"/>
    <s v="Centro de trabajo Riesgo 2 "/>
    <m/>
    <s v="lizethgarces62@gmail.com"/>
    <m/>
    <s v="Transferencia Bancaria"/>
    <s v="Banco Davivienda"/>
    <s v="Cuenta de Ahorros"/>
    <m/>
    <x v="234"/>
    <s v="Quebrada nueva finca la duquesa"/>
    <n v="3154334725"/>
    <s v="La Duquesa"/>
    <s v="Operaciones"/>
    <x v="6"/>
    <s v="Mano de Obra Directa"/>
    <s v="Emssanar"/>
    <s v="Porvenir"/>
    <s v="Porvenir"/>
    <x v="19"/>
    <s v="Mujer"/>
    <s v="ordinario"/>
    <m/>
    <m/>
    <m/>
    <m/>
    <m/>
    <m/>
    <m/>
    <m/>
    <x v="0"/>
    <m/>
    <m/>
    <m/>
    <x v="0"/>
    <n v="79"/>
    <n v="28.538888888888888"/>
  </r>
  <r>
    <n v="295"/>
    <x v="11"/>
    <s v="Ocampo Ocampo"/>
    <s v="Cédula de ciudadanía"/>
    <n v="2699672"/>
    <s v="Empleado"/>
    <s v="Término indefinido"/>
    <x v="100"/>
    <m/>
    <s v="Mensual"/>
    <n v="1300000"/>
    <s v="Si"/>
    <s v="Centro de trabajo Riesgo 2 "/>
    <m/>
    <s v="ancisarocampo0@gmail.com"/>
    <m/>
    <s v="Transferencia Bancaria"/>
    <s v="Bancolombia"/>
    <s v="Cuenta de Ahorros"/>
    <s v="76100001317"/>
    <x v="11"/>
    <s v="CORREGIMIENTO QUEBRADANUEVA"/>
    <s v="3148556796"/>
    <s v="La Duquesa"/>
    <s v="Operaciones"/>
    <x v="6"/>
    <s v="Mano de Obra Directa"/>
    <s v="Nueva EPS"/>
    <s v="Colpensiones"/>
    <s v="Porvenir"/>
    <x v="19"/>
    <s v="Hombre"/>
    <s v="ordinario"/>
    <m/>
    <m/>
    <m/>
    <m/>
    <m/>
    <m/>
    <m/>
    <m/>
    <x v="0"/>
    <m/>
    <m/>
    <m/>
    <x v="0"/>
    <n v="79"/>
    <n v="68.61666666666666"/>
  </r>
  <r>
    <n v="296"/>
    <x v="88"/>
    <s v="Santa"/>
    <s v="Cédula de ciudadanía"/>
    <n v="24815705"/>
    <s v="Empleado"/>
    <s v="Término indefinido"/>
    <x v="100"/>
    <m/>
    <s v="Mensual"/>
    <n v="1943480"/>
    <s v="Si"/>
    <s v="Centro de trabajo Riesgo 1 "/>
    <m/>
    <s v="marcela_santa@hotmail.com"/>
    <m/>
    <s v="Transferencia Bancaria"/>
    <s v="Bancolombia"/>
    <s v="Cuenta de Ahorros"/>
    <s v="76100001318"/>
    <x v="74"/>
    <s v="Calle 21 número 28-55 apto 102 barrio san jose"/>
    <s v="3222317822"/>
    <s v="Oficina"/>
    <s v="Administrativo"/>
    <x v="31"/>
    <s v="Administrativo"/>
    <s v="EPS Sura"/>
    <s v="Porvenir"/>
    <s v="Porvenir"/>
    <x v="19"/>
    <s v="Mujer"/>
    <s v="ordinario"/>
    <m/>
    <m/>
    <m/>
    <m/>
    <m/>
    <m/>
    <m/>
    <m/>
    <x v="0"/>
    <m/>
    <m/>
    <m/>
    <x v="0"/>
    <n v="79"/>
    <n v="40.780555555555559"/>
  </r>
  <r>
    <n v="297"/>
    <x v="67"/>
    <s v="Gallego Munoz"/>
    <s v="Cédula de ciudadanía"/>
    <n v="1006438786"/>
    <s v="Empleado"/>
    <s v="Término indefinido"/>
    <x v="100"/>
    <m/>
    <s v="Mensual"/>
    <n v="1300000"/>
    <s v="Si"/>
    <s v="Centro de trabajo Riesgo 2 "/>
    <m/>
    <s v="jgonsalesleg@gmail.com"/>
    <m/>
    <s v="Transferencia Bancaria"/>
    <s v="Bancolombia"/>
    <s v="Cuenta de Ahorros"/>
    <s v="76100001319"/>
    <x v="58"/>
    <s v="Quebrada nueva municipio zarzal"/>
    <s v="3128993779"/>
    <s v="La Duquesa"/>
    <s v="Operaciones"/>
    <x v="6"/>
    <s v="Mano de Obra Directa"/>
    <s v="Emssanar"/>
    <s v="Porvenir"/>
    <s v="Porvenir"/>
    <x v="19"/>
    <s v="Hombre"/>
    <s v="ordinario"/>
    <m/>
    <m/>
    <m/>
    <m/>
    <m/>
    <m/>
    <m/>
    <m/>
    <x v="0"/>
    <m/>
    <m/>
    <m/>
    <x v="0"/>
    <n v="79"/>
    <n v="21.269444444444446"/>
  </r>
  <r>
    <n v="298"/>
    <x v="96"/>
    <s v="Galeano Sanchez"/>
    <s v="Cédula de ciudadanía"/>
    <n v="94287680"/>
    <s v="Empleado"/>
    <s v="Término indefinido"/>
    <x v="100"/>
    <m/>
    <s v="Mensual"/>
    <n v="1300000"/>
    <s v="Si"/>
    <s v="Centro de trabajo Riesgo 2"/>
    <m/>
    <s v="oscargaleano5681@gmail.com"/>
    <m/>
    <s v="Transferencia Bancaria"/>
    <s v="Bancolombia"/>
    <s v="Cuenta de Ahorros"/>
    <s v="76100001322"/>
    <x v="235"/>
    <s v="Quebrada nueva finca la duquesa"/>
    <s v="3135950290"/>
    <s v="La Duquesa"/>
    <s v="Operaciones"/>
    <x v="6"/>
    <s v="Mano de Obra Directa"/>
    <s v="Coosalud"/>
    <s v="Porvenir"/>
    <s v="Porvenir"/>
    <x v="19"/>
    <s v="Hombre"/>
    <s v="ordinario"/>
    <m/>
    <m/>
    <m/>
    <m/>
    <m/>
    <m/>
    <m/>
    <m/>
    <x v="0"/>
    <m/>
    <m/>
    <m/>
    <x v="0"/>
    <n v="79"/>
    <n v="42.830555555555556"/>
  </r>
  <r>
    <n v="299"/>
    <x v="246"/>
    <s v="Rios Torres"/>
    <s v="Cédula de ciudadanía"/>
    <n v="1005254164"/>
    <s v="Empleado"/>
    <s v="Término indefinido"/>
    <x v="100"/>
    <m/>
    <s v="Mensual"/>
    <n v="1300000"/>
    <s v="Si"/>
    <s v="Centro de trabajo Riesgo 2"/>
    <m/>
    <s v="santiagoriostorres2002@gmail.com"/>
    <m/>
    <s v="Transferencia Bancaria"/>
    <s v="Banco Davivienda"/>
    <s v="Cuenta de Ahorros"/>
    <m/>
    <x v="236"/>
    <s v="Quebrada nueva finca la duquesa"/>
    <n v="3218073368"/>
    <s v="La Duquesa"/>
    <s v="Operaciones"/>
    <x v="6"/>
    <s v="Mano de Obra Directa"/>
    <s v="Emssanar"/>
    <s v="Porvenir"/>
    <s v="Porvenir"/>
    <x v="19"/>
    <s v="Hombre"/>
    <s v="ordinario"/>
    <m/>
    <m/>
    <m/>
    <m/>
    <m/>
    <m/>
    <m/>
    <m/>
    <x v="0"/>
    <m/>
    <m/>
    <m/>
    <x v="0"/>
    <n v="79"/>
    <n v="22.180555555555557"/>
  </r>
  <r>
    <n v="300"/>
    <x v="34"/>
    <s v="Romero Garzon"/>
    <s v="Cédula de ciudadanía"/>
    <n v="94232191"/>
    <s v="Empleado"/>
    <s v="Término indefinido"/>
    <x v="100"/>
    <m/>
    <s v="Mensual"/>
    <n v="1300000"/>
    <s v="Si"/>
    <s v="Centro de trabajo Riesgo 2 "/>
    <m/>
    <s v="romerouban123@gmail.com"/>
    <m/>
    <s v="Transferencia Bancaria"/>
    <s v="Bancolombia"/>
    <s v="Cuenta de Ahorros"/>
    <s v="76100001323"/>
    <x v="34"/>
    <s v="QUEBRADANUEVA CLL 5 CS 307"/>
    <s v="3206301263"/>
    <s v="La Duquesa"/>
    <s v="Operaciones"/>
    <x v="6"/>
    <s v="Mano de Obra Directa"/>
    <s v="Nueva EPS"/>
    <s v="Porvenir"/>
    <s v="Porvenir"/>
    <x v="19"/>
    <s v="Hombre"/>
    <s v="ordinario"/>
    <m/>
    <m/>
    <m/>
    <m/>
    <m/>
    <m/>
    <m/>
    <m/>
    <x v="0"/>
    <m/>
    <m/>
    <m/>
    <x v="0"/>
    <n v="79"/>
    <n v="42.31388888888889"/>
  </r>
  <r>
    <n v="301"/>
    <x v="77"/>
    <s v="Gallego Muñoz"/>
    <s v="Cédula de ciudadanía"/>
    <n v="1116444450"/>
    <s v="Empleado"/>
    <s v="Término indefinido"/>
    <x v="100"/>
    <m/>
    <s v="Mensual"/>
    <n v="1377391"/>
    <s v="Si"/>
    <s v="Centro de trabajo Riesgo 2 "/>
    <m/>
    <s v="gallego.wilmer@correounivalle.edu.co"/>
    <m/>
    <s v="Transferencia Bancaria"/>
    <s v="Banco Davivienda"/>
    <s v="Cuenta de Ahorros"/>
    <s v="76100001324"/>
    <x v="66"/>
    <s v="Barrio la estación QUEBRADANUEVA ZARZAL"/>
    <s v="3215996059"/>
    <s v="La Duquesa"/>
    <s v="Administrativo"/>
    <x v="6"/>
    <s v="Mano de Obra Directa"/>
    <s v="Emssanar"/>
    <s v="Colpensiones"/>
    <s v="Porvenir"/>
    <x v="19"/>
    <s v="Hombre"/>
    <s v="ordinario"/>
    <m/>
    <m/>
    <m/>
    <m/>
    <m/>
    <m/>
    <m/>
    <m/>
    <x v="0"/>
    <m/>
    <m/>
    <m/>
    <x v="0"/>
    <n v="79"/>
    <n v="29.166666666666668"/>
  </r>
  <r>
    <n v="302"/>
    <x v="186"/>
    <s v="Cardenas Guerrero"/>
    <s v="Cédula de ciudadanía"/>
    <n v="1005091433"/>
    <s v="Empleado"/>
    <s v="Término indefinido"/>
    <x v="100"/>
    <m/>
    <s v="Mensual"/>
    <n v="1300000"/>
    <s v="Si"/>
    <s v="Centro de trabajo Riesgo 2"/>
    <m/>
    <s v="yuliana.314591@gmail.com"/>
    <m/>
    <s v="Transferencia Bancaria"/>
    <s v="Bancolombia"/>
    <s v="Cuenta de Ahorros"/>
    <s v="77257505629"/>
    <x v="168"/>
    <s v="Vereda Travesias Finca Porvenir"/>
    <n v="3117677026"/>
    <s v="Finca las brisas"/>
    <s v="Operaciones"/>
    <x v="42"/>
    <s v="Mano de Obra Directa"/>
    <s v="Emssanar"/>
    <s v="Colpensiones"/>
    <s v="Porvenir"/>
    <x v="19"/>
    <s v="Mujer"/>
    <s v="ordinario"/>
    <m/>
    <m/>
    <m/>
    <m/>
    <m/>
    <m/>
    <m/>
    <m/>
    <x v="0"/>
    <m/>
    <m/>
    <m/>
    <x v="0"/>
    <n v="79"/>
    <n v="24.255555555555556"/>
  </r>
  <r>
    <n v="303"/>
    <x v="68"/>
    <s v="Gallego Munoz"/>
    <s v="Cédula de ciudadanía"/>
    <n v="1006438785"/>
    <s v="Empleado"/>
    <s v="Término indefinido"/>
    <x v="100"/>
    <m/>
    <s v="Mensual"/>
    <n v="1300000"/>
    <s v="Si"/>
    <s v="Centro de trabajo Riesgo 2 "/>
    <m/>
    <s v="yersongamu@gmail.com"/>
    <m/>
    <s v="Transferencia Bancaria"/>
    <s v="Bancolombia"/>
    <s v="Cuenta de Ahorros"/>
    <s v="76100001325"/>
    <x v="58"/>
    <s v="Quebrada nueva municipio zarzal"/>
    <s v="3116495873"/>
    <s v="La Duquesa"/>
    <s v="Operaciones"/>
    <x v="6"/>
    <s v="Mano de Obra Directa"/>
    <s v="Emssanar"/>
    <s v="Porvenir"/>
    <s v="Porvenir"/>
    <x v="19"/>
    <s v="Hombre"/>
    <s v="ordinario"/>
    <m/>
    <m/>
    <m/>
    <m/>
    <m/>
    <m/>
    <m/>
    <m/>
    <x v="0"/>
    <m/>
    <m/>
    <m/>
    <x v="0"/>
    <n v="79"/>
    <n v="21.269444444444446"/>
  </r>
  <r>
    <n v="304"/>
    <x v="97"/>
    <s v="Leguizamo Doncel"/>
    <s v="Cédula de ciudadanía"/>
    <n v="1116432789"/>
    <s v="Empleado"/>
    <s v="Término indefinido"/>
    <x v="100"/>
    <m/>
    <s v="Mensual"/>
    <n v="1300000"/>
    <s v="Si"/>
    <s v="Centro de trabajo Riesgo 2"/>
    <m/>
    <s v="lorena101182@hotmail.com"/>
    <m/>
    <s v="Transferencia Bancaria"/>
    <s v="Bancolombia"/>
    <s v="Cuenta de Ahorros"/>
    <s v="76156093447"/>
    <x v="80"/>
    <s v="calle 6N2A-16 quebrada nueva valle "/>
    <s v="3188986752"/>
    <s v="La Duquesa"/>
    <s v="Operaciones"/>
    <x v="6"/>
    <s v="Mano de Obra Directa"/>
    <s v="Emssanar"/>
    <s v="Porvenir"/>
    <s v="Porvenir"/>
    <x v="19"/>
    <s v="Mujer"/>
    <s v="ordinario"/>
    <m/>
    <m/>
    <m/>
    <m/>
    <m/>
    <m/>
    <m/>
    <m/>
    <x v="0"/>
    <m/>
    <m/>
    <m/>
    <x v="0"/>
    <n v="79"/>
    <n v="39.25277777777778"/>
  </r>
  <r>
    <n v="305"/>
    <x v="247"/>
    <s v="Useche  Useche "/>
    <s v="Cédula de ciudadanía"/>
    <n v="83182288"/>
    <s v="Empleado"/>
    <s v="Término indefinido"/>
    <x v="135"/>
    <m/>
    <s v="Mensual"/>
    <n v="1300000"/>
    <s v="Si"/>
    <s v="Centro de trabajo Riesgo 4"/>
    <m/>
    <s v="joseurleyuseche@gmail.com"/>
    <m/>
    <s v="Transferencia Bancaria"/>
    <s v="Daviplata"/>
    <s v="Cuenta de Ahorros"/>
    <n v="3218886630"/>
    <x v="237"/>
    <s v="Calle 20 A No. 23-20 Barrio Berlin Armenia"/>
    <n v="3218886630"/>
    <s v="Armenia"/>
    <s v="Operaciones"/>
    <x v="38"/>
    <s v="Operativo"/>
    <s v="Nueva EPS "/>
    <s v="Protección"/>
    <s v="Porvenir "/>
    <x v="0"/>
    <s v="Hombre"/>
    <s v="ordinario"/>
    <s v="No"/>
    <m/>
    <s v="Si "/>
    <s v="Hijos"/>
    <s v="No"/>
    <s v="Si"/>
    <m/>
    <m/>
    <x v="59"/>
    <s v="Renuncia voluntaria"/>
    <m/>
    <m/>
    <x v="1"/>
    <n v="74"/>
    <n v="48.274999999999999"/>
  </r>
  <r>
    <n v="306"/>
    <x v="248"/>
    <s v="Rendon Angel"/>
    <s v="Cédula de ciudadanía"/>
    <n v="1094921609"/>
    <s v="Empleado"/>
    <s v="Término indefinido"/>
    <x v="135"/>
    <m/>
    <s v="Mensual"/>
    <n v="1300000"/>
    <s v="Si"/>
    <s v="Centro de trabajo Riesgo 4"/>
    <m/>
    <s v="rendonyesit@gmail.com"/>
    <m/>
    <s v="Transferencia Bancaria"/>
    <s v="Daviplata"/>
    <s v="Cuenta de Ahorros"/>
    <n v="3234586371"/>
    <x v="238"/>
    <s v="Barrio Villa Sofia Mz A Casa 6"/>
    <n v="3234586371"/>
    <s v="Armenia"/>
    <s v="Operaciones"/>
    <x v="78"/>
    <s v="Mano de Obra Directa"/>
    <s v="Sanitas"/>
    <s v="Protección"/>
    <s v="Porvenir"/>
    <x v="0"/>
    <s v="Hombre"/>
    <s v="ordinario"/>
    <s v="No"/>
    <m/>
    <s v="No"/>
    <m/>
    <s v="No"/>
    <s v="No"/>
    <m/>
    <s v="No"/>
    <x v="65"/>
    <s v="Periodo de prueba"/>
    <m/>
    <m/>
    <x v="1"/>
    <n v="32"/>
    <n v="33.527777777777779"/>
  </r>
  <r>
    <n v="307"/>
    <x v="249"/>
    <s v=" Rojas Silva "/>
    <s v="Permiso por protección  temporal"/>
    <n v="7361710"/>
    <s v="Empleado"/>
    <s v="Término indefinido"/>
    <x v="136"/>
    <m/>
    <s v="Mensual"/>
    <n v="1300000"/>
    <s v="Si"/>
    <s v="Centro de trabajo Riesgo 4"/>
    <m/>
    <s v="gussy30000@gmail.com"/>
    <m/>
    <s v="Transferencia Bancaria"/>
    <s v="Banco Davivienda"/>
    <s v="Cuenta de Ahorros"/>
    <s v="0550136600213229"/>
    <x v="239"/>
    <s v="Barrio El Recreo Mz I Casa 21"/>
    <n v="3104872995"/>
    <s v="Armenia "/>
    <s v="Operaciones"/>
    <x v="78"/>
    <s v="Operativo"/>
    <s v="Sanitas "/>
    <s v="Colpensiones"/>
    <s v="Porvenir "/>
    <x v="0"/>
    <s v="Hombre"/>
    <s v="ordinario"/>
    <s v="No"/>
    <m/>
    <s v="No "/>
    <m/>
    <m/>
    <s v="No"/>
    <m/>
    <s v="No"/>
    <x v="0"/>
    <m/>
    <m/>
    <m/>
    <x v="0"/>
    <n v="76"/>
    <n v="20.708333333333332"/>
  </r>
  <r>
    <n v="308"/>
    <x v="250"/>
    <s v="Giraldo Castañeda"/>
    <s v="Cédula de ciudadanía"/>
    <n v="1094898971"/>
    <s v="Empleado"/>
    <s v="Término indefinido"/>
    <x v="100"/>
    <m/>
    <s v="Mensual"/>
    <n v="1300000"/>
    <s v="Si"/>
    <s v="Centro de trabajo Riesgo 2"/>
    <s v="Si"/>
    <s v="lala2076@hotmail.com"/>
    <m/>
    <s v="Efectivo"/>
    <m/>
    <m/>
    <m/>
    <x v="240"/>
    <s v="Casa 9 Mz 7 Guaduales de la Villa Armenia"/>
    <n v="3135439795"/>
    <s v="Palta Hotel"/>
    <s v="Operativa"/>
    <x v="96"/>
    <s v="Operativo"/>
    <s v="EPS Sura"/>
    <s v="Porvenir"/>
    <s v="Protección"/>
    <x v="22"/>
    <s v="Hombre"/>
    <s v="dirección, confianza y/o manejo"/>
    <s v="Si"/>
    <n v="200000"/>
    <s v="No"/>
    <s v="No aplica"/>
    <s v="No"/>
    <s v="No"/>
    <s v="No aplica"/>
    <s v="No"/>
    <x v="0"/>
    <m/>
    <m/>
    <m/>
    <x v="0"/>
    <n v="79"/>
    <n v="35.905555555555559"/>
  </r>
  <r>
    <n v="309"/>
    <x v="39"/>
    <s v="Gañan Gañan"/>
    <s v="Cédula de ciudadanía"/>
    <n v="41953966"/>
    <s v="Empleado"/>
    <s v="Término indefinido"/>
    <x v="100"/>
    <m/>
    <s v="Mensual"/>
    <n v="1372800"/>
    <s v="Si"/>
    <s v="Centro de trabajo Riesgo 1"/>
    <m/>
    <s v="gananlida3@gmail.com"/>
    <m/>
    <s v="Transferencia Bancaria"/>
    <s v="Bancolombia"/>
    <s v="Cuenta de Ahorros"/>
    <n v="76100001328"/>
    <x v="241"/>
    <s v="Conjunto Residencial Chilacoa Bloque 19 Apto 301 Armenia"/>
    <n v="3148274879"/>
    <s v="Oficina - Armenia"/>
    <s v="Servicios "/>
    <x v="23"/>
    <s v="Mano de Obra Directa"/>
    <s v="Aliansalud EPS"/>
    <s v="Porvenir"/>
    <s v="Porvenir"/>
    <x v="19"/>
    <s v="Mujer"/>
    <s v="ordinario"/>
    <s v="No"/>
    <m/>
    <m/>
    <m/>
    <m/>
    <m/>
    <m/>
    <m/>
    <x v="0"/>
    <m/>
    <m/>
    <m/>
    <x v="0"/>
    <n v="79"/>
    <n v="41.575000000000003"/>
  </r>
  <r>
    <n v="310"/>
    <x v="40"/>
    <s v="Chavez Valdes "/>
    <s v="Cédula de ciudadanía"/>
    <n v="24499820"/>
    <s v="Empleado"/>
    <s v="Término indefinido"/>
    <x v="100"/>
    <m/>
    <s v="Mensual"/>
    <n v="1372000"/>
    <s v="Si"/>
    <s v="Centro de trabajo Riesgo 1"/>
    <m/>
    <s v="deisychavez098@gmail.com"/>
    <m/>
    <s v="Transferencia Bancaria"/>
    <s v="Bancolombia"/>
    <s v="Cuenta de Ahorros"/>
    <n v="76100001327"/>
    <x v="242"/>
    <s v="La nueva Tebaida Mz 26 Casa 5 Primera Etapa"/>
    <n v="3104116489"/>
    <s v="Oficina - Armenia"/>
    <s v="Servicios "/>
    <x v="23"/>
    <s v="Mano de Obra Directa"/>
    <s v="EPS Sura"/>
    <s v="Protección"/>
    <s v="Porvenir"/>
    <x v="19"/>
    <s v="Mujer"/>
    <s v="ordinario"/>
    <s v="No"/>
    <m/>
    <m/>
    <m/>
    <m/>
    <m/>
    <m/>
    <m/>
    <x v="0"/>
    <m/>
    <m/>
    <m/>
    <x v="0"/>
    <n v="79"/>
    <n v="51.930555555555557"/>
  </r>
  <r>
    <n v="311"/>
    <x v="18"/>
    <s v="Giraldo Osorio"/>
    <s v="Cédula de ciudadanía"/>
    <n v="41935534"/>
    <s v="Empleado"/>
    <s v="Término indefinido"/>
    <x v="100"/>
    <m/>
    <s v="Integral Mensual"/>
    <n v="30000000"/>
    <s v="No"/>
    <s v="Centro de trabajo Riesgo 1"/>
    <m/>
    <s v="mo.nana@hotmail.com"/>
    <m/>
    <s v="Transferencia Bancaria"/>
    <s v="Banco Davivienda"/>
    <s v="Cuenta de Ahorros"/>
    <m/>
    <x v="18"/>
    <s v="HACIENDA EL CABRERO CASA N 20"/>
    <n v="3022382707"/>
    <s v="Oficina - Armenia"/>
    <s v="Gerencia"/>
    <x v="9"/>
    <s v="Administrativo"/>
    <s v="EPS Sura"/>
    <s v="Porvenir"/>
    <m/>
    <x v="19"/>
    <s v="Mujer"/>
    <s v="dirección, confianza y/o manejo"/>
    <s v="Si"/>
    <n v="29000000"/>
    <m/>
    <m/>
    <m/>
    <m/>
    <m/>
    <m/>
    <x v="0"/>
    <m/>
    <m/>
    <m/>
    <x v="0"/>
    <n v="79"/>
    <n v="47.7"/>
  </r>
  <r>
    <n v="312"/>
    <x v="2"/>
    <s v="Jaramillo Santacoloma"/>
    <s v="Cédula de ciudadanía"/>
    <n v="89005598"/>
    <s v="Empleado"/>
    <s v="Término indefinido"/>
    <x v="100"/>
    <m/>
    <s v="Integral Mensual"/>
    <n v="16900000"/>
    <s v="No"/>
    <s v="Centro de trabajo Riesgo 1"/>
    <m/>
    <s v="cejsa@hotmail.com"/>
    <m/>
    <s v="Transferencia Bancaria"/>
    <s v="Banco Davivienda"/>
    <s v="Cuenta de Ahorros"/>
    <m/>
    <x v="17"/>
    <s v="HACIENDA EL CABRERO CASA N 20"/>
    <n v="3136668172"/>
    <s v="Oficina - Armenia"/>
    <s v="Gerencia"/>
    <x v="13"/>
    <s v="Administrativo"/>
    <s v="Salud Total"/>
    <s v="Protección"/>
    <m/>
    <x v="19"/>
    <s v="Hombre"/>
    <s v="dirección, confianza y/o manejo"/>
    <m/>
    <n v="9100000"/>
    <m/>
    <m/>
    <m/>
    <m/>
    <m/>
    <m/>
    <x v="0"/>
    <m/>
    <m/>
    <m/>
    <x v="0"/>
    <n v="79"/>
    <n v="47.725000000000001"/>
  </r>
  <r>
    <n v="313"/>
    <x v="251"/>
    <s v="Barreto Vanegas"/>
    <s v="Cédula de ciudadanía"/>
    <n v="1007730880"/>
    <s v="Empleado"/>
    <s v="Término indefinido"/>
    <x v="137"/>
    <m/>
    <s v="Mensual"/>
    <n v="1300000"/>
    <s v="Si"/>
    <s v="Centro de trabajo Riesgo 3"/>
    <s v="Si"/>
    <s v="chillin1009@gmail.com"/>
    <m/>
    <s v="Transferencia Bancaria"/>
    <s v="Banco Davivienda"/>
    <s v="Cuenta de Ahorros"/>
    <n v="488422470895"/>
    <x v="243"/>
    <s v="Carrera 24 #30 - 52 Conjunto Inés Juliana Casa 8 Calarcá Q."/>
    <n v="3225892978"/>
    <s v="Restaurante El Solar"/>
    <s v="Servicio y producción"/>
    <x v="19"/>
    <s v="Mano de Obra Directa "/>
    <s v="Sanitas"/>
    <s v="Protección"/>
    <s v="Protección"/>
    <x v="3"/>
    <s v="Hombre"/>
    <s v="ordinario"/>
    <s v="Si"/>
    <n v="160000"/>
    <s v="No"/>
    <s v="No aplica"/>
    <s v="No aplica"/>
    <s v="Si"/>
    <s v="Hijos"/>
    <s v="No"/>
    <x v="66"/>
    <s v="Renuncia voluntaria"/>
    <m/>
    <m/>
    <x v="1"/>
    <n v="27"/>
    <n v="23.566666666666666"/>
  </r>
  <r>
    <n v="314"/>
    <x v="252"/>
    <s v="Ramírez Bedoya"/>
    <s v="Cédula de ciudadanía"/>
    <n v="89003300"/>
    <s v="Empleado"/>
    <s v="Término indefinido"/>
    <x v="88"/>
    <m/>
    <s v="Mensual"/>
    <n v="1300000"/>
    <s v="Si"/>
    <s v="Centro de trabajo Riesgo 2"/>
    <s v="Si"/>
    <s v="ramirezdaniela1228@gmail.com"/>
    <m/>
    <s v="Efectivo"/>
    <m/>
    <m/>
    <m/>
    <x v="244"/>
    <s v="La Tebaida"/>
    <n v="3108961998"/>
    <s v="Corporacion Vaqueros "/>
    <s v="Operativa"/>
    <x v="97"/>
    <s v="Mano de Obra Directa"/>
    <s v="S.O.S. Servicio Occidental de Salud S.A."/>
    <s v="Protección"/>
    <s v="Protección"/>
    <x v="15"/>
    <s v="Hombre"/>
    <s v="ordinario"/>
    <s v="No"/>
    <m/>
    <s v="No"/>
    <s v="No aplica"/>
    <s v="No aplica"/>
    <s v="No"/>
    <s v="No aplica"/>
    <s v="No"/>
    <x v="0"/>
    <m/>
    <m/>
    <m/>
    <x v="0"/>
    <n v="247"/>
    <n v="48.68611111111111"/>
  </r>
  <r>
    <n v="315"/>
    <x v="253"/>
    <s v="Orejuela Téllez"/>
    <s v="Cédula de ciudadanía"/>
    <n v="1116441248"/>
    <s v="Empleado"/>
    <s v="Término indefinido"/>
    <x v="138"/>
    <m/>
    <s v="Mensual"/>
    <n v="1300000"/>
    <s v="Si"/>
    <s v="Centro de trabajo Riesgo 2"/>
    <s v="Si"/>
    <s v="jessi.ore.16@hotmail.com"/>
    <m/>
    <s v="Transferencia Bancaria"/>
    <s v="Bancolombia"/>
    <s v="Cuenta de Ahorros"/>
    <s v="03203571821"/>
    <x v="158"/>
    <s v="Cr. 9 No. 51-255 Conjunto Entre Lomas Armenia"/>
    <s v="3203571821"/>
    <s v="Corporacion Vaqueros "/>
    <s v="Operativa "/>
    <x v="98"/>
    <s v="Mano de Obra Directa "/>
    <s v="Nueva EPS"/>
    <s v="Porvenir"/>
    <s v="Porvenir"/>
    <x v="15"/>
    <s v="Mujer"/>
    <s v="ordinario"/>
    <s v="Si"/>
    <n v="242000"/>
    <s v="No"/>
    <s v="No aplica"/>
    <s v="No aplica"/>
    <s v="No"/>
    <s v="No aplica"/>
    <s v="No"/>
    <x v="0"/>
    <m/>
    <m/>
    <m/>
    <x v="0"/>
    <n v="445"/>
    <n v="31.711111111111112"/>
  </r>
  <r>
    <n v="316"/>
    <x v="12"/>
    <s v="Aristizabal Fernandez "/>
    <s v="Cédula de ciudadanía"/>
    <n v="1094942867"/>
    <s v="Empleado"/>
    <s v="Término indefinido"/>
    <x v="139"/>
    <m/>
    <s v="Mensual"/>
    <n v="4000000"/>
    <s v="No"/>
    <s v="Centro de trabajo Riesgo 1"/>
    <s v="Si"/>
    <s v="santiago@gomezvalencia.com"/>
    <m/>
    <s v="Transferencia Bancaria"/>
    <s v="Bancolombia"/>
    <s v="Cuenta de Ahorros"/>
    <n v="75685210355"/>
    <x v="245"/>
    <s v="Calle 31 Norte No. 20-80, apto 606"/>
    <n v="3173763478"/>
    <s v="Armenia"/>
    <s v="Legal"/>
    <x v="99"/>
    <s v="Mano de Obra Directa"/>
    <s v="EPS Sura"/>
    <s v="Porvenir"/>
    <s v="Porvenir"/>
    <x v="16"/>
    <s v="Hombre"/>
    <s v="dirección, confianza y/o manejo"/>
    <s v="Si"/>
    <n v="2000000"/>
    <s v="No"/>
    <s v="No aplica"/>
    <s v="No aplica"/>
    <s v="No"/>
    <s v="No aplica"/>
    <s v="No aplica"/>
    <x v="0"/>
    <m/>
    <m/>
    <m/>
    <x v="0"/>
    <n v="274"/>
    <n v="29.755555555555556"/>
  </r>
  <r>
    <n v="317"/>
    <x v="254"/>
    <s v="Gómez Montoya"/>
    <s v="Cédula de ciudadanía"/>
    <n v="1094952981"/>
    <s v="Empleado"/>
    <s v="Término indefinido"/>
    <x v="39"/>
    <m/>
    <s v="Mensual"/>
    <n v="6000000"/>
    <s v="No"/>
    <s v="Centro de trabajo Riesgo 1"/>
    <s v="Si"/>
    <s v="maria@gomezvalencia.com"/>
    <m/>
    <s v="Transferencia Bancaria"/>
    <s v="Bancolombia"/>
    <s v="Cuenta de Ahorros"/>
    <n v="86749336660"/>
    <x v="246"/>
    <s v="Apto 302 torre 3 Conjunto Corales "/>
    <n v="3112943312"/>
    <s v="Armenia"/>
    <s v="Legal"/>
    <x v="62"/>
    <s v="Administrativo"/>
    <s v="EPS Sura"/>
    <s v="Colpensiones"/>
    <s v="Porvenir"/>
    <x v="16"/>
    <s v="Mujer"/>
    <s v="dirección, confianza y/o manejo"/>
    <s v="No"/>
    <m/>
    <s v="No"/>
    <s v="No aplica"/>
    <s v="No aplica"/>
    <s v="No"/>
    <s v="No aplica"/>
    <s v="No aplica"/>
    <x v="0"/>
    <m/>
    <m/>
    <m/>
    <x v="0"/>
    <n v="643"/>
    <n v="28.408333333333335"/>
  </r>
  <r>
    <n v="318"/>
    <x v="255"/>
    <s v="Flórez Hernández "/>
    <s v="Cédula de ciudadanía"/>
    <n v="1117015421"/>
    <s v="Empleado"/>
    <s v="Término indefinido"/>
    <x v="100"/>
    <m/>
    <s v="Mensual"/>
    <n v="1300000"/>
    <s v="Si"/>
    <s v="Centro de trabajo Riesgo 3"/>
    <s v="Si"/>
    <s v="lauraximenaflorezhernandez43@gmail.com"/>
    <m/>
    <s v="Transferencia Bancaria"/>
    <s v="Nequi"/>
    <s v="Cuenta de Ahorros"/>
    <s v="0317727130"/>
    <x v="247"/>
    <s v="Casa 4 Mz E1 Barrio El Cantarito La Tebaida"/>
    <n v="3217727130"/>
    <s v="PIBO Mall Paraíso"/>
    <s v="Caja"/>
    <x v="51"/>
    <s v="Pibo"/>
    <s v="Nueva EPS"/>
    <s v="Colpensiones"/>
    <s v="Protección"/>
    <x v="10"/>
    <s v="Mujer"/>
    <s v="ordinario"/>
    <s v="No"/>
    <m/>
    <s v="No "/>
    <s v="No aplica"/>
    <s v="No aplica"/>
    <s v="No"/>
    <s v="No aplica"/>
    <s v="No aplica"/>
    <x v="0"/>
    <m/>
    <m/>
    <m/>
    <x v="0"/>
    <n v="79"/>
    <n v="18.602777777777778"/>
  </r>
  <r>
    <n v="319"/>
    <x v="256"/>
    <s v="Lugo Morales"/>
    <s v="Cédula de ciudadanía"/>
    <n v="1116447588"/>
    <s v="Empleado"/>
    <s v="Término indefinido"/>
    <x v="140"/>
    <m/>
    <s v="Mensual"/>
    <n v="1300000"/>
    <s v="Si"/>
    <s v="Centro de trabajo Riesgo 2"/>
    <s v="Si"/>
    <m/>
    <m/>
    <s v="Efectivo"/>
    <m/>
    <m/>
    <m/>
    <x v="248"/>
    <s v="Finca Balkanes"/>
    <m/>
    <s v="Valle del Cauca"/>
    <s v="Operativa "/>
    <x v="24"/>
    <s v="Mano de Obra Directa "/>
    <s v="Nueva EPS"/>
    <s v="Porvenir"/>
    <s v="Porvenir"/>
    <x v="5"/>
    <s v="Hombre"/>
    <s v="ordinario"/>
    <s v="No"/>
    <m/>
    <s v="No "/>
    <s v="No aplica"/>
    <s v="No aplica"/>
    <s v="No"/>
    <s v="No aplica"/>
    <s v="No aplica"/>
    <x v="0"/>
    <m/>
    <m/>
    <m/>
    <x v="0"/>
    <n v="87"/>
    <n v="26.6"/>
  </r>
  <r>
    <n v="320"/>
    <x v="257"/>
    <s v="Sepulveda Betancourt"/>
    <s v="Cédula de ciudadanía"/>
    <n v="94231737"/>
    <s v="Empleado"/>
    <s v="Término indefinido"/>
    <x v="141"/>
    <m/>
    <s v="Mensual"/>
    <n v="1300000"/>
    <s v="Si"/>
    <s v="Centro de trabajo Riesgo 2"/>
    <s v="Si"/>
    <s v="alexandersepulveda296@hotmail.com"/>
    <m/>
    <s v="Transferencia Bancaria"/>
    <s v="Daviplata"/>
    <s v="Cuenta de Ahorros"/>
    <n v="3214333994"/>
    <x v="249"/>
    <s v="Quebrada Nueva Zarzal "/>
    <n v="3214333994"/>
    <s v="La Duquesa"/>
    <s v="Operativa"/>
    <x v="6"/>
    <s v="Mano de Obra Directa "/>
    <s v="Emssanar"/>
    <s v="Colpensiones"/>
    <s v="Porvenir"/>
    <x v="19"/>
    <s v="Hombre"/>
    <s v="ordinario"/>
    <s v="No"/>
    <m/>
    <m/>
    <m/>
    <m/>
    <m/>
    <m/>
    <m/>
    <x v="0"/>
    <m/>
    <m/>
    <m/>
    <x v="0"/>
    <n v="73"/>
    <n v="43.408333333333331"/>
  </r>
  <r>
    <n v="321"/>
    <x v="258"/>
    <s v="Sanchez Ospina"/>
    <s v="Cédula de ciudadanía"/>
    <n v="1005159973"/>
    <s v="Empleado"/>
    <s v="Término indefinido"/>
    <x v="142"/>
    <m/>
    <s v="Mensual"/>
    <n v="1300000"/>
    <s v="Si"/>
    <s v="Centro de trabajo Riesgo 2"/>
    <s v="Si"/>
    <s v="sanchezospinafranky@gmail.com"/>
    <m/>
    <s v="Transferencia Bancaria"/>
    <s v="Banco Davivienda"/>
    <s v="Cuenta de Ahorros"/>
    <s v="550488443320673"/>
    <x v="250"/>
    <s v="Quebrada Nueva Zarzal "/>
    <n v="3016694519"/>
    <s v="La Duquesa"/>
    <s v="Operativa"/>
    <x v="6"/>
    <s v="Mano de Obra Directa"/>
    <s v="Emssanar"/>
    <s v="Porvenir"/>
    <s v="Porvenir"/>
    <x v="19"/>
    <s v="Hombre"/>
    <s v="ordinario"/>
    <s v="No"/>
    <m/>
    <m/>
    <m/>
    <m/>
    <m/>
    <m/>
    <m/>
    <x v="0"/>
    <m/>
    <m/>
    <m/>
    <x v="0"/>
    <n v="72"/>
    <n v="22.341666666666665"/>
  </r>
  <r>
    <n v="322"/>
    <x v="259"/>
    <s v="Renteria Viveros"/>
    <s v="Cédula de ciudadanía"/>
    <n v="16500918"/>
    <s v="Empleado"/>
    <s v="Término indefinido"/>
    <x v="141"/>
    <m/>
    <s v="Mensual"/>
    <n v="1300000"/>
    <s v="Si"/>
    <s v="Centro de trabajo Riesgo 2"/>
    <s v="Si"/>
    <m/>
    <m/>
    <s v="Transferencia Bancaria"/>
    <m/>
    <m/>
    <m/>
    <x v="251"/>
    <s v="Barrio La Estación Quebradanueva  "/>
    <n v="3102281779"/>
    <s v="La Duquesa"/>
    <s v="Operativa "/>
    <x v="6"/>
    <s v="Mano de Obra Directa "/>
    <s v="EPS Sura"/>
    <s v="Colfondos "/>
    <s v="Porvenir"/>
    <x v="19"/>
    <s v="Hombre"/>
    <s v="ordinario"/>
    <s v="No"/>
    <m/>
    <m/>
    <m/>
    <m/>
    <m/>
    <m/>
    <m/>
    <x v="0"/>
    <m/>
    <m/>
    <m/>
    <x v="0"/>
    <n v="73"/>
    <n v="51.422222222222224"/>
  </r>
  <r>
    <n v="323"/>
    <x v="260"/>
    <s v="Rodríguez Hincapié"/>
    <s v="Cédula de ciudadanía"/>
    <n v="1006575191"/>
    <s v="Empleado"/>
    <s v="Término indefinido"/>
    <x v="143"/>
    <m/>
    <s v="Mensual"/>
    <n v="1300000"/>
    <s v="Si"/>
    <s v="Centro de trabajo Riesgo 2"/>
    <s v="Si"/>
    <s v="mario1203hincapie@gmail.com"/>
    <m/>
    <s v="Efectivo"/>
    <m/>
    <m/>
    <m/>
    <x v="252"/>
    <s v="Kr 40 cl 51-41 torre 4 Apto 13C"/>
    <n v="3126495609"/>
    <s v="La Cava Terraza"/>
    <s v="Servicios"/>
    <x v="93"/>
    <s v="Mano de Obra Directa "/>
    <s v="Porvenir "/>
    <s v="Famisanar "/>
    <s v="Porvenir"/>
    <x v="20"/>
    <s v="Hombre"/>
    <s v="ordinario"/>
    <s v="Si"/>
    <m/>
    <s v="No "/>
    <s v="No aplica"/>
    <s v="No aplica"/>
    <s v="No "/>
    <s v="No aplica"/>
    <m/>
    <x v="0"/>
    <m/>
    <m/>
    <m/>
    <x v="0"/>
    <n v="110"/>
    <n v="22.227777777777778"/>
  </r>
  <r>
    <n v="324"/>
    <x v="261"/>
    <s v="Idarraga Restrepo"/>
    <s v="Cédula de ciudadanía"/>
    <n v="4565451"/>
    <s v="Empleado"/>
    <s v="Término indefinido"/>
    <x v="144"/>
    <m/>
    <s v="Mensual"/>
    <n v="1350000"/>
    <s v="Si"/>
    <s v="Centro de trabajo Riesgo 1"/>
    <s v="Si"/>
    <s v="carlosidarraga58@gmail.com"/>
    <m/>
    <s v="Transferencia Bancaria"/>
    <s v="Banco Davivienda"/>
    <s v="Cuenta de Ahorros"/>
    <s v="488419649113"/>
    <x v="253"/>
    <s v="Casa 3 Mz 10 Quintas de los Andes Armenia "/>
    <s v="3147039895"/>
    <s v="Administrativo AXM "/>
    <s v="Administrativa "/>
    <x v="3"/>
    <s v="Administrativo"/>
    <s v="ADRES (regímenes especiales)"/>
    <s v="Protección"/>
    <s v="Protección"/>
    <x v="14"/>
    <s v="Hombre"/>
    <s v="ordinario"/>
    <s v="No"/>
    <m/>
    <s v="No"/>
    <s v="No aplica"/>
    <s v="No aplica"/>
    <s v="No"/>
    <s v="No aplica"/>
    <s v="No aplica"/>
    <x v="67"/>
    <m/>
    <m/>
    <m/>
    <x v="1"/>
    <n v="33"/>
    <n v="47.527777777777779"/>
  </r>
  <r>
    <n v="325"/>
    <x v="191"/>
    <s v="Lederer Brito"/>
    <s v="Cédula de ciudadanía"/>
    <n v="1094885125"/>
    <s v="Empleado"/>
    <s v="Término indefinido"/>
    <x v="145"/>
    <m/>
    <s v="Mensual"/>
    <n v="9355950"/>
    <s v="No"/>
    <s v="Centro de trabajo Riesgo 1"/>
    <s v="Si"/>
    <s v="carolinalederer@gmail.com"/>
    <m/>
    <s v="Transferencia Bancaria"/>
    <s v="Banco Davivienda"/>
    <s v="Cuenta de Ahorros"/>
    <s v="472870051241"/>
    <x v="254"/>
    <s v="Casa 18 Condominio Pontevedra"/>
    <n v="3202031475"/>
    <s v="Administrativo AXM "/>
    <s v="Administrativa"/>
    <x v="100"/>
    <s v="Administrativo"/>
    <s v="Nueva EPS"/>
    <s v="Protección"/>
    <s v="Protección"/>
    <x v="14"/>
    <s v="Mujer"/>
    <s v="dirección, confianza y/o manejo"/>
    <s v="No"/>
    <m/>
    <s v="No"/>
    <s v="No aplica"/>
    <s v="No aplica"/>
    <s v="No"/>
    <s v="No aplica"/>
    <s v="No aplica"/>
    <x v="0"/>
    <m/>
    <m/>
    <m/>
    <x v="0"/>
    <n v="2082"/>
    <n v="38.147222222222226"/>
  </r>
  <r>
    <n v="326"/>
    <x v="262"/>
    <s v="Arias Loaiza"/>
    <s v="Cédula de ciudadanía"/>
    <n v="7560064"/>
    <s v="Empleado"/>
    <s v="Término indefinido"/>
    <x v="146"/>
    <m/>
    <s v="Mensual"/>
    <n v="1350000"/>
    <s v="Si"/>
    <s v="Centro de trabajo Riesgo 4"/>
    <s v="Si"/>
    <s v="aljames8@gmail.com"/>
    <m/>
    <s v="Transferencia Bancaria"/>
    <s v="Banco Davivienda"/>
    <s v="Cuenta de Ahorros"/>
    <s v="136000937724"/>
    <x v="255"/>
    <s v="Mz n74 Barrio Manantiales"/>
    <n v="3216700466"/>
    <s v="Administrativo AXM "/>
    <s v="Administrativa"/>
    <x v="3"/>
    <s v="Administrativo"/>
    <s v="Sanitas"/>
    <s v="Protección"/>
    <s v="Protección"/>
    <x v="14"/>
    <s v="Hombre"/>
    <s v="ordinario"/>
    <s v="Si"/>
    <n v="1005500"/>
    <s v="No"/>
    <s v="No aplica"/>
    <s v="No aplica"/>
    <s v="No"/>
    <s v="No aplica"/>
    <s v="No aplica"/>
    <x v="68"/>
    <s v="Renuncia voluntaria"/>
    <m/>
    <m/>
    <x v="1"/>
    <n v="468"/>
    <n v="53.908333333333331"/>
  </r>
  <r>
    <n v="327"/>
    <x v="263"/>
    <s v="Pulido Pineda"/>
    <s v="Cédula de ciudadanía"/>
    <n v="94254019"/>
    <s v="Empleado"/>
    <s v="Término indefinido"/>
    <x v="147"/>
    <m/>
    <s v="Mensual"/>
    <n v="1300000"/>
    <s v="No"/>
    <s v="Centro de trabajo Riesgo 2"/>
    <s v="Si"/>
    <m/>
    <m/>
    <s v="Efectivo"/>
    <m/>
    <m/>
    <m/>
    <x v="256"/>
    <s v="La Granjita Alcalá "/>
    <n v="3059056275"/>
    <s v="Administrativo AXM "/>
    <s v="Administrativa"/>
    <x v="101"/>
    <s v="Administrativo"/>
    <s v="Asmet Salud"/>
    <s v="Protección"/>
    <s v="Protección"/>
    <x v="14"/>
    <s v="Hombre"/>
    <s v="ordinario"/>
    <s v="Si"/>
    <n v="400000"/>
    <s v="No"/>
    <s v="No aplica"/>
    <s v="No aplica"/>
    <s v="No"/>
    <s v="No aplica"/>
    <s v="No aplica"/>
    <x v="69"/>
    <s v="Renuncia voluntaria"/>
    <m/>
    <m/>
    <x v="1"/>
    <n v="189"/>
    <n v="54.913888888888891"/>
  </r>
  <r>
    <n v="328"/>
    <x v="264"/>
    <s v="Lederer "/>
    <s v="Cédula extranjería"/>
    <n v="423560"/>
    <s v="Empleado"/>
    <s v="Término indefinido"/>
    <x v="145"/>
    <m/>
    <s v="Mensual"/>
    <n v="9355950"/>
    <s v="No"/>
    <s v="Centro de trabajo Riesgo 1"/>
    <s v="Si"/>
    <s v="klaus@lederer-group.org"/>
    <m/>
    <s v="Transferencia Bancaria"/>
    <s v="Banco Davivienda"/>
    <s v="Cuenta de Ahorros"/>
    <s v="472870051241"/>
    <x v="257"/>
    <s v="Casa 59 Lagos de Iraka La Tebaida - El Caimo"/>
    <n v="3202031475"/>
    <s v="Administrativo AXM "/>
    <s v="Administrativa "/>
    <x v="27"/>
    <s v="Administrativo"/>
    <s v="Nueva EPS "/>
    <s v="Colpensiones"/>
    <s v="Protección"/>
    <x v="14"/>
    <s v="Hombre"/>
    <s v="dirección, confianza y/o manejo"/>
    <s v="No"/>
    <m/>
    <s v="No"/>
    <s v="No aplica"/>
    <s v="No aplica"/>
    <s v="No"/>
    <s v="No aplica"/>
    <s v="No aplica"/>
    <x v="0"/>
    <m/>
    <m/>
    <m/>
    <x v="0"/>
    <n v="2082"/>
    <n v="39.858333333333334"/>
  </r>
  <r>
    <n v="329"/>
    <x v="265"/>
    <s v="Brito Pelaez "/>
    <s v="Cédula de ciudadanía"/>
    <n v="25018023"/>
    <s v="Empleado"/>
    <s v="Término indefinido"/>
    <x v="148"/>
    <m/>
    <s v="Mensual"/>
    <n v="1300000"/>
    <s v="Si"/>
    <s v="Centro de trabajo Riesgo 1"/>
    <s v="Si"/>
    <s v="lilianabrito04@gmail.com"/>
    <m/>
    <s v="Transferencia Bancaria"/>
    <s v="Banco Davivienda"/>
    <s v="Cuenta de Ahorros"/>
    <s v="138070031925"/>
    <x v="258"/>
    <s v="Apto 9 Edificio La Floresta Av. Bolívar 19 N - 10"/>
    <n v="3202031475"/>
    <s v="Administrativo AXM "/>
    <s v="Administrativa "/>
    <x v="102"/>
    <s v="Administrativo"/>
    <s v="Nueva EPS "/>
    <s v="No aplica "/>
    <s v="Protección"/>
    <x v="14"/>
    <s v="Mujer"/>
    <s v="ordinario"/>
    <s v="Si"/>
    <n v="993050"/>
    <s v="No"/>
    <s v="No aplica"/>
    <s v="No aplica"/>
    <s v="No"/>
    <s v="No aplica"/>
    <s v="No aplica"/>
    <x v="0"/>
    <m/>
    <m/>
    <m/>
    <x v="0"/>
    <n v="1920"/>
    <n v="64.686111111111117"/>
  </r>
  <r>
    <n v="330"/>
    <x v="266"/>
    <s v="Pescador Morales "/>
    <s v="Cédula de ciudadanía"/>
    <n v="29135471"/>
    <s v="Empleado"/>
    <s v="Término indefinido"/>
    <x v="149"/>
    <m/>
    <s v="Mensual"/>
    <n v="1740980"/>
    <s v="Si"/>
    <s v="Centro de trabajo Riesgo 1"/>
    <s v="Si"/>
    <s v="mije8910@gmail.com"/>
    <m/>
    <s v="Transferencia Bancaria"/>
    <s v="Banco Davivienda"/>
    <s v="Cuenta de Ahorros"/>
    <s v="136670078403"/>
    <x v="259"/>
    <s v="Apto 401 Torre 1 Edificio Poporo "/>
    <n v="3146678086"/>
    <s v="Administrativo AXM "/>
    <s v="Servicios generales "/>
    <x v="50"/>
    <s v="Mano  de obra directa "/>
    <s v="Salud Total"/>
    <s v="Porvenir"/>
    <s v="Fondo Nacional del Ahorro"/>
    <x v="14"/>
    <s v="Mujer"/>
    <s v="ordinario"/>
    <s v="No"/>
    <m/>
    <s v="No"/>
    <s v="No aplica"/>
    <s v="No aplica"/>
    <s v="No"/>
    <s v="No aplica"/>
    <s v="No aplica"/>
    <x v="0"/>
    <m/>
    <m/>
    <m/>
    <x v="0"/>
    <n v="870"/>
    <n v="55.95"/>
  </r>
  <r>
    <n v="331"/>
    <x v="267"/>
    <s v="Sánchez Pescador "/>
    <s v="Cédula de ciudadanía"/>
    <n v="24587845"/>
    <s v="Empleado"/>
    <s v="Término indefinido"/>
    <x v="150"/>
    <m/>
    <s v="Mensual"/>
    <n v="1300000"/>
    <s v="Si"/>
    <s v="Centro de trabajo Riesgo 1"/>
    <s v="Si"/>
    <s v="muchachitasuarez31@gmail.com"/>
    <m/>
    <s v="Transferencia Bancaria"/>
    <s v="Bancolombia"/>
    <s v="Cuenta de Ahorros"/>
    <s v="86552154454"/>
    <x v="260"/>
    <s v="Casa 30 Mz 2 Barcelona "/>
    <n v="3167532675"/>
    <s v="Administrativo AXM "/>
    <s v="Servicios generales "/>
    <x v="50"/>
    <s v="Mano  de obra directa "/>
    <s v="Salud Total"/>
    <s v="Protección"/>
    <s v="Porvenir"/>
    <x v="14"/>
    <s v="Mujer"/>
    <s v="ordinario"/>
    <s v="No"/>
    <m/>
    <s v="No"/>
    <s v="No aplica"/>
    <s v="No aplica"/>
    <s v="No"/>
    <s v="No aplica"/>
    <s v="No aplica"/>
    <x v="0"/>
    <m/>
    <m/>
    <m/>
    <x v="0"/>
    <n v="336"/>
    <n v="38.305555555555557"/>
  </r>
  <r>
    <n v="332"/>
    <x v="268"/>
    <s v="Arteta Escorcia "/>
    <s v="Cédula de ciudadanía"/>
    <n v="32828637"/>
    <s v="Empleado"/>
    <s v="Término indefinido"/>
    <x v="151"/>
    <m/>
    <s v="Mensual"/>
    <n v="1400000"/>
    <s v="Si"/>
    <s v="Centro de trabajo Riesgo 1"/>
    <s v="Si"/>
    <m/>
    <m/>
    <s v="Transferencia Bancaria"/>
    <s v="Bancolombia"/>
    <s v="Cuenta de Ahorros"/>
    <n v="28100015171"/>
    <x v="261"/>
    <s v="Apto 301 Bl. 11 Cl 3 N No. 18-49"/>
    <n v="3214928485"/>
    <s v="Administrativo AXM "/>
    <s v="Servicios generales "/>
    <x v="50"/>
    <s v="Mano  de obra directa "/>
    <s v="Salud Total"/>
    <s v="Protección"/>
    <s v="Protección"/>
    <x v="14"/>
    <s v="Mujer"/>
    <s v="ordinario"/>
    <s v="No"/>
    <m/>
    <s v="No"/>
    <s v="No aplica"/>
    <s v="No aplica"/>
    <s v="No"/>
    <s v="No aplica"/>
    <s v="No aplica"/>
    <x v="0"/>
    <m/>
    <m/>
    <m/>
    <x v="0"/>
    <n v="934"/>
    <n v="54.338888888888889"/>
  </r>
  <r>
    <n v="333"/>
    <x v="269"/>
    <s v="Ruíz Martínez "/>
    <s v="Cédula de ciudadanía"/>
    <n v="52453772"/>
    <s v="Empleado"/>
    <s v="Término indefinido"/>
    <x v="19"/>
    <m/>
    <s v="Mensual"/>
    <n v="2500000"/>
    <s v="No"/>
    <s v="Centro de trabajo Riesgo 1"/>
    <s v="Si"/>
    <s v="soleykris@gmail.com"/>
    <m/>
    <s v="Transferencia Bancaria"/>
    <s v="Bancolombia"/>
    <s v="Cuenta de Ahorros"/>
    <s v="20025825948"/>
    <x v="262"/>
    <s v="Apto 202 Calle 155 No. 14-80 interior"/>
    <n v="3188067958"/>
    <s v="Administrativo AXM "/>
    <s v="Administrativo "/>
    <x v="103"/>
    <s v="Administrativo"/>
    <s v="Sanitas"/>
    <s v="Porvenir"/>
    <s v="Fondo Nacional del Ahorro"/>
    <x v="14"/>
    <s v="Mujer"/>
    <s v="dirección, confianza y/o manejo"/>
    <s v="No"/>
    <m/>
    <s v="No"/>
    <s v="No aplica"/>
    <s v="No aplica"/>
    <s v="No"/>
    <s v="No aplica"/>
    <s v="No aplica"/>
    <x v="0"/>
    <m/>
    <m/>
    <m/>
    <x v="0"/>
    <n v="946"/>
    <n v="45.35"/>
  </r>
  <r>
    <n v="334"/>
    <x v="270"/>
    <s v="Marín Tabares "/>
    <s v="Cédula de ciudadanía"/>
    <n v="94463061"/>
    <s v="Empleado"/>
    <s v="Término indefinido"/>
    <x v="52"/>
    <m/>
    <s v="Mensual"/>
    <n v="1300000"/>
    <s v="Si"/>
    <s v="Centro de trabajo Riesgo 2"/>
    <s v="Si"/>
    <s v="alexandermonito42@gmail.com"/>
    <m/>
    <s v="Efectivo"/>
    <m/>
    <m/>
    <m/>
    <x v="263"/>
    <s v="Casa 4 Mz B Barrio La Ceiba Caicedonia "/>
    <n v="3217555567"/>
    <s v="Finca Rancho Largo"/>
    <s v="Campo"/>
    <x v="104"/>
    <s v="Mano de Obra Directa "/>
    <s v="S.O.S. Servicio Occidental de Salud S.A."/>
    <s v="Porvenir"/>
    <s v="Porvenir"/>
    <x v="23"/>
    <s v="Hombre"/>
    <s v="ordinario"/>
    <s v="No"/>
    <m/>
    <s v="No"/>
    <s v="No aplica"/>
    <s v="No aplica"/>
    <s v="No"/>
    <s v="No aplica"/>
    <s v="No aplica"/>
    <x v="0"/>
    <m/>
    <m/>
    <m/>
    <x v="0"/>
    <n v="428"/>
    <n v="44.975000000000001"/>
  </r>
  <r>
    <n v="335"/>
    <x v="271"/>
    <s v="Urrego Gónzalez "/>
    <s v="Cédula de ciudadanía"/>
    <n v="13991177"/>
    <s v="Empleado"/>
    <s v="Término indefinido"/>
    <x v="48"/>
    <m/>
    <s v="Mensual"/>
    <n v="1300000"/>
    <s v="Si"/>
    <s v="Centro de trabajo Riesgo 2"/>
    <s v="Si"/>
    <s v="jamesurrego73@hotmail.com"/>
    <m/>
    <s v="Efectivo"/>
    <m/>
    <m/>
    <m/>
    <x v="264"/>
    <s v="Cr. 7A - 02 Caicedonia "/>
    <s v="3146025202"/>
    <s v="Finca Rancho Largo"/>
    <s v="Campo"/>
    <x v="104"/>
    <s v="Mano de Obra Directa "/>
    <s v="EPS Sura"/>
    <s v="Porvenir"/>
    <s v="Porvenir"/>
    <x v="23"/>
    <s v="Hombre"/>
    <s v="ordinario"/>
    <s v="No"/>
    <m/>
    <s v="No"/>
    <s v="No aplica"/>
    <s v="No aplica"/>
    <s v="No"/>
    <s v="No aplica"/>
    <s v="No aplica"/>
    <x v="0"/>
    <m/>
    <m/>
    <m/>
    <x v="0"/>
    <n v="459"/>
    <n v="50.983333333333334"/>
  </r>
  <r>
    <n v="336"/>
    <x v="272"/>
    <s v="Torres Aguirre "/>
    <s v="Cédula de ciudadanía"/>
    <n v="16215387"/>
    <s v="Empleado"/>
    <s v="Término indefinido"/>
    <x v="52"/>
    <m/>
    <s v="Mensual"/>
    <n v="1300000"/>
    <s v="Si"/>
    <s v="Centro de trabajo Riesgo 2"/>
    <s v="Si"/>
    <s v="aguirretorresluisaalberto1962@gmail.com"/>
    <m/>
    <s v="Efectivo"/>
    <m/>
    <m/>
    <m/>
    <x v="23"/>
    <s v="Finca Alaska Montenegro "/>
    <n v="3117263706"/>
    <s v="Finca Rancho Largo"/>
    <s v="Campo"/>
    <x v="104"/>
    <s v="Mano de Obra Directa "/>
    <s v="S.O.S. Servicio Occidental de Salud S.A."/>
    <s v="Porvenir"/>
    <s v="Porvenir"/>
    <x v="23"/>
    <s v="Hombre"/>
    <s v="ordinario"/>
    <s v="No"/>
    <m/>
    <s v="No"/>
    <s v="No aplica"/>
    <s v="No aplica"/>
    <s v="No"/>
    <s v="No aplica"/>
    <s v="No aplica"/>
    <x v="0"/>
    <m/>
    <m/>
    <m/>
    <x v="0"/>
    <n v="428"/>
    <s v=""/>
  </r>
  <r>
    <n v="337"/>
    <x v="139"/>
    <s v="Reyes Sarria"/>
    <s v="Cédula de ciudadanía"/>
    <n v="1027952833"/>
    <s v="Empleado"/>
    <s v="Término indefinido"/>
    <x v="152"/>
    <m/>
    <s v="Mensual"/>
    <n v="1300000"/>
    <s v="Si"/>
    <s v="Centro de trabajo Riesgo 3"/>
    <s v="Si"/>
    <s v="karlosreyessarria@gmail.com"/>
    <m/>
    <s v="Transferencia Bancaria"/>
    <s v="Nequi"/>
    <s v="Cuenta de Ahorros"/>
    <n v="3114177155"/>
    <x v="265"/>
    <s v="Carrera 9 No. 14 - 16 Sector Centro La Tebaida "/>
    <n v="3114177155"/>
    <s v="Baronesa Mall Paraíso"/>
    <s v="Caja "/>
    <x v="51"/>
    <s v="Mall Paraíso"/>
    <s v="Nueva EPS"/>
    <s v="Porvenir"/>
    <s v="Porvenir"/>
    <x v="10"/>
    <s v="Hombre"/>
    <s v="ordinario"/>
    <s v="No"/>
    <m/>
    <s v="No"/>
    <s v="No aplica"/>
    <s v="No"/>
    <s v="No"/>
    <s v="No aplica"/>
    <s v="No"/>
    <x v="0"/>
    <m/>
    <m/>
    <m/>
    <x v="0"/>
    <n v="63"/>
    <n v="18.202777777777779"/>
  </r>
  <r>
    <n v="338"/>
    <x v="273"/>
    <s v="Marulanda Londoño"/>
    <s v="Cédula de ciudadanía"/>
    <n v="1098311433"/>
    <s v="Empleado"/>
    <s v="Término indefinido"/>
    <x v="153"/>
    <m/>
    <s v="Mensual"/>
    <n v="1300000"/>
    <s v="Si"/>
    <s v="Centro de trabajo Riesgo 3"/>
    <s v="Si"/>
    <s v="vl454339@gmail.com"/>
    <m/>
    <s v="Transferencia Bancaria"/>
    <s v="Banco Davivienda"/>
    <s v="Cuenta de Ahorros"/>
    <s v="488437237446"/>
    <x v="266"/>
    <s v="Barrio Villa Italia Mz M Casa 4 Calarcá"/>
    <n v="3116025552"/>
    <s v="Restaurante El Solar"/>
    <s v="Servicios"/>
    <x v="19"/>
    <s v="Mano de Obra Directa"/>
    <s v="Nueva EPS"/>
    <s v="Porvenir"/>
    <s v="Protección"/>
    <x v="3"/>
    <s v="Mujer"/>
    <s v="ordinario"/>
    <s v="No"/>
    <m/>
    <s v="Si"/>
    <s v="Hijos"/>
    <s v="No"/>
    <s v="Si"/>
    <s v="Hijos"/>
    <s v="No"/>
    <x v="0"/>
    <m/>
    <m/>
    <m/>
    <x v="0"/>
    <n v="23"/>
    <n v="28.955555555555556"/>
  </r>
  <r>
    <n v="339"/>
    <x v="274"/>
    <s v="Bedoya Rendon"/>
    <s v="Cédula de ciudadanía"/>
    <n v="9857641"/>
    <s v="Empleado"/>
    <s v="Término indefinido"/>
    <x v="154"/>
    <m/>
    <s v="Mensual"/>
    <n v="1300000"/>
    <s v="Si"/>
    <s v="Centro de trabajo Riesgo 2"/>
    <s v="Si"/>
    <s v="carlososorio8377@gmail.com"/>
    <m/>
    <s v="Transferencia Bancaria"/>
    <s v="Bancolombia"/>
    <s v="Cuenta de Ahorros"/>
    <s v="03128782877"/>
    <x v="267"/>
    <s v="Calle 30 a No. 20-04"/>
    <n v="3023726119"/>
    <s v="La Guairita"/>
    <s v="Producción"/>
    <x v="105"/>
    <s v="Mano de Obra Directa"/>
    <s v="Nueva EPS"/>
    <s v="Colpensiones"/>
    <s v="Fondo Nacional del Ahorro"/>
    <x v="24"/>
    <s v="Hombre"/>
    <s v="ordinario"/>
    <s v="No"/>
    <m/>
    <s v="No"/>
    <s v="No aplica"/>
    <s v="No"/>
    <s v="No"/>
    <s v="No aplica"/>
    <s v="No"/>
    <x v="0"/>
    <m/>
    <m/>
    <m/>
    <x v="0"/>
    <n v="2388"/>
    <n v="52.005555555555553"/>
  </r>
  <r>
    <n v="340"/>
    <x v="275"/>
    <s v="Cossio Piedrahita"/>
    <s v="Cédula de ciudadanía"/>
    <n v="15488245"/>
    <s v="Empleado"/>
    <s v="Término indefinido"/>
    <x v="20"/>
    <m/>
    <s v="Mensual"/>
    <n v="1300000"/>
    <s v="No"/>
    <s v="Centro de trabajo Riesgo 2"/>
    <s v="Si"/>
    <s v="cesar12@gmail.com"/>
    <m/>
    <s v="Transferencia Bancaria"/>
    <s v="Bancolombia"/>
    <s v="Cuenta de Ahorros"/>
    <s v="03188319706"/>
    <x v="268"/>
    <s v="Mz 2 N 12 Barrio Bello Horizonte"/>
    <n v="3188319706"/>
    <s v="La Guairita"/>
    <s v="Producción"/>
    <x v="105"/>
    <s v="Mano de Obra Directa"/>
    <s v="Sanitas"/>
    <s v="Porvenir"/>
    <s v="Porvenir"/>
    <x v="24"/>
    <s v="Hombre"/>
    <s v="ordinario"/>
    <s v="No"/>
    <m/>
    <s v="No"/>
    <s v="No aplica"/>
    <s v="No"/>
    <s v="No"/>
    <s v="No aplica"/>
    <s v="No"/>
    <x v="0"/>
    <m/>
    <m/>
    <m/>
    <x v="0"/>
    <n v="581"/>
    <n v="48.43888888888889"/>
  </r>
  <r>
    <n v="341"/>
    <x v="276"/>
    <s v="Gironza Gironza"/>
    <s v="Cédula de ciudadanía"/>
    <n v="76247766"/>
    <s v="Empleado"/>
    <s v="Término indefinido"/>
    <x v="60"/>
    <m/>
    <s v="Mensual"/>
    <n v="1300000"/>
    <s v="No"/>
    <s v="Centro de trabajo Riesgo 2"/>
    <s v="Si"/>
    <s v="hugo12@gmail.com"/>
    <m/>
    <s v="Efectivo"/>
    <m/>
    <m/>
    <m/>
    <x v="269"/>
    <s v="Casa 10 Mz 13 Barrio Portal de Pinares Armenia"/>
    <n v="3218331209"/>
    <s v="La Guairita"/>
    <s v="Producción"/>
    <x v="105"/>
    <s v="Mano de Obra Directa"/>
    <s v="Nueva EPS Movilidad"/>
    <s v="Colpensiones"/>
    <s v="Porvenir"/>
    <x v="24"/>
    <s v="Hombre"/>
    <s v="ordinario"/>
    <s v="No"/>
    <m/>
    <s v="No"/>
    <s v="No aplica"/>
    <s v="No"/>
    <s v="No"/>
    <s v="No aplica"/>
    <s v="No"/>
    <x v="0"/>
    <m/>
    <m/>
    <m/>
    <x v="0"/>
    <n v="400"/>
    <n v="53.969444444444441"/>
  </r>
  <r>
    <n v="342"/>
    <x v="277"/>
    <s v="Londoño Ríos"/>
    <s v="Cédula de ciudadanía"/>
    <n v="94285455"/>
    <s v="Empleado"/>
    <s v="Término indefinido"/>
    <x v="155"/>
    <m/>
    <s v="Mensual"/>
    <n v="1300000"/>
    <s v="No"/>
    <s v="Centro de trabajo Riesgo 2"/>
    <s v="Si"/>
    <m/>
    <m/>
    <s v="Transferencia Bancaria"/>
    <s v="Bancolombia"/>
    <s v="Cuenta de Ahorros"/>
    <n v="6954034991"/>
    <x v="270"/>
    <s v="Finca La Guairita"/>
    <n v="3217767336"/>
    <s v="La Guairita"/>
    <s v="Producción"/>
    <x v="105"/>
    <s v="Mano de Obra Directa"/>
    <s v="EPS Sura"/>
    <s v="Porvenir"/>
    <s v="Fondo Nacional del Ahorro"/>
    <x v="24"/>
    <s v="Hombre"/>
    <s v="ordinario"/>
    <s v="No"/>
    <m/>
    <s v="No"/>
    <s v="No aplica"/>
    <s v="No"/>
    <s v="No"/>
    <s v="No aplica"/>
    <s v="No"/>
    <x v="0"/>
    <m/>
    <m/>
    <m/>
    <x v="0"/>
    <n v="1540"/>
    <n v="47.833333333333336"/>
  </r>
  <r>
    <n v="343"/>
    <x v="278"/>
    <s v="Villa Zapata"/>
    <s v="Cédula de ciudadanía"/>
    <n v="39189518"/>
    <s v="Empleado"/>
    <s v="Término indefinido"/>
    <x v="134"/>
    <m/>
    <s v="Mensual"/>
    <n v="1345653"/>
    <s v="Si"/>
    <s v="Centro de trabajo Riesgo 1"/>
    <s v="Si"/>
    <s v="anavilla010578@gmail.com"/>
    <m/>
    <s v="Transferencia Bancaria"/>
    <s v="Bancolombia"/>
    <s v="Cuenta de Ahorros"/>
    <n v="2448465929"/>
    <x v="271"/>
    <s v="Vereda Higueron Río Negro"/>
    <n v="3105520151"/>
    <s v="Medellín"/>
    <s v="Servicio doméstico "/>
    <x v="6"/>
    <s v="Mano de Obra Directa"/>
    <s v="EPS Sura"/>
    <s v="Porvenir"/>
    <s v="Protección"/>
    <x v="25"/>
    <s v="Mujer"/>
    <s v="ordinario"/>
    <s v="No"/>
    <m/>
    <s v="No"/>
    <s v="No aplica"/>
    <s v="No"/>
    <s v="No"/>
    <s v="No aplica"/>
    <s v="No"/>
    <x v="0"/>
    <m/>
    <m/>
    <m/>
    <x v="0"/>
    <n v="86"/>
    <n v="45.924999999999997"/>
  </r>
  <r>
    <n v="344"/>
    <x v="279"/>
    <s v="Calle Villa"/>
    <s v="Cédula de ciudadanía"/>
    <n v="1040048005"/>
    <s v="Empleado"/>
    <s v="Término indefinido"/>
    <x v="134"/>
    <m/>
    <s v="Mensual"/>
    <n v="1345653"/>
    <s v="Si"/>
    <s v="Centro de trabajo Riesgo 1"/>
    <s v="Si"/>
    <s v="mc1996v@gmail.com"/>
    <m/>
    <s v="Transferencia Bancaria"/>
    <s v="Nequi"/>
    <s v="Cuenta de Ahorros"/>
    <n v="3117412006"/>
    <x v="272"/>
    <s v="Vereda Higueron Río Negro"/>
    <n v="3236544356"/>
    <s v="Medellín"/>
    <s v="Servicio doméstico "/>
    <x v="6"/>
    <s v="Mano de Obra Directa"/>
    <s v="EPS Sura"/>
    <s v="Colpensiones"/>
    <s v="Protección"/>
    <x v="25"/>
    <s v="Mujer"/>
    <s v="ordinario"/>
    <s v="No"/>
    <m/>
    <s v="No"/>
    <s v="No aplica"/>
    <s v="No"/>
    <s v="No"/>
    <s v="No aplica"/>
    <s v="No"/>
    <x v="0"/>
    <m/>
    <m/>
    <m/>
    <x v="0"/>
    <n v="86"/>
    <n v="27.280555555555555"/>
  </r>
  <r>
    <n v="345"/>
    <x v="55"/>
    <s v="Garzón Soto"/>
    <s v="Cédula de ciudadanía"/>
    <n v="1002636970"/>
    <s v="Empleado"/>
    <s v="Término indefinido"/>
    <x v="48"/>
    <m/>
    <s v="Mensual"/>
    <n v="10000000"/>
    <s v="No"/>
    <s v="Centro de trabajo Riesgo 1"/>
    <s v="Si"/>
    <s v="alejandra.garzons141@gmail.com"/>
    <m/>
    <s v="Transferencia Bancaria"/>
    <s v="Bancolombia"/>
    <s v="Cuenta de Ahorros"/>
    <n v="85986698171"/>
    <x v="273"/>
    <s v="Oficina 208 Edificio Cervantes"/>
    <m/>
    <s v="Manizales"/>
    <s v="Administrativa"/>
    <x v="27"/>
    <s v="Administrativo"/>
    <s v="EPS Sura"/>
    <s v="Colpensiones"/>
    <s v="Porvenir"/>
    <x v="17"/>
    <s v="Mujer"/>
    <s v="dirección, confianza y/o manejo"/>
    <s v="No"/>
    <m/>
    <s v="No"/>
    <s v="No aplica"/>
    <s v="No"/>
    <s v="No"/>
    <s v="No aplica"/>
    <s v="No"/>
    <x v="0"/>
    <m/>
    <m/>
    <m/>
    <x v="0"/>
    <n v="459"/>
    <n v="22.888888888888889"/>
  </r>
  <r>
    <n v="346"/>
    <x v="141"/>
    <s v="Niño Rodriguez "/>
    <s v="Cédula de ciudadanía"/>
    <n v="1094921913"/>
    <s v="Empleado"/>
    <s v="Término indefinido"/>
    <x v="156"/>
    <m/>
    <s v="Mensual"/>
    <n v="2013760"/>
    <s v="Si"/>
    <s v="Centro de trabajo Riesgo 1"/>
    <s v="Si"/>
    <s v="leos1452@hotmail.com"/>
    <m/>
    <s v="Transferencia Bancaria"/>
    <s v="Bancolombia"/>
    <s v="Cuenta de Ahorros"/>
    <n v="3012919377"/>
    <x v="274"/>
    <s v="Oficina 208 Edificio Cervantes"/>
    <n v="3012919377"/>
    <s v="Armenia"/>
    <s v="Administrativa"/>
    <x v="68"/>
    <s v="Mano de Obra Directa"/>
    <s v="S.O.S. Servicio Occidental de Salud S.A."/>
    <s v="Porvenir"/>
    <s v="Porvenir"/>
    <x v="17"/>
    <s v="Hombre"/>
    <s v="ordinario"/>
    <s v="Si"/>
    <n v="200000"/>
    <s v="No"/>
    <s v="No aplica"/>
    <s v="No"/>
    <s v="No"/>
    <s v="No aplica"/>
    <s v="No"/>
    <x v="0"/>
    <m/>
    <m/>
    <m/>
    <x v="0"/>
    <n v="561"/>
    <n v="33.255555555555553"/>
  </r>
  <r>
    <n v="347"/>
    <x v="280"/>
    <s v="Montoya Morales"/>
    <s v="Cédula de ciudadanía"/>
    <n v="9726729"/>
    <s v="Empleado"/>
    <s v="Término indefinido"/>
    <x v="46"/>
    <m/>
    <s v="Mensual"/>
    <n v="2013760"/>
    <s v="Si"/>
    <s v="Centro de trabajo Riesgo 2"/>
    <s v="Si"/>
    <s v="diegomontoya7777@gmail.com"/>
    <m/>
    <s v="Transferencia Bancaria"/>
    <s v="Bancolombia"/>
    <s v="Cuenta de Ahorros"/>
    <n v="75644088987"/>
    <x v="275"/>
    <s v="Oficina 208 Edificio Cervantes"/>
    <m/>
    <s v="Armenia"/>
    <s v="Administrativa"/>
    <x v="68"/>
    <s v="Mano de Obra Directa"/>
    <s v="Salud Total"/>
    <s v="Protección"/>
    <s v="Protección"/>
    <x v="17"/>
    <s v="Hombre"/>
    <s v="ordinario"/>
    <s v="Si"/>
    <n v="200000"/>
    <s v="No"/>
    <s v="No aplica"/>
    <s v="No"/>
    <s v="No"/>
    <s v="No aplica"/>
    <s v="No"/>
    <x v="0"/>
    <m/>
    <m/>
    <m/>
    <x v="0"/>
    <n v="520"/>
    <n v="43.383333333333333"/>
  </r>
  <r>
    <n v="348"/>
    <x v="281"/>
    <s v="Morales Valencia"/>
    <s v="Cédula de ciudadanía"/>
    <n v="1094941707"/>
    <s v="Empleado"/>
    <s v="Término indefinido"/>
    <x v="157"/>
    <m/>
    <s v="Mensual"/>
    <n v="2598400"/>
    <s v="Si"/>
    <s v="Centro de trabajo Riesgo 2"/>
    <s v="Si"/>
    <s v="mateo.mova.08@gmail.com"/>
    <m/>
    <s v="Transferencia Bancaria"/>
    <s v="Bancolombia"/>
    <s v="Cuenta de Ahorros"/>
    <n v="86722190426"/>
    <x v="276"/>
    <s v="Oficina 208 Edificio Cervantes"/>
    <m/>
    <s v="Armenia"/>
    <s v="Administrativa"/>
    <x v="106"/>
    <s v="Administrativo"/>
    <s v="EPS Sura"/>
    <s v="Porvenir"/>
    <s v="Porvenir"/>
    <x v="17"/>
    <s v="Hombre"/>
    <s v="ordinario"/>
    <s v="Si"/>
    <n v="200000"/>
    <s v="No"/>
    <s v="No aplica"/>
    <s v="No"/>
    <s v="No"/>
    <s v="No aplica"/>
    <s v="No"/>
    <x v="0"/>
    <m/>
    <m/>
    <m/>
    <x v="0"/>
    <n v="2254"/>
    <n v="29.919444444444444"/>
  </r>
  <r>
    <n v="349"/>
    <x v="282"/>
    <s v="Fajardo Gutierrez"/>
    <s v="Cédula de ciudadanía"/>
    <n v="1094970656"/>
    <s v="Empleado"/>
    <s v="Término indefinido"/>
    <x v="158"/>
    <m/>
    <s v="Mensual"/>
    <n v="1818880"/>
    <s v="Si"/>
    <s v="Centro de trabajo Riesgo 2"/>
    <s v="Si"/>
    <s v="yefri924@gmail.com"/>
    <m/>
    <s v="Transferencia Bancaria"/>
    <s v="Bancolombia"/>
    <s v="Cuenta de Ahorros"/>
    <n v="3046620768"/>
    <x v="277"/>
    <s v="Oficina 208 Edificio Cervantes"/>
    <m/>
    <s v="Armenia"/>
    <s v="Administrativa"/>
    <x v="68"/>
    <s v="Mano de Obra Directa"/>
    <s v="EPS Sura"/>
    <s v="Porvenir"/>
    <s v="Porvenir"/>
    <x v="17"/>
    <s v="Hombre"/>
    <s v="ordinario"/>
    <s v="Si"/>
    <n v="200000"/>
    <s v="No"/>
    <s v="No aplica"/>
    <s v="No"/>
    <s v="No"/>
    <s v="No aplica"/>
    <s v="No"/>
    <x v="0"/>
    <m/>
    <m/>
    <m/>
    <x v="0"/>
    <n v="742"/>
    <n v="25.527777777777779"/>
  </r>
  <r>
    <n v="351"/>
    <x v="283"/>
    <s v="Molina Rosero"/>
    <s v="Cédula de ciudadanía"/>
    <n v="94541949"/>
    <s v="Empleado"/>
    <s v="Término indefinido"/>
    <x v="159"/>
    <m/>
    <s v="Mensual"/>
    <n v="1400000"/>
    <s v="Si"/>
    <s v="Centro de trabajo Riesgo 3"/>
    <s v="Si"/>
    <s v="jemolina88@hotmail.com"/>
    <m/>
    <s v="Transferencia Bancaria"/>
    <s v="Bancolombia"/>
    <s v="Cuenta de Ahorros"/>
    <n v="74500003176"/>
    <x v="278"/>
    <s v="Cr. 12 No. 2 O- 13 San Cayetano"/>
    <n v="3147337817"/>
    <s v="Cali"/>
    <s v="Producción"/>
    <x v="107"/>
    <s v="Mano de Obra Directa"/>
    <s v="Comfenalco Valle"/>
    <s v="Porvenir"/>
    <s v="Porvenir"/>
    <x v="18"/>
    <s v="Hombre"/>
    <s v="ordinario"/>
    <s v="No"/>
    <m/>
    <s v="No"/>
    <s v="No aplica"/>
    <s v="No aplica"/>
    <s v="No"/>
    <s v="No aplica"/>
    <s v="No"/>
    <x v="0"/>
    <m/>
    <m/>
    <m/>
    <x v="0"/>
    <n v="395"/>
    <n v="38.927777777777777"/>
  </r>
  <r>
    <n v="352"/>
    <x v="284"/>
    <s v="Roa Giraldo"/>
    <s v="Cédula de ciudadanía"/>
    <n v="1151949273"/>
    <s v="Empleado"/>
    <s v="Término indefinido"/>
    <x v="160"/>
    <m/>
    <s v="Mensual"/>
    <n v="2717391"/>
    <s v="No"/>
    <s v="Centro de trabajo Riesgo 3"/>
    <s v="Si"/>
    <s v="luis.roa.g12@gmail.com"/>
    <m/>
    <s v="Transferencia Bancaria"/>
    <s v="Bancolombia"/>
    <s v="Cuenta de Ahorros"/>
    <n v="81572365140"/>
    <x v="279"/>
    <s v="Calle 10 bis O No. 28-185"/>
    <n v="3136228583"/>
    <s v="Cali"/>
    <s v="Administrativa"/>
    <x v="108"/>
    <s v="Administrativo"/>
    <s v="Sanitas"/>
    <s v="Porvenir"/>
    <s v="Porvenir"/>
    <x v="18"/>
    <s v="Hombre"/>
    <s v="dirección, confianza y/o manejo"/>
    <s v="No"/>
    <m/>
    <s v="No"/>
    <s v="No aplica"/>
    <s v="No aplica"/>
    <s v="No"/>
    <s v="No aplica"/>
    <s v="No"/>
    <x v="0"/>
    <m/>
    <m/>
    <m/>
    <x v="0"/>
    <n v="1380"/>
    <n v="30.81111111111111"/>
  </r>
  <r>
    <n v="353"/>
    <x v="285"/>
    <s v="Melendez Melendez "/>
    <s v="Cédula de ciudadanía"/>
    <n v="66863086"/>
    <s v="Empleado"/>
    <s v="Término indefinido"/>
    <x v="53"/>
    <m/>
    <s v="Mensual"/>
    <n v="2500000"/>
    <s v="Si"/>
    <s v="Centro de trabajo Riesgo 3"/>
    <s v="Si"/>
    <s v="margoth.melendezm@gmail.com"/>
    <m/>
    <s v="Transferencia Bancaria"/>
    <s v="Bancolombia"/>
    <s v="Cuenta de Ahorros"/>
    <n v="80819204784"/>
    <x v="280"/>
    <s v="Calle 18 No. 66-67"/>
    <n v="3166981364"/>
    <s v="Cali"/>
    <s v="Comercial"/>
    <x v="109"/>
    <s v="Ventas"/>
    <s v="EPS Sura"/>
    <s v="Colpensiones"/>
    <s v="Porvenir"/>
    <x v="18"/>
    <s v="Mujer"/>
    <s v="ordinario"/>
    <s v="No"/>
    <m/>
    <s v="No"/>
    <s v="No aplica"/>
    <s v="No aplica"/>
    <s v="No"/>
    <s v="No aplica"/>
    <s v="No"/>
    <x v="0"/>
    <m/>
    <m/>
    <m/>
    <x v="0"/>
    <n v="427"/>
    <n v="52.177777777777777"/>
  </r>
  <r>
    <n v="354"/>
    <x v="286"/>
    <s v="Acevedo Piedrahita"/>
    <s v="Cédula de ciudadanía"/>
    <n v="1114819530"/>
    <s v="Empleado"/>
    <s v="Término indefinido"/>
    <x v="74"/>
    <m/>
    <s v="Mensual"/>
    <n v="1300000"/>
    <s v="Si"/>
    <s v="Centro de trabajo Riesgo 3"/>
    <s v="Si"/>
    <s v="acevedomariae11@gmail.com"/>
    <m/>
    <s v="Transferencia Bancaria"/>
    <s v="Bancolombia"/>
    <s v="Cuenta de Ahorros"/>
    <n v="3186119869"/>
    <x v="281"/>
    <s v="Km. 3 Vía Cavasa - Cauca Seco"/>
    <n v="3186119869"/>
    <s v="Cali"/>
    <s v="Producción"/>
    <x v="110"/>
    <s v="Mano de Obra Directa "/>
    <s v="Sanitas "/>
    <s v="Porvenir "/>
    <s v="Porvenir "/>
    <x v="18"/>
    <s v="Mujer"/>
    <s v="ordinario"/>
    <s v="No"/>
    <m/>
    <s v="No"/>
    <s v="No aplica"/>
    <s v="No aplica"/>
    <s v="No"/>
    <s v="No aplica"/>
    <s v="No"/>
    <x v="0"/>
    <m/>
    <m/>
    <m/>
    <x v="0"/>
    <n v="308"/>
    <n v="35.424999999999997"/>
  </r>
  <r>
    <n v="355"/>
    <x v="287"/>
    <s v="Caicedo Morales"/>
    <s v="Cédula de ciudadanía"/>
    <n v="59822408"/>
    <s v="Empleado"/>
    <s v="Término indefinido"/>
    <x v="161"/>
    <m/>
    <s v="Mensual"/>
    <n v="1300000"/>
    <s v="Si"/>
    <s v="Centro de trabajo Riesgo 3"/>
    <s v="Si"/>
    <s v="mariaesnerycaicedo@hotmail.com"/>
    <m/>
    <s v="Transferencia Bancaria"/>
    <s v="Bancolombia"/>
    <s v="Cuenta de Ahorros"/>
    <n v="7400005872"/>
    <x v="282"/>
    <s v="Calle 20 No. 11-33 Barrio El Recuerfy"/>
    <n v="3178888287"/>
    <s v="Nariño"/>
    <s v="Comercial"/>
    <x v="91"/>
    <s v="Ventas"/>
    <s v="Sanitas"/>
    <s v="Colpensiones"/>
    <s v="Protección"/>
    <x v="18"/>
    <s v="Mujer"/>
    <s v="ordinario"/>
    <s v="Si"/>
    <n v="182828"/>
    <s v="No"/>
    <s v="No aplica"/>
    <s v="No aplica"/>
    <s v="No"/>
    <s v="No aplica"/>
    <s v="No"/>
    <x v="0"/>
    <m/>
    <m/>
    <m/>
    <x v="0"/>
    <n v="18493"/>
    <n v="50.630555555555553"/>
  </r>
  <r>
    <n v="356"/>
    <x v="86"/>
    <s v="Gamba Rojas "/>
    <s v="Cédula de ciudadanía"/>
    <n v="1014282160"/>
    <s v="Empleado"/>
    <s v="Término indefinido"/>
    <x v="162"/>
    <m/>
    <s v="Mensual"/>
    <n v="1300000"/>
    <s v="Si"/>
    <s v="Centro de trabajo Riesgo 3"/>
    <s v="Si"/>
    <s v="nandarojas15@gmail.com"/>
    <m/>
    <s v="Transferencia Bancaria"/>
    <s v="Bancolombia"/>
    <s v="Cuenta de Ahorros"/>
    <n v="74500002342"/>
    <x v="122"/>
    <s v="Apto 302 Cr. 22 No. 41-30 "/>
    <n v="3165615480"/>
    <s v="Cali"/>
    <s v="Administrativa "/>
    <x v="111"/>
    <s v="Administrativo"/>
    <s v="Sanitas"/>
    <s v="Porvenir "/>
    <s v="Porvenir "/>
    <x v="18"/>
    <s v="Mujer"/>
    <s v="ordinario"/>
    <s v="No"/>
    <m/>
    <s v="No"/>
    <s v="No aplica"/>
    <s v="No aplica"/>
    <s v="No"/>
    <s v="No aplica"/>
    <s v="No"/>
    <x v="0"/>
    <m/>
    <m/>
    <m/>
    <x v="0"/>
    <n v="10018"/>
    <n v="27.427777777777777"/>
  </r>
  <r>
    <n v="357"/>
    <x v="288"/>
    <s v="Rubiano"/>
    <s v="Cédula de ciudadanía"/>
    <n v="1001297375"/>
    <s v="Empleado"/>
    <s v="Término indefinido"/>
    <x v="152"/>
    <m/>
    <s v="Mensual"/>
    <n v="1300000"/>
    <s v="Si"/>
    <s v="Centro de trabajo Riesgo 1"/>
    <s v="Si"/>
    <s v="rubianosofia21@gmail.com"/>
    <m/>
    <s v="Transferencia Bancaria"/>
    <m/>
    <m/>
    <m/>
    <x v="23"/>
    <s v="Calle 68 D Bis Sur # 63-35"/>
    <s v="323 6041756"/>
    <s v="Bogotá, DC. "/>
    <s v="Administrativa "/>
    <x v="112"/>
    <s v="Administrativo"/>
    <s v="Sanitas"/>
    <m/>
    <m/>
    <x v="26"/>
    <s v="Hombre"/>
    <s v="dirección, confianza y/o manejo"/>
    <m/>
    <m/>
    <m/>
    <m/>
    <m/>
    <m/>
    <m/>
    <m/>
    <x v="0"/>
    <m/>
    <m/>
    <m/>
    <x v="0"/>
    <n v="63"/>
    <s v=""/>
  </r>
  <r>
    <n v="358"/>
    <x v="289"/>
    <s v="Carmona Murillo "/>
    <s v="Cédula de ciudadanía"/>
    <n v="1006427769"/>
    <s v="Empleado"/>
    <s v="Término indefinido"/>
    <x v="132"/>
    <m/>
    <s v="Mensual"/>
    <n v="1300000"/>
    <s v="Si"/>
    <s v="Centro de trabajo Riesgo 3"/>
    <s v="Si"/>
    <s v="jonathancarmonamurillo142@gmail.com"/>
    <m/>
    <s v="Transferencia Bancaria"/>
    <s v="Banco Davivienda"/>
    <s v="Cuenta de Ahorros"/>
    <s v="488424335096"/>
    <x v="283"/>
    <s v="Barrio Panorama Calle 16 No. 10-59 "/>
    <n v="3015170198"/>
    <s v="La Tebaida"/>
    <s v="Operativa"/>
    <x v="55"/>
    <m/>
    <s v="Nueva EPS"/>
    <s v="Protección"/>
    <s v="Protección"/>
    <x v="27"/>
    <s v="Hombre"/>
    <s v="ordinario"/>
    <s v="No"/>
    <m/>
    <s v="No"/>
    <s v="No aplica"/>
    <s v="No aplica"/>
    <s v="No"/>
    <s v="No aplica"/>
    <s v="No aplica"/>
    <x v="23"/>
    <s v="Periodo de prueba"/>
    <m/>
    <m/>
    <x v="1"/>
    <n v="59"/>
    <n v="21.352777777777778"/>
  </r>
  <r>
    <n v="359"/>
    <x v="290"/>
    <s v="Soto Cardenas"/>
    <s v="Cédula de ciudadanía"/>
    <n v="1094941187"/>
    <s v="Empleado"/>
    <s v="Término indefinido"/>
    <x v="132"/>
    <m/>
    <s v="Mensual"/>
    <n v="1300000"/>
    <s v="Si"/>
    <s v="Centro de trabajo Riesgo 3"/>
    <s v="Si"/>
    <s v="sotocardenashenry@gmail.com"/>
    <m/>
    <s v="Transferencia Bancaria"/>
    <s v="Banco Davivienda"/>
    <s v="Cuenta de Ahorros"/>
    <s v="0550488423079794"/>
    <x v="284"/>
    <s v="Barrio Las Orquideas La Tebaida"/>
    <n v="3213434076"/>
    <s v="La Tebaida"/>
    <s v="Operativa"/>
    <x v="55"/>
    <m/>
    <s v="Salud Total"/>
    <s v="Porvenir"/>
    <s v="Porvenir"/>
    <x v="27"/>
    <s v="Hombre"/>
    <s v="ordinario"/>
    <s v="No"/>
    <m/>
    <s v="No"/>
    <s v="No aplica"/>
    <s v="No aplica"/>
    <s v="No"/>
    <s v="No aplica"/>
    <s v="No aplica"/>
    <x v="23"/>
    <s v="Periodo de prueba"/>
    <m/>
    <m/>
    <x v="1"/>
    <n v="59"/>
    <n v="29.988888888888887"/>
  </r>
  <r>
    <n v="360"/>
    <x v="291"/>
    <s v="Gómez Hermida"/>
    <s v="Cédula de ciudadanía"/>
    <n v="52692217"/>
    <s v="Empleado"/>
    <s v="Término indefinido"/>
    <x v="132"/>
    <m/>
    <s v="Mensual"/>
    <n v="2500000"/>
    <s v="Si"/>
    <s v="Centro de trabajo Riesgo 1"/>
    <s v="Si"/>
    <s v="cgomez@ng-zf.com"/>
    <m/>
    <s v="Efectivo"/>
    <m/>
    <m/>
    <m/>
    <x v="285"/>
    <s v="Km. 13 vía Armenia Valle Zn Franca Bodega 41"/>
    <n v="3132080324"/>
    <s v="La Tebaida"/>
    <s v="Administrativa "/>
    <x v="113"/>
    <s v="Administrativo"/>
    <s v="Sura EPS"/>
    <s v="Porvenir"/>
    <s v="Porvenir"/>
    <x v="27"/>
    <s v="Mujer"/>
    <s v="dirección, confianza y/o manejo"/>
    <s v="No"/>
    <m/>
    <s v="No"/>
    <s v="No aplica"/>
    <s v="No aplica"/>
    <s v="No"/>
    <s v="No aplica"/>
    <s v="No aplica"/>
    <x v="0"/>
    <m/>
    <m/>
    <m/>
    <x v="0"/>
    <n v="94"/>
    <n v="44.977777777777774"/>
  </r>
  <r>
    <n v="361"/>
    <x v="292"/>
    <s v="Castro Correa "/>
    <s v="Cédula de ciudadanía"/>
    <n v="1024479685"/>
    <s v="Empleado"/>
    <s v="Término indefinido"/>
    <x v="163"/>
    <m/>
    <s v="Mensual"/>
    <n v="1300000"/>
    <s v="No"/>
    <s v="Centro de trabajo Riesgo 3"/>
    <s v="No"/>
    <s v="vegadorandy@gmail.com"/>
    <m/>
    <s v="Efectivo"/>
    <m/>
    <m/>
    <m/>
    <x v="286"/>
    <s v="Finca el Guayabito, Municipio Montenegro, Corregimiento Pueblo Tapao."/>
    <n v="3142867351"/>
    <s v="El Guayabito"/>
    <s v="Operativa"/>
    <x v="82"/>
    <s v="Operativo"/>
    <s v="Nueva EPS"/>
    <s v="Porvenir"/>
    <s v="Porvenir"/>
    <x v="12"/>
    <s v="Hombre"/>
    <s v="ordinario"/>
    <s v="No"/>
    <m/>
    <s v="Si"/>
    <s v="Hijos"/>
    <s v="Si"/>
    <s v="Si"/>
    <s v="Hijos"/>
    <s v="Si"/>
    <x v="0"/>
    <m/>
    <m/>
    <m/>
    <x v="0"/>
    <n v="81"/>
    <n v="37.077777777777776"/>
  </r>
  <r>
    <n v="362"/>
    <x v="227"/>
    <s v="Carmona Carmona"/>
    <s v="Cédula de ciudadanía"/>
    <n v="1092456055"/>
    <s v="Aprendiz sena etapa lectiva"/>
    <s v="Término fijo"/>
    <x v="164"/>
    <d v="2024-06-27T00:00:00"/>
    <s v="Mensual"/>
    <n v="6500000"/>
    <s v="No"/>
    <s v="Centro de trabajo Riesgo 1"/>
    <m/>
    <s v="carmonajuanpa1329@gmail.com"/>
    <m/>
    <s v="Transferencia Bancaria"/>
    <s v="Banco Davivienda"/>
    <s v="Cuenta de Ahorros"/>
    <s v="0550136200183046"/>
    <x v="287"/>
    <s v="Barrio la Fachada Mz 2 casa 4"/>
    <n v="3234254335"/>
    <s v="Armenia"/>
    <s v="Administrativa"/>
    <x v="65"/>
    <s v="Administrativo"/>
    <s v="Nueva EPS"/>
    <m/>
    <m/>
    <x v="0"/>
    <s v="Hombre"/>
    <s v="ordinario"/>
    <s v="No"/>
    <m/>
    <m/>
    <m/>
    <m/>
    <m/>
    <m/>
    <m/>
    <x v="0"/>
    <m/>
    <m/>
    <m/>
    <x v="0"/>
    <n v="49"/>
    <n v="18.255555555555556"/>
  </r>
  <r>
    <n v="363"/>
    <x v="293"/>
    <s v="Hoyos Valencia"/>
    <s v="Cédula de ciudadanía"/>
    <n v="1115191430"/>
    <s v="Empleado"/>
    <s v="Término indefinido"/>
    <x v="165"/>
    <m/>
    <s v="Mensual- medio tiempo"/>
    <n v="942000"/>
    <s v="Si"/>
    <s v="Centro de trabajo Riesgo 1"/>
    <s v="Si"/>
    <s v="nata941108@hotmail.com"/>
    <m/>
    <s v="Transferencia Bancaria"/>
    <s v="Banco Davivienda"/>
    <s v="Cuenta de Ahorros"/>
    <s v="488400758915"/>
    <x v="288"/>
    <s v="Calle 14 norte No. 10 - 05 Condominio Robledal casa 1"/>
    <n v="3232866504"/>
    <s v="Armenia"/>
    <s v="Administrativa"/>
    <x v="31"/>
    <s v="Administrativo"/>
    <s v="Sanitas"/>
    <s v="Porvenir "/>
    <s v="Porvenir "/>
    <x v="19"/>
    <s v="Mujer"/>
    <s v="ordinario"/>
    <s v="No"/>
    <m/>
    <s v="No"/>
    <s v="Hijos"/>
    <s v="No"/>
    <s v="Si"/>
    <s v="Hijos"/>
    <s v="Si"/>
    <x v="0"/>
    <m/>
    <m/>
    <m/>
    <x v="0"/>
    <n v="66"/>
    <n v="29.405555555555555"/>
  </r>
  <r>
    <n v="364"/>
    <x v="294"/>
    <s v="De la Cruz Erazo"/>
    <s v="Cédula de ciudadanía"/>
    <n v="1004592848"/>
    <s v="Empleado"/>
    <s v="Término indefinido"/>
    <x v="152"/>
    <m/>
    <s v="Mensual"/>
    <n v="1456000"/>
    <s v="Si"/>
    <s v="Centro de trabajo Riesgo 2"/>
    <s v="Si"/>
    <s v="daniadlc003@gmail.com"/>
    <m/>
    <s v="Transferencia Bancaria"/>
    <s v="Banco Davivienda"/>
    <s v="Cuenta de Ahorros"/>
    <s v="0550488443339749"/>
    <x v="289"/>
    <s v="Mz 14 casa 1 Puerto Espejo - Armenia"/>
    <n v="3175817396"/>
    <s v="Armenia"/>
    <s v="Operativa"/>
    <x v="79"/>
    <s v="Operativo"/>
    <s v="Emssanar"/>
    <s v="Colpensiones"/>
    <s v="Porvenir "/>
    <x v="7"/>
    <s v="Mujer"/>
    <s v="ordinario"/>
    <s v="No"/>
    <m/>
    <s v="No"/>
    <s v="No aplica"/>
    <s v="No aplica"/>
    <s v="No "/>
    <s v="No aplica"/>
    <s v="No aplica"/>
    <x v="0"/>
    <m/>
    <m/>
    <m/>
    <x v="0"/>
    <n v="63"/>
    <n v="20.969444444444445"/>
  </r>
  <r>
    <n v="365"/>
    <x v="295"/>
    <s v="Villamizar Cardenas "/>
    <s v="Cédula de ciudadanía"/>
    <n v="1005092826"/>
    <s v="Empleado"/>
    <s v="Término indefinido"/>
    <x v="152"/>
    <m/>
    <s v="Mensual"/>
    <n v="1300000"/>
    <s v="Si"/>
    <s v="Centro de trabajo Riesgo 2"/>
    <s v="Si"/>
    <s v="villamizaryorleni@gmail.com"/>
    <m/>
    <s v="Transferencia Bancaria"/>
    <s v="Nequi"/>
    <s v="Cuenta de Ahorros"/>
    <n v="3217195771"/>
    <x v="290"/>
    <s v="Barrio Simon Bolivar Mz 10 Casa 10 Armenia, Q. "/>
    <n v="3217195771"/>
    <s v="Armenia"/>
    <s v="Operativa"/>
    <x v="19"/>
    <s v="Operativo"/>
    <s v="Sanitas EPS"/>
    <s v="Porvenir"/>
    <s v="Porvenir"/>
    <x v="3"/>
    <s v="Mujer"/>
    <s v="ordinario"/>
    <s v="No"/>
    <m/>
    <s v="Si"/>
    <s v="Hijos"/>
    <s v="No"/>
    <s v="Si"/>
    <s v="Hijos"/>
    <s v="No"/>
    <x v="0"/>
    <m/>
    <m/>
    <m/>
    <x v="0"/>
    <n v="63"/>
    <n v="27.3"/>
  </r>
  <r>
    <n v="366"/>
    <x v="296"/>
    <s v="Marquez Cuervo "/>
    <s v="Cédula de ciudadanía"/>
    <n v="41934758"/>
    <s v="Empleado"/>
    <s v="Término indefinido"/>
    <x v="152"/>
    <m/>
    <s v="Mensual"/>
    <n v="1300000"/>
    <s v="Si"/>
    <s v="Centro de trabajo Riesgo 3"/>
    <s v="Si"/>
    <s v="aurism29@hotmail.com"/>
    <m/>
    <s v="Efectivo"/>
    <m/>
    <m/>
    <m/>
    <x v="291"/>
    <s v="Barrio Villa Alejandra Mz 15 Casa 31 Armenia"/>
    <n v="3185460030"/>
    <s v="Baronesa Mall Paraíso"/>
    <s v="Restaurantes"/>
    <x v="44"/>
    <s v="Aeropuerto"/>
    <s v="Nueva EPS"/>
    <s v="Protección"/>
    <s v="Protección"/>
    <x v="10"/>
    <s v="Mujer"/>
    <s v="ordinario"/>
    <s v="No"/>
    <m/>
    <s v="No "/>
    <s v="No aplica"/>
    <s v="No aplica"/>
    <s v="Si"/>
    <s v="Padres"/>
    <s v="No"/>
    <x v="0"/>
    <m/>
    <m/>
    <m/>
    <x v="0"/>
    <n v="63"/>
    <n v="48.586111111111109"/>
  </r>
  <r>
    <n v="369"/>
    <x v="297"/>
    <s v="Cardona Herrera"/>
    <s v="Cédula de ciudadanía"/>
    <n v="9857134"/>
    <s v="Empleado"/>
    <m/>
    <x v="166"/>
    <m/>
    <s v="Mensual"/>
    <m/>
    <s v="Si"/>
    <s v="Centro de trabajo Riesgo 1"/>
    <m/>
    <m/>
    <m/>
    <m/>
    <m/>
    <m/>
    <m/>
    <x v="23"/>
    <m/>
    <n v="3116267150"/>
    <m/>
    <m/>
    <x v="75"/>
    <m/>
    <m/>
    <m/>
    <m/>
    <x v="28"/>
    <s v="Hombre"/>
    <s v="ordinario"/>
    <m/>
    <m/>
    <m/>
    <m/>
    <m/>
    <m/>
    <m/>
    <m/>
    <x v="0"/>
    <m/>
    <m/>
    <m/>
    <x v="0"/>
    <n v="45386"/>
    <s v=""/>
  </r>
  <r>
    <n v="370"/>
    <x v="298"/>
    <s v="Giraldo Cardona"/>
    <s v="Cédula de ciudadanía"/>
    <n v="89007344"/>
    <s v="Empleado"/>
    <s v="Término fijo"/>
    <x v="166"/>
    <m/>
    <s v="Mensual"/>
    <m/>
    <m/>
    <s v="Centro de trabajo Riesgo 1"/>
    <s v="Si"/>
    <s v="diwaoo@hotmail.es"/>
    <m/>
    <m/>
    <m/>
    <m/>
    <m/>
    <x v="292"/>
    <s v="Barrio Jardínes Fachada"/>
    <n v="3116090579"/>
    <m/>
    <m/>
    <x v="75"/>
    <m/>
    <s v="EPS Sura"/>
    <s v="Protección"/>
    <s v="Protección"/>
    <x v="28"/>
    <s v="Hombre"/>
    <s v="ordinario"/>
    <m/>
    <m/>
    <m/>
    <m/>
    <m/>
    <m/>
    <m/>
    <m/>
    <x v="0"/>
    <m/>
    <m/>
    <m/>
    <x v="0"/>
    <n v="45386"/>
    <n v="47.327777777777776"/>
  </r>
  <r>
    <n v="371"/>
    <x v="54"/>
    <s v="García Castillo"/>
    <s v="Cédula de ciudadanía"/>
    <n v="9733492"/>
    <s v="Empleado"/>
    <s v="Término fijo"/>
    <x v="166"/>
    <m/>
    <s v="Mensual"/>
    <m/>
    <s v="Si"/>
    <s v="Centro de trabajo Riesgo 1"/>
    <s v="Si"/>
    <s v="rubencho_1111@hotmail.com"/>
    <m/>
    <m/>
    <m/>
    <m/>
    <m/>
    <x v="293"/>
    <s v="Casa 31 Mz 25 Barrio Pinares Armenia "/>
    <m/>
    <m/>
    <m/>
    <x v="75"/>
    <m/>
    <s v="Sanitas"/>
    <s v="Colpensiones"/>
    <s v="Porvenir"/>
    <x v="28"/>
    <s v="Hombre"/>
    <s v="ordinario"/>
    <m/>
    <m/>
    <m/>
    <m/>
    <m/>
    <m/>
    <m/>
    <m/>
    <x v="0"/>
    <m/>
    <m/>
    <m/>
    <x v="0"/>
    <n v="45386"/>
    <n v="44.513888888888886"/>
  </r>
  <r>
    <n v="372"/>
    <x v="299"/>
    <s v="Gonzalez "/>
    <s v="Cédula de ciudadanía"/>
    <n v="18468806"/>
    <s v="Empleado"/>
    <s v="Término fijo"/>
    <x v="166"/>
    <m/>
    <s v="Mensual"/>
    <m/>
    <s v="Si"/>
    <s v="Centro de trabajo Riesgo 1"/>
    <s v="Si"/>
    <m/>
    <m/>
    <m/>
    <m/>
    <m/>
    <m/>
    <x v="294"/>
    <s v="Mz 26-14 Barrio La Patria"/>
    <m/>
    <m/>
    <m/>
    <x v="75"/>
    <m/>
    <s v="EPS Sura"/>
    <s v="Colpensiones"/>
    <s v="Porvenir"/>
    <x v="28"/>
    <s v="Hombre"/>
    <s v="ordinario"/>
    <m/>
    <m/>
    <m/>
    <m/>
    <m/>
    <m/>
    <m/>
    <m/>
    <x v="0"/>
    <m/>
    <m/>
    <m/>
    <x v="0"/>
    <n v="45386"/>
    <n v="47.733333333333334"/>
  </r>
  <r>
    <n v="373"/>
    <x v="150"/>
    <s v="García García"/>
    <s v="Cédula de ciudadanía"/>
    <n v="9728449"/>
    <s v="Empleado"/>
    <s v="Término fijo"/>
    <x v="166"/>
    <m/>
    <s v="Mensual"/>
    <m/>
    <m/>
    <s v="Centro de trabajo Riesgo 1"/>
    <m/>
    <s v="chachan812009@hotmail.com"/>
    <m/>
    <m/>
    <m/>
    <m/>
    <m/>
    <x v="295"/>
    <s v="Mz E N - 5 San Francisco"/>
    <n v="3217916825"/>
    <m/>
    <m/>
    <x v="75"/>
    <m/>
    <s v="S.O.S. Servicio Occidental de Salud S.A."/>
    <s v="Porvenir"/>
    <s v="Protección"/>
    <x v="28"/>
    <s v="Hombre"/>
    <s v="ordinario"/>
    <m/>
    <m/>
    <m/>
    <m/>
    <m/>
    <m/>
    <m/>
    <m/>
    <x v="0"/>
    <m/>
    <m/>
    <m/>
    <x v="0"/>
    <n v="45386"/>
    <n v="43.044444444444444"/>
  </r>
  <r>
    <n v="374"/>
    <x v="256"/>
    <s v="Cardona Alvis"/>
    <s v="Cédula de ciudadanía"/>
    <n v="9773298"/>
    <s v="Empleado"/>
    <s v="Término fijo"/>
    <x v="166"/>
    <m/>
    <s v="Mensual"/>
    <m/>
    <m/>
    <s v="Centro de trabajo Riesgo 1"/>
    <m/>
    <m/>
    <m/>
    <m/>
    <m/>
    <m/>
    <m/>
    <x v="296"/>
    <s v="Apto 02 Torre 2 Urbanización Chilacoa"/>
    <n v="3226382447"/>
    <m/>
    <m/>
    <x v="75"/>
    <m/>
    <s v="EPS Sura"/>
    <s v="Porvnenir"/>
    <s v="Porvenir"/>
    <x v="28"/>
    <s v="Hombre"/>
    <s v="ordinario"/>
    <m/>
    <m/>
    <m/>
    <m/>
    <m/>
    <m/>
    <m/>
    <m/>
    <x v="0"/>
    <m/>
    <m/>
    <m/>
    <x v="0"/>
    <n v="45386"/>
    <n v="39.391666666666666"/>
  </r>
  <r>
    <n v="375"/>
    <x v="300"/>
    <s v="Duran Sepulveda"/>
    <s v="Cédula de ciudadanía"/>
    <n v="24581913"/>
    <s v="Empleado"/>
    <s v="Término fijo"/>
    <x v="166"/>
    <m/>
    <s v="Mensual"/>
    <m/>
    <m/>
    <s v="Centro de trabajo Riesgo 1"/>
    <m/>
    <s v="yenyduran59@gmail.com"/>
    <m/>
    <m/>
    <m/>
    <m/>
    <m/>
    <x v="23"/>
    <m/>
    <m/>
    <m/>
    <m/>
    <x v="75"/>
    <m/>
    <s v="EPS Sura"/>
    <m/>
    <m/>
    <x v="28"/>
    <m/>
    <m/>
    <m/>
    <m/>
    <m/>
    <m/>
    <m/>
    <m/>
    <m/>
    <m/>
    <x v="0"/>
    <m/>
    <m/>
    <m/>
    <x v="0"/>
    <n v="45386"/>
    <s v=""/>
  </r>
  <r>
    <n v="376"/>
    <x v="301"/>
    <s v="Torres Obrian"/>
    <s v="Cédula de ciudadanía"/>
    <n v="453657090"/>
    <s v="Empleado"/>
    <s v="Término indefinido"/>
    <x v="167"/>
    <m/>
    <s v="Mensual"/>
    <n v="2400000"/>
    <s v="No"/>
    <s v="Centro de trabajo Riesgo 1"/>
    <s v="Si"/>
    <s v="ana23@gmail.com"/>
    <m/>
    <s v="Efectivo"/>
    <m/>
    <m/>
    <m/>
    <x v="297"/>
    <s v="Calle 42 58 95"/>
    <n v="3167337125"/>
    <m/>
    <m/>
    <x v="6"/>
    <m/>
    <m/>
    <m/>
    <m/>
    <x v="25"/>
    <s v="Mujer"/>
    <s v="ordinario"/>
    <s v="No"/>
    <m/>
    <m/>
    <m/>
    <m/>
    <m/>
    <m/>
    <m/>
    <x v="70"/>
    <s v="Renuncia voluntaria"/>
    <m/>
    <m/>
    <x v="1"/>
    <n v="621"/>
    <n v="65.477777777777774"/>
  </r>
  <r>
    <n v="377"/>
    <x v="302"/>
    <s v="Beltrán"/>
    <s v="Cédula de ciudadanía"/>
    <n v="24947535"/>
    <s v="Empleado"/>
    <s v="Término indefinido"/>
    <x v="100"/>
    <m/>
    <s v="Mensual"/>
    <n v="130000"/>
    <s v="No"/>
    <s v="Centro de trabajo Riesgo 1"/>
    <s v="Si"/>
    <m/>
    <m/>
    <s v="Efectivo"/>
    <m/>
    <m/>
    <m/>
    <x v="298"/>
    <m/>
    <m/>
    <s v="Mall Privilegio"/>
    <s v="Administrativa"/>
    <x v="23"/>
    <s v="Administrativo"/>
    <s v="Asmet Salud"/>
    <m/>
    <s v="Protección"/>
    <x v="13"/>
    <s v="Mujer"/>
    <s v="ordinario"/>
    <s v="No"/>
    <m/>
    <m/>
    <m/>
    <m/>
    <m/>
    <m/>
    <m/>
    <x v="0"/>
    <m/>
    <m/>
    <m/>
    <x v="0"/>
    <n v="79"/>
    <n v="72.522222222222226"/>
  </r>
  <r>
    <n v="378"/>
    <x v="303"/>
    <s v="Moreno Morales"/>
    <s v="Cédula de ciudadanía"/>
    <n v="35115702"/>
    <s v="Empleado"/>
    <s v="Término indefinido"/>
    <x v="168"/>
    <m/>
    <s v="Mensual"/>
    <n v="1300000"/>
    <s v="Si"/>
    <s v="Centro de trabajo Riesgo 3"/>
    <s v="Si"/>
    <s v="morenomajo529@gmail.com"/>
    <m/>
    <s v="Transferencia Bancaria"/>
    <s v="Bancolombia"/>
    <s v="Cuenta de Ahorros"/>
    <n v="68199552698"/>
    <x v="299"/>
    <s v="Lote 20 int. 4 Barrio Las Brisas Cereté - Cordobá "/>
    <n v="3002613555"/>
    <s v="Monteria "/>
    <s v="Comercial"/>
    <x v="91"/>
    <s v="ventas "/>
    <s v="Nueva EPS"/>
    <s v="Porvenir"/>
    <s v="Porvenir"/>
    <x v="18"/>
    <s v="Mujer"/>
    <s v="ordinario"/>
    <s v="Si"/>
    <n v="30000"/>
    <s v="Si"/>
    <s v="Hijos"/>
    <s v="No"/>
    <s v="Si"/>
    <s v="Hijos"/>
    <s v="No"/>
    <x v="0"/>
    <m/>
    <m/>
    <m/>
    <x v="0"/>
    <n v="59"/>
    <n v="45.041666666666664"/>
  </r>
  <r>
    <n v="380"/>
    <x v="304"/>
    <s v="Ramírez Cardona"/>
    <s v="Cédula de ciudadanía"/>
    <n v="1094899622"/>
    <s v="Empleado"/>
    <s v="Término indefinido"/>
    <x v="168"/>
    <m/>
    <s v="Mensual"/>
    <n v="1300000"/>
    <s v="Si"/>
    <s v="Centro de trabajo Riesgo 1"/>
    <s v="Si"/>
    <s v="andrearamirezc@gmail.com"/>
    <m/>
    <s v="Transferencia Bancaria"/>
    <s v="Banco Caja Social BCSC"/>
    <s v="Cuenta de Ahorros"/>
    <n v="24055571135"/>
    <x v="300"/>
    <s v="Apto 201 Calle 7 No. 22 a 26 Barrio Granada"/>
    <n v="3178786229"/>
    <s v="Finca Santa Clara"/>
    <s v="Administrativa"/>
    <x v="114"/>
    <s v="Administrativo"/>
    <s v="EPS Sura"/>
    <s v="Porvenir"/>
    <s v="Porvenir "/>
    <x v="29"/>
    <s v="Mujer"/>
    <s v="ordinario"/>
    <s v="No"/>
    <m/>
    <m/>
    <m/>
    <m/>
    <m/>
    <m/>
    <m/>
    <x v="0"/>
    <m/>
    <m/>
    <m/>
    <x v="0"/>
    <n v="59"/>
    <n v="35.738888888888887"/>
  </r>
  <r>
    <n v="381"/>
    <x v="305"/>
    <s v="Hernandez Hernandez "/>
    <s v="Cédula de ciudadanía"/>
    <n v="1112105397"/>
    <s v="Empleado"/>
    <s v="Término indefinido"/>
    <x v="152"/>
    <m/>
    <s v="Mensual"/>
    <n v="2400000"/>
    <s v="Si"/>
    <s v="Centro de trabajo Riesgo 1"/>
    <s v="Si"/>
    <s v="Karoldayana1995@hotmail.com"/>
    <m/>
    <s v="Transferencia Bancaria"/>
    <s v="Banco Davivienda"/>
    <s v="Cuenta de Ahorros"/>
    <n v="488400675952"/>
    <x v="301"/>
    <s v="Avenida de occidente calle 22 vía la patria"/>
    <n v="3232292937"/>
    <s v="Armenia"/>
    <s v="Operativa"/>
    <x v="115"/>
    <s v="Operativo"/>
    <s v="EPS Sura"/>
    <s v="Porvenir"/>
    <s v="Porvenir"/>
    <x v="14"/>
    <s v="Mujer"/>
    <s v="ordinario"/>
    <s v="Si"/>
    <n v="100000"/>
    <s v="No"/>
    <s v="No aplica"/>
    <s v="No aplica"/>
    <s v="No"/>
    <s v="No aplica"/>
    <s v="No aplica"/>
    <x v="0"/>
    <m/>
    <m/>
    <m/>
    <x v="0"/>
    <n v="63"/>
    <n v="29.155555555555555"/>
  </r>
  <r>
    <n v="382"/>
    <x v="306"/>
    <s v="Mamian Mamian"/>
    <s v="Cédula de ciudadanía"/>
    <n v="25483089"/>
    <s v="Empleado"/>
    <s v="Término indefinido"/>
    <x v="17"/>
    <m/>
    <s v="Mensual"/>
    <n v="1300000"/>
    <s v="Si"/>
    <s v="Centro de trabajo Riesgo 1"/>
    <s v="Si"/>
    <s v="No aplica "/>
    <m/>
    <s v="Efectivo"/>
    <m/>
    <m/>
    <m/>
    <x v="302"/>
    <s v="Calle 4 oeste 73- 10 Cali"/>
    <n v="3134519824"/>
    <s v="Cali"/>
    <s v="Servicios"/>
    <x v="116"/>
    <s v="Mano de Obra Directa"/>
    <s v="Emssanar"/>
    <s v="Protección"/>
    <s v="Protección"/>
    <x v="30"/>
    <s v="Mujer"/>
    <s v="ordinario"/>
    <s v="No"/>
    <m/>
    <s v="No"/>
    <s v="No aplica"/>
    <s v="No aplica"/>
    <s v="No"/>
    <s v="No aplica"/>
    <s v="No aplica"/>
    <x v="0"/>
    <m/>
    <m/>
    <m/>
    <x v="0"/>
    <n v="1038"/>
    <n v="45.944444444444443"/>
  </r>
  <r>
    <n v="383"/>
    <x v="307"/>
    <s v="Armero de Valencia"/>
    <s v="Cédula de ciudadanía"/>
    <n v="24574803"/>
    <s v="Empleado"/>
    <s v="Término indefinido"/>
    <x v="168"/>
    <m/>
    <s v="Mensual"/>
    <n v="1300000"/>
    <s v="Si"/>
    <s v="Centro de trabajo Riesgo 1"/>
    <s v="Si"/>
    <m/>
    <m/>
    <s v="Efectivo"/>
    <m/>
    <m/>
    <m/>
    <x v="303"/>
    <s v="Barrio Guaduales, etapa 3, manzana i,  casa 36 .Calarcá. "/>
    <n v="3118763841"/>
    <s v="Calarcá"/>
    <s v="Operativa"/>
    <x v="63"/>
    <s v="Mano de Obra Directa"/>
    <s v="Nueva EPS "/>
    <m/>
    <s v="Porvenir"/>
    <x v="31"/>
    <s v="Mujer"/>
    <s v="ordinario"/>
    <s v="No"/>
    <m/>
    <s v="No "/>
    <s v="No aplica"/>
    <s v="No aplica"/>
    <s v="No"/>
    <s v="No aplica"/>
    <s v="No aplica"/>
    <x v="0"/>
    <m/>
    <m/>
    <m/>
    <x v="0"/>
    <n v="59"/>
    <n v="66.86944444444444"/>
  </r>
  <r>
    <n v="384"/>
    <x v="308"/>
    <s v="Diaz Cuellar"/>
    <s v="Cédula de ciudadanía"/>
    <n v="41917072"/>
    <s v="Empleado"/>
    <s v="Término indefinido"/>
    <x v="75"/>
    <m/>
    <s v="Mensual"/>
    <n v="5000000"/>
    <s v="No"/>
    <s v="Centro de trabajo Riesgo 1"/>
    <s v="Si"/>
    <s v="apatriciadiaz@hotmail.com"/>
    <m/>
    <s v="Transferencia Bancaria"/>
    <s v="Banco Davivienda"/>
    <s v="Cuenta de Ahorros"/>
    <n v="136770036608"/>
    <x v="304"/>
    <s v="km 4,5 vía Armenia-Pereira, condominio Los Almendros, casa 8"/>
    <n v="3152889780"/>
    <s v="Armenia"/>
    <s v="Administrativa"/>
    <x v="117"/>
    <s v="Mano de Obra Directa"/>
    <s v="EPS Sura"/>
    <s v="Colpensiones"/>
    <s v="Protección"/>
    <x v="14"/>
    <s v="Mujer"/>
    <s v="ordinario"/>
    <s v="Si"/>
    <n v="3000000"/>
    <s v="No"/>
    <s v="No aplica"/>
    <s v="No aplica"/>
    <s v="No"/>
    <s v="No aplica"/>
    <s v="No aplica"/>
    <x v="0"/>
    <m/>
    <m/>
    <m/>
    <x v="0"/>
    <n v="48"/>
    <n v="56.274999999999999"/>
  </r>
  <r>
    <n v="385"/>
    <x v="309"/>
    <s v="Henao Henao"/>
    <s v="Cédula de ciudadanía"/>
    <n v="67028217"/>
    <s v="Empleado"/>
    <s v="Término indefinido"/>
    <x v="152"/>
    <m/>
    <s v="Mensual"/>
    <n v="1300000"/>
    <s v="Si"/>
    <s v="Centro de trabajo Riesgo 2"/>
    <s v="Si"/>
    <s v="luisahenao044@gmail.com"/>
    <m/>
    <s v="Transferencia Bancaria"/>
    <s v="Nequi"/>
    <s v="Cuenta de Ahorros"/>
    <n v="3117543184"/>
    <x v="305"/>
    <s v="Carrera 80 # 1b2-33 prados del sur"/>
    <n v="3117543184"/>
    <s v="Cali"/>
    <s v="Servicios"/>
    <x v="118"/>
    <s v="Mano de Obra Directa"/>
    <s v="S.O.S. Servicio Occidental de Salud S.A."/>
    <s v="Porvenir"/>
    <s v="Porvenir"/>
    <x v="30"/>
    <s v="Mujer"/>
    <s v="ordinario"/>
    <s v="No"/>
    <s v="Variable "/>
    <s v="Si"/>
    <s v="Hijos"/>
    <s v="Si"/>
    <s v="Si"/>
    <s v="Hijos"/>
    <s v="Si"/>
    <x v="0"/>
    <m/>
    <m/>
    <m/>
    <x v="0"/>
    <n v="63"/>
    <n v="38.786111111111111"/>
  </r>
  <r>
    <n v="386"/>
    <x v="310"/>
    <s v="Correa Quiroga"/>
    <s v="Cédula de ciudadanía"/>
    <n v="67025489"/>
    <s v="Empleado"/>
    <s v="Término indefinido"/>
    <x v="169"/>
    <m/>
    <s v="Mensual"/>
    <n v="1300000"/>
    <s v="Si"/>
    <s v="Centro de trabajo Riesgo 1"/>
    <s v="Si"/>
    <s v="paolacorreaquiroga@gmail.com"/>
    <m/>
    <s v="Transferencia Bancaria"/>
    <s v="Nequi"/>
    <s v="Cuenta de Ahorros"/>
    <n v="3027166132"/>
    <x v="306"/>
    <s v="Calle 10 No. 20-12"/>
    <n v="3027166132"/>
    <s v="Cali"/>
    <s v="Administrativo"/>
    <x v="119"/>
    <s v="Administrativo"/>
    <s v="Comfenalco Valle"/>
    <s v="Colpensiones"/>
    <s v="Protección"/>
    <x v="30"/>
    <s v="Mujer"/>
    <s v="ordinario"/>
    <s v="No"/>
    <m/>
    <m/>
    <m/>
    <m/>
    <m/>
    <m/>
    <m/>
    <x v="0"/>
    <m/>
    <m/>
    <m/>
    <x v="0"/>
    <n v="1248"/>
    <n v="39.358333333333334"/>
  </r>
  <r>
    <n v="387"/>
    <x v="311"/>
    <s v="Sandoval Penagos"/>
    <s v="Cédula de ciudadanía"/>
    <n v="25531788"/>
    <s v="Empleado"/>
    <s v="Término indefinido"/>
    <x v="152"/>
    <m/>
    <s v="Mensual"/>
    <n v="1300000"/>
    <s v="Si"/>
    <s v="Centro de trabajo Riesgo 1"/>
    <s v="Si"/>
    <s v="jeny04sandoval@gmail.com"/>
    <m/>
    <s v="Transferencia Bancaria"/>
    <s v="Bancolombia"/>
    <s v="Cuenta de Ahorros"/>
    <s v="81358578420"/>
    <x v="307"/>
    <s v="Cr. 41 D No. 41 - 11"/>
    <n v="3158951986"/>
    <s v="Cali"/>
    <s v="Servicios"/>
    <x v="120"/>
    <s v="Mano de Obra Directa"/>
    <s v="Asmet Salud"/>
    <s v="Porvenir"/>
    <s v="Porvenir"/>
    <x v="30"/>
    <s v="Mujer"/>
    <s v="ordinario"/>
    <s v="No"/>
    <m/>
    <s v="No"/>
    <s v="No aplica"/>
    <s v="No aplica"/>
    <s v="No"/>
    <s v="No aplica"/>
    <s v="No aplica"/>
    <x v="23"/>
    <s v="Renuncia voluntaria"/>
    <m/>
    <m/>
    <x v="1"/>
    <n v="28"/>
    <n v="38.916666666666664"/>
  </r>
  <r>
    <n v="388"/>
    <x v="145"/>
    <s v="Marulanda Morales"/>
    <s v="Cédula de ciudadanía"/>
    <n v="1094915912"/>
    <s v="Empleado"/>
    <s v="Término indefinido"/>
    <x v="152"/>
    <m/>
    <s v="Mensual"/>
    <n v="2000000"/>
    <s v="Si"/>
    <s v="Centro de trabajo Riesgo 1"/>
    <s v="Si"/>
    <s v="mmdaniela1016@gmail.com"/>
    <m/>
    <s v="Transferencia Bancaria"/>
    <s v="Banco de Bogotá"/>
    <s v="Cuenta de Ahorros"/>
    <n v="845355403"/>
    <x v="308"/>
    <s v="Bosques de Pinares Mz 4 # 96"/>
    <n v="3212326550"/>
    <s v="Armenia"/>
    <s v="Administrativa"/>
    <x v="10"/>
    <s v="Administrativo"/>
    <s v="Sanitas"/>
    <s v="Colpensiones"/>
    <s v="Porvenir"/>
    <x v="16"/>
    <s v="Mujer"/>
    <s v="ordinario"/>
    <s v="Si"/>
    <n v="1500000"/>
    <s v="No"/>
    <s v="No aplica"/>
    <s v="No aplica"/>
    <s v="No"/>
    <s v="No aplica"/>
    <s v="No aplica"/>
    <x v="0"/>
    <m/>
    <m/>
    <m/>
    <x v="0"/>
    <n v="63"/>
    <n v="33.466666666666669"/>
  </r>
  <r>
    <n v="389"/>
    <x v="312"/>
    <s v="Castrillón Gutiérrez"/>
    <s v="Cédula de ciudadanía"/>
    <n v="1094885241"/>
    <s v="Empleado"/>
    <s v="Término indefinido"/>
    <x v="152"/>
    <m/>
    <s v="Mensual"/>
    <n v="1300000"/>
    <s v="Si"/>
    <s v="Centro de trabajo Riesgo 1"/>
    <s v="Si"/>
    <s v="ycguty@gmail.com"/>
    <m/>
    <s v="Transferencia Bancaria"/>
    <s v="Bancolombia"/>
    <s v="Cuenta de Ahorros"/>
    <n v="3104478917"/>
    <x v="309"/>
    <s v="Barrio La Patria Mz 58 Casa 3"/>
    <n v="3104478917"/>
    <s v="Armenia"/>
    <s v="Administrativa"/>
    <x v="114"/>
    <s v="Administrativo"/>
    <s v="Nueva EPS"/>
    <s v="Porvenir"/>
    <s v="Porvenir"/>
    <x v="16"/>
    <s v="Mujer"/>
    <s v="ordinario"/>
    <s v="Si"/>
    <n v="150000"/>
    <s v="Si"/>
    <s v="Padres"/>
    <s v="No aplica"/>
    <s v="Si"/>
    <s v="Padres"/>
    <s v="No"/>
    <x v="0"/>
    <m/>
    <m/>
    <m/>
    <x v="0"/>
    <n v="63"/>
    <n v="37.355555555555554"/>
  </r>
  <r>
    <n v="390"/>
    <x v="313"/>
    <s v="Rivera Nova"/>
    <s v="Cédula de ciudadanía"/>
    <n v="1094939511"/>
    <s v="Empleado"/>
    <s v="Término indefinido"/>
    <x v="170"/>
    <m/>
    <s v="Mensual"/>
    <n v="1550000"/>
    <s v="Si"/>
    <s v="Centro de trabajo Riesgo 2"/>
    <s v="Si"/>
    <s v="andresmrivera1959@gmail.com"/>
    <m/>
    <s v="Transferencia Bancaria"/>
    <s v="Bancolombia"/>
    <s v="Cuenta de Ahorros"/>
    <n v="86771637401"/>
    <x v="310"/>
    <s v="Cr. 19 No. 16 norte 60"/>
    <n v="3217798240"/>
    <s v="Armenia"/>
    <s v="Administrativa"/>
    <x v="16"/>
    <s v="Administrativo"/>
    <s v="EPS Sura"/>
    <s v="Porvenir"/>
    <s v="Porvenir"/>
    <x v="29"/>
    <s v="Hombre"/>
    <s v="ordinario"/>
    <s v="No"/>
    <m/>
    <s v="No"/>
    <s v="No aplica"/>
    <s v="No aplica"/>
    <s v="No"/>
    <s v="No aplica"/>
    <s v="No aplica"/>
    <x v="0"/>
    <m/>
    <m/>
    <m/>
    <x v="0"/>
    <n v="1340"/>
    <n v="30.241666666666667"/>
  </r>
  <r>
    <n v="391"/>
    <x v="314"/>
    <s v="Enciso Gutierrez"/>
    <s v="Cédula de ciudadanía"/>
    <n v="1097721777"/>
    <s v="Empleado"/>
    <s v="Término indefinido"/>
    <x v="171"/>
    <m/>
    <s v="Mensual"/>
    <n v="1300000"/>
    <s v="Si"/>
    <s v="Centro de trabajo Riesgo 2"/>
    <s v="Si"/>
    <s v="dimael1120@hotmail.com"/>
    <m/>
    <s v="Transferencia Bancaria"/>
    <s v="Bancolombia"/>
    <s v="Cuenta de Ahorros"/>
    <n v="76100001066"/>
    <x v="311"/>
    <s v="Barrio Alasca mz 17 casa 10 Montenegro"/>
    <n v="3215875433"/>
    <s v="Armenia"/>
    <s v="Servicios"/>
    <x v="121"/>
    <s v="Mano de Obra Directa"/>
    <s v="EPS Sura"/>
    <s v="Protección"/>
    <s v="Protección"/>
    <x v="29"/>
    <s v="Mujer"/>
    <s v="ordinario"/>
    <s v="No"/>
    <m/>
    <s v="No"/>
    <s v="No aplica"/>
    <s v="No aplica"/>
    <s v="No"/>
    <s v="No aplica"/>
    <s v="No aplica"/>
    <x v="0"/>
    <m/>
    <m/>
    <m/>
    <x v="0"/>
    <n v="542"/>
    <n v="26.333333333333332"/>
  </r>
  <r>
    <n v="392"/>
    <x v="315"/>
    <s v="Herrera Gallego"/>
    <s v="Cédula de ciudadanía"/>
    <n v="1220463745"/>
    <s v="Empleado"/>
    <s v="Término indefinido"/>
    <x v="172"/>
    <m/>
    <s v="Mensual"/>
    <n v="1300000"/>
    <s v="Si"/>
    <s v="Centro de trabajo Riesgo 1"/>
    <s v="Si"/>
    <s v="jmherreraa007@gmail.com"/>
    <m/>
    <s v="Transferencia Bancaria"/>
    <s v="Bancolombia"/>
    <s v="Cuenta de Ahorros"/>
    <n v="68202305125"/>
    <x v="312"/>
    <s v="Lagos de Iraka casa 152"/>
    <n v="3013336832"/>
    <s v="Armenia"/>
    <s v="Administrativo"/>
    <x v="122"/>
    <s v="Administrativo"/>
    <s v="Sanitas"/>
    <s v="Protección"/>
    <s v="Protección"/>
    <x v="29"/>
    <s v="Hombre"/>
    <s v="ordinario"/>
    <s v="No"/>
    <m/>
    <s v="No"/>
    <s v="No aplica"/>
    <s v="No aplica"/>
    <s v="No"/>
    <s v="No aplica"/>
    <s v="No aplica"/>
    <x v="0"/>
    <m/>
    <m/>
    <m/>
    <x v="0"/>
    <n v="1150"/>
    <n v="29.786111111111111"/>
  </r>
  <r>
    <n v="393"/>
    <x v="316"/>
    <s v="Giraldo Giraldo"/>
    <s v="Cédula de ciudadanía"/>
    <n v="1094933909"/>
    <s v="Empleado"/>
    <s v="Término indefinido"/>
    <x v="173"/>
    <m/>
    <s v="Mensual"/>
    <n v="1700000"/>
    <s v="No"/>
    <s v="Centro de trabajo Riesgo 1"/>
    <s v="Si"/>
    <s v="giraldojosejulian8@gmail.com"/>
    <m/>
    <s v="Transferencia Bancaria"/>
    <s v="Bancolombia"/>
    <s v="Cuenta de Ahorros"/>
    <n v="75655452435"/>
    <x v="313"/>
    <s v="Lagos de Iraka casa 165"/>
    <n v="3003151020"/>
    <s v="Armenia"/>
    <s v="Administrativo"/>
    <x v="27"/>
    <s v="Administrativo"/>
    <s v="Sanitas"/>
    <s v="Protección"/>
    <s v="Protección"/>
    <x v="29"/>
    <s v="Hombre"/>
    <s v="dirección, confianza y/o manejo"/>
    <s v="No"/>
    <m/>
    <s v="No"/>
    <s v="No aplica"/>
    <s v="No aplica"/>
    <s v="No"/>
    <s v="No aplica"/>
    <s v="No aplica"/>
    <x v="0"/>
    <m/>
    <m/>
    <m/>
    <x v="0"/>
    <n v="1874"/>
    <n v="31.022222222222222"/>
  </r>
  <r>
    <n v="394"/>
    <x v="317"/>
    <s v="Rivera Manrique"/>
    <s v="Cédula de ciudadanía"/>
    <n v="1070011647"/>
    <s v="Empleado"/>
    <s v="Término indefinido"/>
    <x v="174"/>
    <m/>
    <s v="Mensual"/>
    <n v="1600000"/>
    <s v="No"/>
    <s v="Centro de trabajo Riesgo 1"/>
    <s v="Si"/>
    <s v="comercial@cafe1959.com"/>
    <m/>
    <s v="Transferencia Bancaria"/>
    <s v="Bancolombia"/>
    <s v="Cuenta de Ahorros"/>
    <n v="68234264331"/>
    <x v="314"/>
    <s v="Lagos de Iraka casa 165"/>
    <n v="3013338287"/>
    <s v="Armenia"/>
    <s v="Administrativo"/>
    <x v="123"/>
    <s v="Administrativo"/>
    <s v="Sanitas"/>
    <s v="Protección"/>
    <s v="Protección"/>
    <x v="29"/>
    <s v="Hombre"/>
    <s v="dirección, confianza y/o manejo"/>
    <s v="No"/>
    <m/>
    <s v="No"/>
    <s v="No aplica"/>
    <s v="No aplica"/>
    <s v="No"/>
    <s v="No aplica"/>
    <s v="No aplica"/>
    <x v="0"/>
    <m/>
    <m/>
    <m/>
    <x v="0"/>
    <n v="1220"/>
    <n v="31.819444444444443"/>
  </r>
  <r>
    <n v="395"/>
    <x v="318"/>
    <s v="Valencia"/>
    <s v="Cédula de ciudadanía"/>
    <n v="33991990"/>
    <s v="Empleado"/>
    <s v="Término indefinido"/>
    <x v="175"/>
    <m/>
    <s v="Mensual"/>
    <n v="1300000"/>
    <s v="Si"/>
    <s v="Centro de trabajo Riesgo 2"/>
    <s v="Si"/>
    <s v="normaluciavalencia473@gmail.com"/>
    <m/>
    <s v="Transferencia Bancaria"/>
    <s v="Bancolombia"/>
    <s v="Cuenta de Ahorros"/>
    <n v="75619009029"/>
    <x v="315"/>
    <s v="Quintas de la Marina Mz G casa 11"/>
    <n v="3103949307"/>
    <s v="Armenia"/>
    <s v="Servicios"/>
    <x v="120"/>
    <s v="Mano de Obra Directa"/>
    <s v="EPS Sura"/>
    <s v="Protección"/>
    <s v="Protección"/>
    <x v="29"/>
    <s v="Mujer"/>
    <s v="ordinario"/>
    <s v="No"/>
    <m/>
    <s v="No"/>
    <s v="No aplica"/>
    <s v="No aplica"/>
    <s v="No"/>
    <s v="No aplica"/>
    <s v="No aplica"/>
    <x v="0"/>
    <m/>
    <m/>
    <m/>
    <x v="0"/>
    <n v="338"/>
    <n v="50.916666666666664"/>
  </r>
  <r>
    <n v="396"/>
    <x v="319"/>
    <s v="Acevedo Arboleda"/>
    <s v="Cédula de ciudadanía"/>
    <n v="9809811"/>
    <s v="Empleado"/>
    <s v="Término indefinido"/>
    <x v="152"/>
    <m/>
    <s v="Mensual"/>
    <n v="1300000"/>
    <s v="Si"/>
    <s v="Centro de trabajo Riesgo 3"/>
    <s v="Si"/>
    <s v="rubendarioacevedoarboleda@gmail.com"/>
    <m/>
    <s v="Transferencia Bancaria"/>
    <s v="Bancolombia"/>
    <s v="Cuenta de Ahorros"/>
    <s v="06963312464"/>
    <x v="316"/>
    <s v="Vereda El Caimo Finca Santa Clara"/>
    <n v="3136301918"/>
    <s v="Armenia"/>
    <s v="Administrativo"/>
    <x v="124"/>
    <s v="Administrativo"/>
    <s v="Nueva EPS"/>
    <s v="Protección"/>
    <s v="Protección"/>
    <x v="29"/>
    <s v="Hombre"/>
    <s v="ordinario"/>
    <s v="No"/>
    <m/>
    <s v="No"/>
    <s v="No aplica"/>
    <s v="No aplica"/>
    <s v="No"/>
    <s v="No aplica"/>
    <s v="No aplica"/>
    <x v="0"/>
    <m/>
    <m/>
    <m/>
    <x v="0"/>
    <n v="63"/>
    <n v="45.858333333333334"/>
  </r>
  <r>
    <n v="397"/>
    <x v="320"/>
    <s v="Jaramillo Tangarife"/>
    <s v="Cédula de ciudadanía"/>
    <n v="31941796"/>
    <s v="Empleado"/>
    <s v="Término indefinido"/>
    <x v="119"/>
    <m/>
    <s v="Mensual"/>
    <n v="1300000"/>
    <s v="Si"/>
    <s v="Centro de trabajo Riesgo 1"/>
    <s v="Si"/>
    <s v="aljago@gmail.com"/>
    <m/>
    <s v="Transferencia Bancaria"/>
    <s v="Banco Davivienda"/>
    <s v="Cuenta de Ahorros"/>
    <n v="550488442408438"/>
    <x v="23"/>
    <s v="Barrio las Acacias Manzana F casa 43"/>
    <n v="3214495328"/>
    <s v="armenia"/>
    <s v="operativa"/>
    <x v="50"/>
    <s v="Operativo"/>
    <s v="EPS Sura"/>
    <s v="Colpensiones"/>
    <s v="Porvenir"/>
    <x v="0"/>
    <s v="Mujer"/>
    <m/>
    <m/>
    <m/>
    <m/>
    <m/>
    <m/>
    <m/>
    <m/>
    <m/>
    <x v="0"/>
    <m/>
    <m/>
    <m/>
    <x v="0"/>
    <n v="155"/>
    <s v=""/>
  </r>
  <r>
    <n v="398"/>
    <x v="321"/>
    <s v="Cuervo Blanco"/>
    <s v="Cédula de ciudadanía"/>
    <n v="80237821"/>
    <s v="Empleado"/>
    <s v="Término indefinido"/>
    <x v="100"/>
    <m/>
    <s v="Mensual"/>
    <n v="1300000"/>
    <s v="Si"/>
    <s v="Centro de trabajo Riesgo 1"/>
    <s v="Si"/>
    <s v="No aplica "/>
    <m/>
    <s v="Transferencia Bancaria"/>
    <s v="Banco Davivienda"/>
    <s v="Cuenta de Ahorros"/>
    <s v="570013370027735"/>
    <x v="317"/>
    <s v="Finca La Duquesa "/>
    <n v="3142782456"/>
    <s v="La Duquesa"/>
    <s v="Operativa"/>
    <x v="6"/>
    <s v="Mano de Obra Directa"/>
    <s v="Famisanar"/>
    <s v="Skandia"/>
    <s v="Skandia"/>
    <x v="19"/>
    <s v="Hombre"/>
    <s v="ordinario"/>
    <s v="No"/>
    <m/>
    <s v="No"/>
    <s v="No aplica"/>
    <s v="No aplica"/>
    <s v="No"/>
    <s v="No aplica"/>
    <s v="No aplica"/>
    <x v="0"/>
    <m/>
    <m/>
    <m/>
    <x v="0"/>
    <n v="79"/>
    <n v="43.661111111111111"/>
  </r>
  <r>
    <n v="399"/>
    <x v="322"/>
    <s v="Vargas Morales"/>
    <s v="Cédula de ciudadanía"/>
    <s v="41904488"/>
    <s v="Empleado"/>
    <s v="Término indefinido"/>
    <x v="176"/>
    <m/>
    <s v="Mensual"/>
    <n v="1300000"/>
    <s v="Si"/>
    <s v="Centro de trabajo Riesgo 1"/>
    <s v="Si"/>
    <s v="vargasmoralesaydee18@gmail.com"/>
    <m/>
    <m/>
    <s v="Banco Davivienda"/>
    <s v="Cuenta de Ahorros"/>
    <s v="488430214988"/>
    <x v="318"/>
    <s v="Barrio Modelo Manzana J Casa 9 Primer Piso"/>
    <s v="3052573718"/>
    <s v="Mocawa Plaza"/>
    <s v="Operativa"/>
    <x v="125"/>
    <s v="Mano de Obra Directa"/>
    <s v="Sanitas"/>
    <s v="Colpensiones"/>
    <s v="Protección"/>
    <x v="32"/>
    <s v="Mujer"/>
    <s v="ordinario"/>
    <s v="No"/>
    <m/>
    <m/>
    <m/>
    <m/>
    <m/>
    <m/>
    <m/>
    <x v="0"/>
    <m/>
    <m/>
    <m/>
    <x v="0"/>
    <n v="50"/>
    <n v="64.641666666666666"/>
  </r>
  <r>
    <n v="400"/>
    <x v="323"/>
    <s v="Escobar Trujillo"/>
    <s v="Cédula de ciudadanía"/>
    <s v="41902310"/>
    <s v="Empleado"/>
    <s v="Término indefinido"/>
    <x v="176"/>
    <m/>
    <s v="Mensual"/>
    <n v="3248000"/>
    <m/>
    <s v="Centro de trabajo Riesgo 1"/>
    <s v="Si"/>
    <s v="beatrizescobartrujillo@hotmail.com"/>
    <m/>
    <s v="Transferencia Bancaria"/>
    <s v="Banco Davivienda"/>
    <s v="Cuenta de Ahorros"/>
    <s v="136170129987"/>
    <x v="319"/>
    <s v="Calle 9 norte #21 - 51 Barrio Yulima Etapa 3 Bloque 1 Apto 103"/>
    <s v="3128347885"/>
    <s v="Mocawa Plaza"/>
    <s v="Administrativa"/>
    <x v="126"/>
    <s v="Administrativo"/>
    <s v="EPS Sura"/>
    <s v="Protección"/>
    <s v="Protección"/>
    <x v="32"/>
    <s v="Mujer"/>
    <s v="dirección, confianza y/o manejo"/>
    <s v="No"/>
    <m/>
    <m/>
    <m/>
    <m/>
    <m/>
    <m/>
    <m/>
    <x v="0"/>
    <m/>
    <m/>
    <m/>
    <x v="0"/>
    <n v="50"/>
    <n v="60.069444444444443"/>
  </r>
  <r>
    <n v="401"/>
    <x v="139"/>
    <s v="Ríos Duque"/>
    <s v="Cédula de ciudadanía"/>
    <s v="2471191"/>
    <s v="Empleado"/>
    <s v="Término indefinido"/>
    <x v="176"/>
    <m/>
    <s v="Mensual"/>
    <n v="1300000"/>
    <s v="Si"/>
    <s v="Centro de trabajo Riesgo 1"/>
    <s v="Si"/>
    <s v="lineyparra123@hotmail.com"/>
    <m/>
    <s v="Transferencia Bancaria"/>
    <s v="Banco AV Villas"/>
    <s v="Cuenta de Ahorros"/>
    <s v="312859072"/>
    <x v="320"/>
    <s v="Mz 63 Casa 17 Barrio La Patria "/>
    <s v="3116086917"/>
    <s v="Mocawa Plaza"/>
    <s v="Operativa"/>
    <x v="127"/>
    <s v="Mano de Obra Directa"/>
    <s v="EPS Sura"/>
    <s v="Colpensiones"/>
    <s v="Colfondos"/>
    <x v="32"/>
    <s v="Hombre"/>
    <s v="ordinario"/>
    <s v="No"/>
    <m/>
    <m/>
    <m/>
    <m/>
    <m/>
    <m/>
    <m/>
    <x v="0"/>
    <m/>
    <m/>
    <m/>
    <x v="0"/>
    <n v="50"/>
    <n v="59.174999999999997"/>
  </r>
  <r>
    <n v="402"/>
    <x v="324"/>
    <s v="Rojas Bermudez"/>
    <s v="Cédula de ciudadanía"/>
    <s v="18468370"/>
    <s v="Empleado"/>
    <s v="Término indefinido"/>
    <x v="176"/>
    <m/>
    <s v="Mensual"/>
    <n v="1372126"/>
    <s v="Si"/>
    <s v="Centro de trabajo Riesgo 1"/>
    <s v="Si"/>
    <s v="enriquecarlosbermudezrojas@gmail.com"/>
    <m/>
    <s v="Transferencia Bancaria"/>
    <s v="Banco AV Villas"/>
    <s v="Cuenta de Ahorros"/>
    <s v="312859098"/>
    <x v="321"/>
    <s v="Finca La Unión Vereda los Tanques Filandia Quindío"/>
    <s v="3165512032"/>
    <s v="Mocawa Plaza"/>
    <s v="Operativa"/>
    <x v="128"/>
    <s v="Mano de Obra Directa"/>
    <s v="S.O.S. Servicio Occidental de Salud S.A."/>
    <s v="Porvenir"/>
    <s v="Porvenir"/>
    <x v="32"/>
    <s v="Hombre"/>
    <s v="ordinario"/>
    <s v="No"/>
    <m/>
    <m/>
    <m/>
    <m/>
    <m/>
    <m/>
    <m/>
    <x v="0"/>
    <m/>
    <m/>
    <m/>
    <x v="0"/>
    <n v="50"/>
    <n v="48.87222222222222"/>
  </r>
  <r>
    <n v="403"/>
    <x v="325"/>
    <s v="Hernández Guaydia"/>
    <s v="Cédula de ciudadanía"/>
    <s v="18498548"/>
    <s v="Empleado"/>
    <s v="Término indefinido"/>
    <x v="176"/>
    <m/>
    <s v="Mensual"/>
    <n v="1300000"/>
    <s v="Si"/>
    <s v="Centro de trabajo Riesgo 1"/>
    <s v="Si"/>
    <s v="hooverhg@gmail.com"/>
    <m/>
    <s v="Transferencia Bancaria"/>
    <s v=""/>
    <m/>
    <s v=""/>
    <x v="322"/>
    <s v="Torres de Laureles Bloque A apartamento 103 Calarcá"/>
    <s v="3165450540"/>
    <s v="Mocawa Plaza"/>
    <s v="Operativa"/>
    <x v="20"/>
    <s v="Mano de Obra Directa"/>
    <s v="Salud Total"/>
    <s v="Protección"/>
    <s v="Protección"/>
    <x v="32"/>
    <s v="Hombre"/>
    <s v="ordinario"/>
    <s v="No"/>
    <m/>
    <m/>
    <m/>
    <m/>
    <m/>
    <m/>
    <m/>
    <x v="0"/>
    <m/>
    <m/>
    <m/>
    <x v="0"/>
    <n v="50"/>
    <n v="50.416666666666664"/>
  </r>
  <r>
    <n v="404"/>
    <x v="326"/>
    <s v="Hernán  Rodríguez"/>
    <s v="Cédula de ciudadanía"/>
    <s v="1097388469"/>
    <s v="Empleado"/>
    <s v="Término indefinido"/>
    <x v="176"/>
    <m/>
    <s v="Mensual"/>
    <n v="1450000"/>
    <s v="Si"/>
    <s v="Centro de trabajo Riesgo 1"/>
    <s v="Si"/>
    <s v="jhr20041986@gmail.com"/>
    <m/>
    <s v="Transferencia Bancaria"/>
    <s v="Banco Davivienda"/>
    <s v="Cuenta de Ahorros"/>
    <s v="055013600026107"/>
    <x v="323"/>
    <s v="Barcelona Barrio Ancizar López Cra 9 # 9 - 08"/>
    <s v="3174567042"/>
    <s v="Mocawa Plaza"/>
    <s v="Operativa"/>
    <x v="6"/>
    <s v="Administrativo"/>
    <s v="Sanitas"/>
    <s v="Protección"/>
    <s v="FNA"/>
    <x v="32"/>
    <s v="Hombre"/>
    <s v="ordinario"/>
    <s v="No"/>
    <m/>
    <m/>
    <m/>
    <m/>
    <m/>
    <m/>
    <m/>
    <x v="0"/>
    <m/>
    <m/>
    <m/>
    <x v="0"/>
    <n v="50"/>
    <n v="37.955555555555556"/>
  </r>
  <r>
    <n v="405"/>
    <x v="327"/>
    <s v="Leuro Franco"/>
    <s v="Cédula de ciudadanía"/>
    <s v="1094888248"/>
    <s v="Empleado"/>
    <s v="Término indefinido"/>
    <x v="176"/>
    <m/>
    <s v="Mensual"/>
    <n v="1300000"/>
    <s v="Si"/>
    <s v="Centro de trabajo Riesgo 1"/>
    <s v="Si"/>
    <s v="leidyleuro4@gmail.com"/>
    <m/>
    <s v="Transferencia Bancaria"/>
    <s v="Banco Davivienda"/>
    <s v="Cuenta de Ahorros"/>
    <s v=""/>
    <x v="324"/>
    <s v="Barrio La Fachada Mz 39 Casa 18"/>
    <s v="3135782507"/>
    <s v="Mocawa Plaza"/>
    <s v="Operativa"/>
    <x v="125"/>
    <s v="Mano de Obra Directa"/>
    <s v="Salud Total"/>
    <s v="Porvenir"/>
    <s v="Protección"/>
    <x v="32"/>
    <s v="Mujer"/>
    <s v="ordinario"/>
    <s v="No"/>
    <m/>
    <m/>
    <m/>
    <m/>
    <m/>
    <m/>
    <m/>
    <x v="0"/>
    <m/>
    <m/>
    <m/>
    <x v="0"/>
    <n v="50"/>
    <n v="37.386111111111113"/>
  </r>
  <r>
    <n v="406"/>
    <x v="328"/>
    <s v="Aleans Viloria"/>
    <s v="Cédula de ciudadanía"/>
    <s v="35116411"/>
    <s v="Empleado"/>
    <s v="Término indefinido"/>
    <x v="176"/>
    <m/>
    <s v="Mensual"/>
    <n v="1300000"/>
    <s v="Si"/>
    <s v="Centro de trabajo Riesgo 1"/>
    <s v="Si"/>
    <s v="yohanaaleans123@gmail.com"/>
    <m/>
    <s v="Transferencia Bancaria"/>
    <s v=""/>
    <m/>
    <s v=""/>
    <x v="23"/>
    <s v=""/>
    <m/>
    <m/>
    <m/>
    <x v="125"/>
    <s v="Administrativo"/>
    <s v="Famisanar"/>
    <s v="Porvenir"/>
    <s v="Protección"/>
    <x v="32"/>
    <s v="Mujer"/>
    <s v="ordinario"/>
    <s v="No"/>
    <m/>
    <m/>
    <m/>
    <m/>
    <m/>
    <m/>
    <m/>
    <x v="0"/>
    <m/>
    <m/>
    <m/>
    <x v="0"/>
    <n v="50"/>
    <s v=""/>
  </r>
  <r>
    <n v="407"/>
    <x v="329"/>
    <s v="Cortes Rodriguez"/>
    <s v="Cédula de ciudadanía"/>
    <n v="52367872"/>
    <s v="Empleado"/>
    <s v="Término indefinido"/>
    <x v="164"/>
    <m/>
    <s v="Mensual"/>
    <n v="2004000"/>
    <s v="Si"/>
    <s v="Centro de trabajo Riesgo 2"/>
    <s v="Si"/>
    <s v="marucha-76.06@hotmail.com"/>
    <m/>
    <s v="Transferencia Bancaria"/>
    <s v="Bancolombia"/>
    <s v="Cuenta de Ahorros"/>
    <n v="77238439542"/>
    <x v="325"/>
    <s v="Finca Altomira Sevilla"/>
    <n v="3117523949"/>
    <s v="Caicedonia"/>
    <s v="Operativa"/>
    <x v="129"/>
    <s v="Operativo"/>
    <s v="EPS Sura"/>
    <s v="Colpensiones"/>
    <s v="Protección"/>
    <x v="6"/>
    <s v="Mujer"/>
    <s v="ordinario"/>
    <s v="Si"/>
    <n v="100000"/>
    <s v="Si"/>
    <s v="Hijos"/>
    <s v="No"/>
    <s v="Si"/>
    <s v="Hijos"/>
    <s v="No"/>
    <x v="0"/>
    <m/>
    <m/>
    <m/>
    <x v="0"/>
    <n v="49"/>
    <n v="47.644444444444446"/>
  </r>
  <r>
    <n v="408"/>
    <x v="330"/>
    <s v="Jurado Morales"/>
    <s v="Cédula de ciudadanía"/>
    <n v="4408183"/>
    <s v="Empleado"/>
    <s v="Término indefinido"/>
    <x v="177"/>
    <m/>
    <s v="Mensual"/>
    <n v="1300000"/>
    <s v="Si"/>
    <s v="Centro de trabajo Riesgo 3"/>
    <s v="Si"/>
    <s v="No tiene correo electronico "/>
    <m/>
    <s v="Transferencia Bancaria"/>
    <s v="Banco Davivienda"/>
    <s v="Cuenta de Ahorros"/>
    <m/>
    <x v="326"/>
    <s v="Finca La Gemela, Barrio Puerto Espejo, Armenia"/>
    <n v="3218672341"/>
    <s v="Armenia"/>
    <s v="operativa"/>
    <x v="50"/>
    <s v="Operativo"/>
    <s v="Nueva EPS"/>
    <s v="Protección"/>
    <s v="Porvenir"/>
    <x v="0"/>
    <s v="Hombre"/>
    <s v="ordinario"/>
    <s v="No"/>
    <m/>
    <s v="Si"/>
    <s v="Compañero/a permanente"/>
    <s v="Si"/>
    <s v="Si"/>
    <s v="Compañero/a permanente"/>
    <s v="Si"/>
    <x v="0"/>
    <m/>
    <m/>
    <m/>
    <x v="0"/>
    <n v="44"/>
    <n v="61.344444444444441"/>
  </r>
  <r>
    <n v="409"/>
    <x v="331"/>
    <s v="López Giraldo"/>
    <s v="Cédula de ciudadanía"/>
    <n v="1092851928"/>
    <s v="Empleado"/>
    <s v="Término indefinido"/>
    <x v="177"/>
    <m/>
    <s v="Mensual"/>
    <n v="4000000"/>
    <s v="No"/>
    <s v="Centro de trabajo Riesgo 1"/>
    <s v="Si"/>
    <s v="emilialopezgiraldo@gmail.com"/>
    <m/>
    <s v="Efectivo"/>
    <m/>
    <m/>
    <m/>
    <x v="327"/>
    <s v="Cra. 38 No. 6 B sur - 33"/>
    <n v="3232895304"/>
    <s v="Armenia"/>
    <s v="Comercial"/>
    <x v="130"/>
    <s v="Mano de Obra Directa"/>
    <s v="EPS Sura"/>
    <s v="Porvenir "/>
    <s v="Porvenir"/>
    <x v="19"/>
    <s v="Mujer"/>
    <s v="dirección, confianza y/o manejo"/>
    <s v="No"/>
    <m/>
    <s v="No"/>
    <m/>
    <m/>
    <m/>
    <m/>
    <m/>
    <x v="0"/>
    <m/>
    <m/>
    <m/>
    <x v="0"/>
    <n v="44"/>
    <n v="18.130555555555556"/>
  </r>
  <r>
    <n v="410"/>
    <x v="332"/>
    <s v="Martínez Hernandez"/>
    <s v="Cédula de ciudadanía"/>
    <n v="24604910"/>
    <s v="Empleado"/>
    <s v="Término indefinido"/>
    <x v="178"/>
    <m/>
    <s v="Mensual"/>
    <n v="1300000"/>
    <s v="Si"/>
    <s v="Centro de trabajo Riesgo 3"/>
    <s v="Si"/>
    <s v="luceromarher@gmail.com"/>
    <m/>
    <s v="Transferencia Bancaria"/>
    <s v="Bancolombia"/>
    <s v="Cuenta de Ahorros"/>
    <s v="03013092174"/>
    <x v="328"/>
    <s v="Calle 3 No. 12 -80 Circasia"/>
    <n v="3013092174"/>
    <s v="Restaurante El Solar"/>
    <s v="operativa"/>
    <x v="131"/>
    <s v="Operativo"/>
    <s v="Nueva EPS"/>
    <s v="Protección"/>
    <s v="Protección"/>
    <x v="3"/>
    <s v="Mujer"/>
    <s v="ordinario"/>
    <s v="Si"/>
    <n v="400000"/>
    <s v="No "/>
    <m/>
    <m/>
    <m/>
    <m/>
    <m/>
    <x v="0"/>
    <m/>
    <m/>
    <m/>
    <x v="0"/>
    <n v="43"/>
    <n v="49.819444444444443"/>
  </r>
  <r>
    <n v="411"/>
    <x v="55"/>
    <s v="Rivera Cruz"/>
    <s v="Cédula de ciudadanía"/>
    <n v="1094936875"/>
    <s v="Empleado"/>
    <s v="Término indefinido"/>
    <x v="179"/>
    <m/>
    <s v="Mensual"/>
    <n v="1300000"/>
    <s v="Si"/>
    <s v="Centro de trabajo Riesgo 1"/>
    <s v="Si"/>
    <s v="ale.rc-825@hotmail.com"/>
    <m/>
    <s v="Transferencia Bancaria"/>
    <s v="Bancolombia"/>
    <s v="Cuenta de Ahorros"/>
    <n v="86700042377"/>
    <x v="329"/>
    <s v="Barrio Alcazar de Café Mz C casa 107 Armenia"/>
    <n v="3114289447"/>
    <s v="Armenia"/>
    <s v="Administrativa"/>
    <x v="132"/>
    <s v="Mano de Obra Directa"/>
    <s v="EPS Sura"/>
    <s v="Porvenir"/>
    <s v="Porvenir"/>
    <x v="9"/>
    <s v="Mujer"/>
    <s v="ordinario"/>
    <s v="Si"/>
    <n v="200000"/>
    <s v="No"/>
    <m/>
    <m/>
    <m/>
    <m/>
    <m/>
    <x v="0"/>
    <m/>
    <m/>
    <m/>
    <x v="0"/>
    <n v="42"/>
    <n v="30.608333333333334"/>
  </r>
  <r>
    <n v="412"/>
    <x v="135"/>
    <s v="Latorre Escobar"/>
    <s v="Cédula de ciudadanía"/>
    <n v="1094973865"/>
    <s v="Empleado"/>
    <s v="Término indefinido"/>
    <x v="179"/>
    <m/>
    <s v="Mensual"/>
    <n v="1650000"/>
    <s v="Si"/>
    <s v="Centro de trabajo Riesgo 1"/>
    <s v="Si"/>
    <s v="natalialatorre47@gmail.com"/>
    <m/>
    <s v="Transferencia Bancaria"/>
    <s v="BBVA Colombia"/>
    <s v="Cuenta de Ahorros"/>
    <s v="0642242465"/>
    <x v="330"/>
    <s v="Carrera 23 B No. 11A- 64 Barrio Granada Armenia"/>
    <n v="3218798890"/>
    <s v="Armenia"/>
    <s v="Legal"/>
    <x v="67"/>
    <s v="Administrativo"/>
    <s v="Nueva EPS"/>
    <s v="Porvenir"/>
    <s v="Fondo Nacional del Ahorro"/>
    <x v="16"/>
    <s v="Mujer"/>
    <s v="ordinario"/>
    <s v="Si"/>
    <n v="550000"/>
    <s v="No"/>
    <m/>
    <s v="No aplica"/>
    <m/>
    <m/>
    <m/>
    <x v="71"/>
    <s v="Renuncia voluntaria"/>
    <m/>
    <m/>
    <x v="1"/>
    <n v="12"/>
    <n v="25.002777777777776"/>
  </r>
  <r>
    <n v="413"/>
    <x v="333"/>
    <s v="Cisneros Rojas"/>
    <s v="Permiso de protección  temporal"/>
    <n v="996679"/>
    <s v="Empleado"/>
    <s v="Término indefinido"/>
    <x v="180"/>
    <m/>
    <s v="Mensual"/>
    <n v="1300000"/>
    <s v="Si"/>
    <s v="Centro de trabajo Riesgo 3"/>
    <s v="Si"/>
    <s v="cisnerosrojasalexander@outlook.com"/>
    <m/>
    <s v="Transferencia Bancaria"/>
    <s v="Banco Davivienda"/>
    <s v="Cuenta de Ahorros"/>
    <n v="550136200141283"/>
    <x v="331"/>
    <s v="Barrio Santander Calle 32 # 28 - 54 Armenia"/>
    <n v="3148191505"/>
    <s v="Armenia"/>
    <s v="operativa"/>
    <x v="36"/>
    <s v="Operativo"/>
    <s v="Salud Total"/>
    <s v="Colpensiones"/>
    <s v="Porvenir"/>
    <x v="0"/>
    <s v="Hombre"/>
    <s v="ordinario"/>
    <s v="No"/>
    <m/>
    <s v="Si"/>
    <s v="Hijos"/>
    <s v="No"/>
    <s v="Si"/>
    <s v="Hijos"/>
    <s v="No"/>
    <x v="0"/>
    <m/>
    <m/>
    <m/>
    <x v="0"/>
    <n v="41"/>
    <n v="40.369444444444447"/>
  </r>
  <r>
    <n v="414"/>
    <x v="334"/>
    <s v="Rivera Rios"/>
    <s v="Cédula de ciudadanía"/>
    <n v="1097399495"/>
    <s v="Empleado"/>
    <s v="Término indefinido"/>
    <x v="181"/>
    <m/>
    <s v="Mensual"/>
    <n v="1300000"/>
    <s v="Si"/>
    <s v="Centro de trabajo Riesgo 3"/>
    <s v="Si"/>
    <s v="ladari@hotmail.com"/>
    <m/>
    <s v="Transferencia Bancaria"/>
    <s v="Banco Davivienda"/>
    <s v="Cuenta de Ahorros"/>
    <m/>
    <x v="332"/>
    <s v="Conjunto Residencial Entre Lomas Torre 4 Apto 302"/>
    <n v="3137462562"/>
    <s v="Armenia"/>
    <s v="Comercial"/>
    <x v="37"/>
    <s v="Ventas"/>
    <s v="Nueva EPS"/>
    <s v="Porvenir"/>
    <s v="Porvenir"/>
    <x v="0"/>
    <s v="Mujer"/>
    <s v="ordinario"/>
    <s v="No"/>
    <m/>
    <s v="Si"/>
    <s v="Padres"/>
    <s v="No"/>
    <s v="Si"/>
    <s v="Padres"/>
    <s v="No"/>
    <x v="0"/>
    <m/>
    <m/>
    <m/>
    <x v="0"/>
    <n v="36"/>
    <n v="31.2"/>
  </r>
  <r>
    <n v="415"/>
    <x v="272"/>
    <s v="Taborda Castro"/>
    <s v="Cédula de ciudadanía"/>
    <n v="1007490581"/>
    <s v="Empleado"/>
    <s v="Término indefinido"/>
    <x v="182"/>
    <m/>
    <s v="Mensual"/>
    <n v="1300000"/>
    <s v="Si"/>
    <s v="Centro de trabajo Riesgo 3"/>
    <s v="Si"/>
    <s v="luistaborda2000@hotmail.com"/>
    <m/>
    <s v="Transferencia Bancaria"/>
    <s v="Banco Davivienda"/>
    <s v="Cuenta de Ahorros"/>
    <n v="550138000067122"/>
    <x v="333"/>
    <s v="Calle quinta norte 18 a a- 80 Armenia"/>
    <n v="3158238613"/>
    <s v="Armenia"/>
    <s v="operativa"/>
    <x v="44"/>
    <s v="Operativo"/>
    <s v="EPS Sura"/>
    <s v="Protección"/>
    <s v="Protección"/>
    <x v="3"/>
    <s v="Hombre"/>
    <s v="ordinario"/>
    <s v="Si"/>
    <n v="100000"/>
    <s v="No"/>
    <s v="No aplica"/>
    <s v="No"/>
    <s v="No"/>
    <s v="No aplica"/>
    <s v="No"/>
    <x v="57"/>
    <s v="Renuncia voluntaria"/>
    <m/>
    <m/>
    <x v="1"/>
    <n v="0"/>
    <n v="24.011111111111113"/>
  </r>
  <r>
    <n v="416"/>
    <x v="335"/>
    <s v="Giraldo Villa "/>
    <s v="Cédula de ciudadanía"/>
    <n v="1007325862"/>
    <s v="Empleado"/>
    <s v="Término indefinido"/>
    <x v="183"/>
    <m/>
    <s v="Mensual"/>
    <n v="1500000"/>
    <s v="Si"/>
    <s v="Centro de trabajo Riesgo 1"/>
    <s v="Si"/>
    <s v="danielgiraldo99-@hotmail.com"/>
    <m/>
    <s v="Transferencia Bancaria"/>
    <s v="Bancolombia"/>
    <s v="Cuenta de Ahorros"/>
    <s v="02462146330"/>
    <x v="334"/>
    <s v="Vereda El Higueron Río Negro"/>
    <n v="3204497059"/>
    <s v="Medellín"/>
    <s v="servicios"/>
    <x v="133"/>
    <s v="Mano de Obra Directa"/>
    <s v="EPS Sura"/>
    <s v="Colfondos "/>
    <s v="Porvenir"/>
    <x v="25"/>
    <s v="Hombre"/>
    <s v="ordinario"/>
    <s v="No"/>
    <m/>
    <s v="Si"/>
    <s v="Hijos"/>
    <s v="No"/>
    <s v="Si"/>
    <s v="No aplica"/>
    <s v="No"/>
    <x v="0"/>
    <m/>
    <m/>
    <m/>
    <x v="0"/>
    <n v="38"/>
    <n v="23.963888888888889"/>
  </r>
  <r>
    <n v="417"/>
    <x v="22"/>
    <s v="Lerma Carvajal"/>
    <s v="Cédula de ciudadanía"/>
    <n v="41956416"/>
    <s v="Empleado"/>
    <s v="Término indefinido"/>
    <x v="184"/>
    <m/>
    <s v="Mensual"/>
    <n v="1300000"/>
    <s v="Si"/>
    <s v="Centro de trabajo Riesgo 1"/>
    <s v="Si"/>
    <s v="catalerca@hotmail.com"/>
    <m/>
    <s v="Transferencia Bancaria"/>
    <s v="Bancolombia"/>
    <s v="Cuenta de Ahorros"/>
    <s v="86582878309"/>
    <x v="335"/>
    <s v="Barrio 19 de Enero Calle 46 No. 19-15"/>
    <n v="3116272625"/>
    <s v="Armenia"/>
    <s v="Administrativa"/>
    <x v="134"/>
    <s v="Mano de Obra Directa"/>
    <s v="Sanitas "/>
    <s v="Colpensiones"/>
    <s v="Protección"/>
    <x v="33"/>
    <s v="Mujer"/>
    <s v="ordinario"/>
    <s v="No"/>
    <m/>
    <s v="Si"/>
    <s v="Hijos"/>
    <s v="No"/>
    <s v="No"/>
    <s v="Hijos"/>
    <s v="No"/>
    <x v="0"/>
    <m/>
    <m/>
    <m/>
    <x v="0"/>
    <n v="34"/>
    <n v="41.43333333333333"/>
  </r>
  <r>
    <n v="418"/>
    <x v="336"/>
    <s v="Salazar Pinilla"/>
    <s v="Cédula de ciudadanía"/>
    <n v="34066414"/>
    <s v="Empleado"/>
    <s v="Término indefinido"/>
    <x v="185"/>
    <m/>
    <s v="Mensual"/>
    <n v="1300000"/>
    <s v="Si"/>
    <s v="Centro de trabajo Riesgo 1"/>
    <s v="Si"/>
    <s v="lady.johanna.salazar@hotmail.com"/>
    <m/>
    <s v="Transferencia Bancaria"/>
    <s v="Banco Davivienda"/>
    <s v="Cuenta de Ahorros"/>
    <s v="0550488442703960"/>
    <x v="336"/>
    <s v="Mercedes del Norte Mz 25 Casa 8"/>
    <n v="3137390150"/>
    <s v="Armenia"/>
    <s v="Comercial"/>
    <x v="37"/>
    <s v="Mano de Obra Directa"/>
    <s v="Sura EPS"/>
    <s v="Porvenir"/>
    <s v="Porvenir"/>
    <x v="0"/>
    <s v="Mujer"/>
    <s v="ordinario"/>
    <s v="No"/>
    <m/>
    <s v="Si"/>
    <m/>
    <m/>
    <m/>
    <m/>
    <m/>
    <x v="0"/>
    <m/>
    <m/>
    <m/>
    <x v="0"/>
    <n v="31"/>
    <n v="38.463888888888889"/>
  </r>
  <r>
    <n v="419"/>
    <x v="298"/>
    <s v="Giraldo Cardona"/>
    <s v="Cédula de ciudadanía"/>
    <n v="89007344"/>
    <s v="Empleado"/>
    <s v="Término indefinido"/>
    <x v="166"/>
    <m/>
    <s v="Mensual"/>
    <m/>
    <s v="Si"/>
    <s v="Centro de trabajo Riesgo 1"/>
    <s v="Si"/>
    <s v="diwaoo@hotmail.com"/>
    <m/>
    <m/>
    <m/>
    <m/>
    <m/>
    <x v="292"/>
    <s v="Barrio Jardínes "/>
    <n v="3116090579"/>
    <s v="Armenia"/>
    <m/>
    <x v="135"/>
    <s v="Mano de Obra Directa"/>
    <s v="Sura EPS"/>
    <s v="Protección"/>
    <s v="Protección"/>
    <x v="34"/>
    <s v="Hombre"/>
    <s v="ordinario"/>
    <s v="No"/>
    <m/>
    <m/>
    <m/>
    <m/>
    <m/>
    <m/>
    <m/>
    <x v="0"/>
    <m/>
    <m/>
    <m/>
    <x v="0"/>
    <n v="45386"/>
    <n v="47.327777777777776"/>
  </r>
  <r>
    <n v="420"/>
    <x v="337"/>
    <s v="Cardona Herrera"/>
    <s v="Cédula de ciudadanía"/>
    <n v="9857134"/>
    <s v="Empleado"/>
    <s v="Término indefinido"/>
    <x v="166"/>
    <m/>
    <s v="Mensual"/>
    <m/>
    <s v="Si"/>
    <s v="Centro de trabajo Riesgo 1"/>
    <s v="Si"/>
    <m/>
    <m/>
    <m/>
    <m/>
    <m/>
    <m/>
    <x v="23"/>
    <s v="Mz J N 24"/>
    <n v="3116267150"/>
    <s v="Armenia"/>
    <m/>
    <x v="135"/>
    <s v="Mano de Obra Directa"/>
    <m/>
    <m/>
    <m/>
    <x v="34"/>
    <s v="Hombre"/>
    <s v="ordinario"/>
    <s v="No"/>
    <m/>
    <m/>
    <m/>
    <m/>
    <m/>
    <m/>
    <m/>
    <x v="0"/>
    <m/>
    <m/>
    <m/>
    <x v="0"/>
    <n v="45386"/>
    <s v=""/>
  </r>
  <r>
    <n v="421"/>
    <x v="150"/>
    <s v="García García"/>
    <s v="Cédula de ciudadanía"/>
    <n v="9728449"/>
    <s v="Empleado"/>
    <s v="Término indefinido"/>
    <x v="166"/>
    <m/>
    <s v="Mensual"/>
    <m/>
    <s v="Si"/>
    <s v="Centro de trabajo Riesgo 1"/>
    <s v="Si"/>
    <s v="chachan812009@hotmail.com"/>
    <m/>
    <m/>
    <m/>
    <m/>
    <m/>
    <x v="295"/>
    <s v="Mz E N 5"/>
    <n v="3217916825"/>
    <s v="Armenia"/>
    <m/>
    <x v="135"/>
    <s v="Mano de Obra Directa"/>
    <s v="S.O.S. Servicio Occidental de Salud S.A."/>
    <s v="Porvenir"/>
    <s v="Porvenir"/>
    <x v="34"/>
    <s v="Hombre"/>
    <s v="ordinario"/>
    <s v="No"/>
    <m/>
    <m/>
    <m/>
    <m/>
    <m/>
    <m/>
    <m/>
    <x v="0"/>
    <m/>
    <m/>
    <m/>
    <x v="0"/>
    <n v="45386"/>
    <n v="43.044444444444444"/>
  </r>
  <r>
    <n v="422"/>
    <x v="338"/>
    <s v="Cardona Alvis"/>
    <s v="Cédula de ciudadanía"/>
    <n v="9773298"/>
    <s v="Empleado"/>
    <s v="Término indefinido"/>
    <x v="49"/>
    <m/>
    <s v="Mensual"/>
    <m/>
    <s v="Si"/>
    <s v="Centro de trabajo Riesgo 1"/>
    <s v="Si"/>
    <m/>
    <m/>
    <m/>
    <m/>
    <m/>
    <m/>
    <x v="296"/>
    <s v="Apto 102 T 2 Urb Chilacoa"/>
    <n v="3226382447"/>
    <s v="Armenia"/>
    <m/>
    <x v="50"/>
    <s v="Mano de Obra Directa"/>
    <s v="EPS Sura"/>
    <s v="Porvenir"/>
    <s v="Porvenir"/>
    <x v="34"/>
    <s v="Mujer"/>
    <s v="ordinario"/>
    <s v="No"/>
    <m/>
    <m/>
    <m/>
    <m/>
    <m/>
    <m/>
    <m/>
    <x v="0"/>
    <m/>
    <m/>
    <m/>
    <x v="0"/>
    <n v="457"/>
    <n v="39.391666666666666"/>
  </r>
  <r>
    <n v="423"/>
    <x v="300"/>
    <s v="Duran Sepulveda"/>
    <s v="Cédula de ciudadanía"/>
    <n v="24581913"/>
    <s v="Empleado"/>
    <s v="Término indefinido"/>
    <x v="166"/>
    <m/>
    <s v="Mensual"/>
    <m/>
    <s v="Si"/>
    <s v="Centro de trabajo Riesgo 1"/>
    <s v="Si"/>
    <s v="yenyduran59@gmail.com"/>
    <m/>
    <m/>
    <m/>
    <m/>
    <m/>
    <x v="23"/>
    <s v="Ciudadela Chilacoa"/>
    <n v="3103524954"/>
    <s v="Armenia"/>
    <m/>
    <x v="135"/>
    <s v="Mano de Obra Directa"/>
    <m/>
    <m/>
    <m/>
    <x v="34"/>
    <s v="Hombre"/>
    <s v="ordinario"/>
    <s v="No"/>
    <m/>
    <m/>
    <m/>
    <m/>
    <m/>
    <m/>
    <m/>
    <x v="0"/>
    <m/>
    <m/>
    <m/>
    <x v="0"/>
    <n v="45386"/>
    <s v=""/>
  </r>
  <r>
    <n v="424"/>
    <x v="339"/>
    <s v="Gónzalez "/>
    <s v="Cédula de ciudadanía"/>
    <n v="18468806"/>
    <s v="Empleado"/>
    <s v="Término indefinido"/>
    <x v="166"/>
    <m/>
    <s v="Mensual"/>
    <m/>
    <s v="Si"/>
    <s v="Centro de trabajo Riesgo 1"/>
    <s v="Si"/>
    <m/>
    <m/>
    <m/>
    <m/>
    <m/>
    <m/>
    <x v="23"/>
    <s v="Mz 26 - 14 Barrio La Patria"/>
    <m/>
    <s v="Armenia"/>
    <m/>
    <x v="135"/>
    <s v="Mano de Obra Directa"/>
    <s v="EPS Sura"/>
    <m/>
    <s v="Porvenir"/>
    <x v="34"/>
    <s v="Hombre"/>
    <s v="ordinario"/>
    <s v="No"/>
    <m/>
    <m/>
    <m/>
    <m/>
    <m/>
    <m/>
    <m/>
    <x v="0"/>
    <m/>
    <m/>
    <m/>
    <x v="0"/>
    <n v="45386"/>
    <s v=""/>
  </r>
  <r>
    <n v="425"/>
    <x v="319"/>
    <s v="García Castillo"/>
    <s v="Cédula de ciudadanía"/>
    <n v="9733492"/>
    <s v="Empleado"/>
    <s v="Término fijo"/>
    <x v="186"/>
    <m/>
    <s v="Mensual"/>
    <m/>
    <s v="Si"/>
    <s v="Centro de trabajo Riesgo 1"/>
    <s v="Si"/>
    <s v="rubencho_1111@hotmail.com"/>
    <m/>
    <m/>
    <m/>
    <m/>
    <m/>
    <x v="293"/>
    <s v="Barrio Pinares "/>
    <m/>
    <s v="Armenia"/>
    <m/>
    <x v="135"/>
    <s v="Mano de Obra Directa"/>
    <s v="Sanitas"/>
    <m/>
    <m/>
    <x v="28"/>
    <m/>
    <m/>
    <m/>
    <m/>
    <m/>
    <m/>
    <m/>
    <m/>
    <m/>
    <m/>
    <x v="0"/>
    <m/>
    <m/>
    <m/>
    <x v="0"/>
    <n v="279"/>
    <n v="44.513888888888886"/>
  </r>
  <r>
    <n v="426"/>
    <x v="340"/>
    <s v="Obregon Henao"/>
    <s v="Cédula de ciudadanía"/>
    <n v="1192912010"/>
    <s v="Empleado"/>
    <s v="Término indefinido"/>
    <x v="185"/>
    <m/>
    <s v="Mensual"/>
    <n v="1300000"/>
    <s v="Si"/>
    <s v="Centro de trabajo Riesgo 1"/>
    <s v="Si"/>
    <s v="jenniferobregonhenao@gmail.com"/>
    <m/>
    <s v="Transferencia Bancaria"/>
    <s v="Bancolombia"/>
    <s v="Cuenta de Ahorros"/>
    <s v="03023045995"/>
    <x v="337"/>
    <s v="Calle 74 bn No. 2-23 Brisas de los Alamos, Cali"/>
    <n v="3023045995"/>
    <s v="Cali"/>
    <s v="Servicios"/>
    <x v="120"/>
    <s v="Mano de Obra Directa"/>
    <s v="Salud Total"/>
    <s v="Porvenir"/>
    <s v="Porvenir"/>
    <x v="30"/>
    <s v="Mujer"/>
    <s v="ordinario"/>
    <s v="No"/>
    <m/>
    <s v="No"/>
    <s v="No aplica"/>
    <s v="No aplica"/>
    <s v="No"/>
    <s v="No aplica"/>
    <s v="No aplica"/>
    <x v="71"/>
    <s v="Renuncia voluntaria"/>
    <m/>
    <m/>
    <x v="1"/>
    <n v="1"/>
    <n v="23.56388888888889"/>
  </r>
  <r>
    <n v="427"/>
    <x v="341"/>
    <s v="Baena Ramírez "/>
    <s v="Cédula de ciudadanía"/>
    <n v="1097731226"/>
    <s v="Empleado"/>
    <s v="Término indefinido"/>
    <x v="187"/>
    <m/>
    <s v="Mensual"/>
    <n v="1650000"/>
    <s v="Si"/>
    <s v="Centro de trabajo Riesgo 1"/>
    <s v="Si"/>
    <s v="juridicosbaena@gmail.com"/>
    <m/>
    <s v="Transferencia Bancaria"/>
    <s v="Bancolombia"/>
    <s v="Cuenta de Ahorros"/>
    <s v="76155093818"/>
    <x v="338"/>
    <s v="Manzana F, casa 6, barrio villa juliana, Montenegro"/>
    <n v="3194130265"/>
    <s v="Armenia"/>
    <s v="Jurídica "/>
    <x v="136"/>
    <s v="Mano de Obra Directa"/>
    <s v="Nueva EPS"/>
    <s v="Protección"/>
    <s v="Protección"/>
    <x v="16"/>
    <s v="Hombre"/>
    <s v="ordinario"/>
    <s v="Si"/>
    <n v="650000"/>
    <s v="No"/>
    <s v="No aplica"/>
    <s v="No aplica"/>
    <s v="No"/>
    <s v="No aplica"/>
    <s v="No aplica"/>
    <x v="0"/>
    <m/>
    <m/>
    <m/>
    <x v="0"/>
    <n v="30"/>
    <n v="25.205555555555556"/>
  </r>
  <r>
    <n v="428"/>
    <x v="342"/>
    <s v="Loaiza López "/>
    <s v="Cédula de ciudadanía"/>
    <n v="6111798"/>
    <s v="Empleado"/>
    <s v="Término indefinido"/>
    <x v="188"/>
    <m/>
    <s v="Mensual"/>
    <n v="1300000"/>
    <s v="No"/>
    <s v="Centro de trabajo Riesgo 1"/>
    <s v="Si"/>
    <s v="jairoloaizalopez237@gmail.com"/>
    <m/>
    <s v="Efectivo"/>
    <m/>
    <m/>
    <m/>
    <x v="339"/>
    <s v="Finca La Granjita, Alcalá, Valle del Cauca"/>
    <n v="3167690308"/>
    <s v="Valle del Cauca"/>
    <s v="operativa"/>
    <x v="101"/>
    <s v="Mano de Obra Directa"/>
    <s v="Nueva EPS"/>
    <s v="Colpensiones"/>
    <s v="Protección"/>
    <x v="14"/>
    <s v="Hombre"/>
    <s v="ordinario"/>
    <s v="Si"/>
    <n v="304000"/>
    <s v="No"/>
    <s v="No aplica"/>
    <s v="No aplica"/>
    <s v="No"/>
    <s v="No aplica"/>
    <s v="No aplica"/>
    <x v="0"/>
    <m/>
    <m/>
    <m/>
    <x v="0"/>
    <n v="29"/>
    <n v="56.755555555555553"/>
  </r>
  <r>
    <n v="429"/>
    <x v="343"/>
    <s v="González Barrios"/>
    <s v="Cédula de ciudadanía"/>
    <n v="18414075"/>
    <s v="Empleado"/>
    <s v="Término indefinido"/>
    <x v="189"/>
    <m/>
    <s v="Mensual"/>
    <n v="1300000"/>
    <s v="Si"/>
    <s v="Centro de trabajo Riesgo 1"/>
    <s v="Si"/>
    <m/>
    <m/>
    <m/>
    <m/>
    <m/>
    <m/>
    <x v="340"/>
    <m/>
    <m/>
    <m/>
    <m/>
    <x v="6"/>
    <m/>
    <m/>
    <m/>
    <m/>
    <x v="7"/>
    <s v="Hombre"/>
    <s v="ordinario"/>
    <m/>
    <m/>
    <m/>
    <m/>
    <m/>
    <m/>
    <m/>
    <m/>
    <x v="72"/>
    <s v="Periodo de prueba"/>
    <m/>
    <m/>
    <x v="1"/>
    <n v="61"/>
    <n v="55.452777777777776"/>
  </r>
  <r>
    <n v="430"/>
    <x v="344"/>
    <s v="Botero Gonzalez "/>
    <s v="Cédula de ciudadanía"/>
    <n v="6109907"/>
    <s v="Empleado"/>
    <s v="Término indefinido"/>
    <x v="190"/>
    <m/>
    <s v="Mensual"/>
    <n v="1300000"/>
    <s v="Si"/>
    <s v="Centro de trabajo Riesgo 1"/>
    <s v="Si"/>
    <s v="No tiene correo electronico "/>
    <m/>
    <s v="Transferencia Bancaria"/>
    <s v="Bancolombia"/>
    <s v="Cuenta de Ahorros"/>
    <n v="10621560407"/>
    <x v="341"/>
    <s v="Montenegro Alamos de Poporo T 1 APTO 401"/>
    <n v="3104437039"/>
    <s v="Armenia"/>
    <s v="Servicios"/>
    <x v="101"/>
    <s v="Mano de Obra Directa "/>
    <s v="Salud Total"/>
    <m/>
    <s v="Porvenir"/>
    <x v="14"/>
    <s v="Hombre"/>
    <s v="ordinario"/>
    <s v="No"/>
    <m/>
    <s v="No"/>
    <s v="No aplica"/>
    <s v="No"/>
    <s v="No"/>
    <s v="No aplica"/>
    <s v="No"/>
    <x v="0"/>
    <m/>
    <m/>
    <m/>
    <x v="0"/>
    <n v="24"/>
    <n v="64.341666666666669"/>
  </r>
  <r>
    <n v="431"/>
    <x v="345"/>
    <s v="Sepulveda Gómez"/>
    <s v="Cédula de ciudadanía"/>
    <n v="16792995"/>
    <s v="Empleado"/>
    <s v="Término indefinido"/>
    <x v="184"/>
    <m/>
    <s v="Mensual"/>
    <n v="1300000"/>
    <s v="Si"/>
    <s v="Centro de trabajo Riesgo 1"/>
    <s v="Si"/>
    <s v="No tiene correo electronico "/>
    <m/>
    <s v="Efectivo"/>
    <m/>
    <m/>
    <m/>
    <x v="342"/>
    <s v="Finca San Juanito"/>
    <n v="3207986606"/>
    <s v="Armenia"/>
    <s v="Servicios"/>
    <x v="22"/>
    <s v="Mano de Obra Directa "/>
    <s v="S.O.S. Servicio Occidental de Salud S.A."/>
    <s v="Colpensiones"/>
    <s v="Porvenir"/>
    <x v="8"/>
    <s v="Hombre"/>
    <s v="ordinario"/>
    <s v="No"/>
    <m/>
    <m/>
    <m/>
    <m/>
    <m/>
    <m/>
    <m/>
    <x v="0"/>
    <m/>
    <m/>
    <m/>
    <x v="0"/>
    <n v="20"/>
    <n v="53.802777777777777"/>
  </r>
  <r>
    <n v="432"/>
    <x v="346"/>
    <s v="Agudelo Toro"/>
    <s v="Cédula de ciudadanía"/>
    <n v="1233494863"/>
    <s v="Empleado"/>
    <s v="Término indefinido"/>
    <x v="191"/>
    <m/>
    <s v="Mensual"/>
    <n v="1600000"/>
    <s v="Si"/>
    <s v="Centro de trabajo Riesgo 1"/>
    <s v="Si"/>
    <s v="jdat2013@hotmail.com"/>
    <m/>
    <s v="Transferencia Bancaria"/>
    <s v="Bancolombia"/>
    <s v="Cuenta de Ahorros"/>
    <s v="16800006953"/>
    <x v="343"/>
    <s v="Cra. 25 No. 16-35 Calarcá"/>
    <n v="3508143419"/>
    <s v="Armenia"/>
    <s v="Administrativa"/>
    <x v="137"/>
    <s v="Mano de Obra Directa"/>
    <s v="Sura EPS"/>
    <s v="Colfondos"/>
    <s v="Colfondos"/>
    <x v="16"/>
    <s v="Hombre"/>
    <s v="ordinario"/>
    <s v="No"/>
    <m/>
    <s v="No"/>
    <s v="No aplica"/>
    <s v="No"/>
    <s v="No"/>
    <s v="No aplica"/>
    <s v="No aplica"/>
    <x v="0"/>
    <m/>
    <m/>
    <m/>
    <x v="0"/>
    <e v="#REF!"/>
    <n v="26.072222222222223"/>
  </r>
  <r>
    <n v="433"/>
    <x v="54"/>
    <s v="Oteca Capaz"/>
    <s v="Cédula de ciudadanía"/>
    <n v="1002946484"/>
    <s v="Empleado"/>
    <s v="Término indefinido"/>
    <x v="184"/>
    <m/>
    <s v="Mensual"/>
    <n v="1300000"/>
    <s v="No"/>
    <s v="Centro de trabajo Riesgo 1"/>
    <s v="Si"/>
    <s v="capazruben123@gmail.com"/>
    <m/>
    <s v="Efectivo"/>
    <m/>
    <m/>
    <m/>
    <x v="344"/>
    <s v="Finca Rancholargo  "/>
    <n v="3024045881"/>
    <s v="Finca Rancho Largo"/>
    <s v="Campo"/>
    <x v="104"/>
    <s v="Mano de Obra Directa"/>
    <s v="Asociación Indigena del Cauca - AIC"/>
    <s v="Porvenir"/>
    <s v="Porvenir"/>
    <x v="23"/>
    <s v="Hombre"/>
    <s v="ordinario"/>
    <s v="No"/>
    <m/>
    <s v="No"/>
    <s v="No aplica"/>
    <s v="No"/>
    <s v="No"/>
    <s v="No aplica"/>
    <s v="No aplica"/>
    <x v="0"/>
    <m/>
    <m/>
    <m/>
    <x v="0"/>
    <n v="34"/>
    <n v="22.919444444444444"/>
  </r>
  <r>
    <n v="434"/>
    <x v="347"/>
    <s v="Chacón Fajardo"/>
    <s v="Cédula de ciudadanía"/>
    <n v="1005092401"/>
    <s v="Empleado"/>
    <s v="Término indefinido"/>
    <x v="192"/>
    <m/>
    <s v="Mensual"/>
    <n v="1900000"/>
    <s v="Si"/>
    <s v="Centro de trabajo Riesgo 1"/>
    <s v="Si"/>
    <s v="dahianasele2115@gmail.com"/>
    <m/>
    <s v="Transferencia Bancaria"/>
    <s v="Banco Davivienda"/>
    <s v="Cuenta de Ahorros"/>
    <n v="488427769333"/>
    <x v="345"/>
    <s v="Mz 10 casa 14 Brr San Andrés - Armenia"/>
    <s v="315 3441717"/>
    <s v="Armenia"/>
    <s v="Administrativa"/>
    <x v="138"/>
    <s v="Mano de Obra Directa"/>
    <s v="Sura EPS"/>
    <s v="Porvenir"/>
    <s v="Porvenir"/>
    <x v="7"/>
    <s v="Mujer"/>
    <s v="ordinario"/>
    <m/>
    <m/>
    <m/>
    <m/>
    <m/>
    <m/>
    <m/>
    <m/>
    <x v="0"/>
    <m/>
    <m/>
    <m/>
    <x v="0"/>
    <n v="17"/>
    <n v="20.702777777777779"/>
  </r>
  <r>
    <n v="435"/>
    <x v="348"/>
    <s v="Villegas Gonzalez"/>
    <s v="Cédula de ciudadanía"/>
    <n v="43271104"/>
    <s v="Empleado"/>
    <s v="Término indefinido"/>
    <x v="193"/>
    <m/>
    <s v="Mensual"/>
    <n v="1300000"/>
    <s v="Si"/>
    <s v="Centro de trabajo Riesgo 3"/>
    <s v="Si"/>
    <s v="Luzstellav1@gmail.com"/>
    <m/>
    <s v="Transferencia Bancaria"/>
    <s v="Bancolombia"/>
    <s v="Cuenta de Ahorros"/>
    <s v="16782343746"/>
    <x v="346"/>
    <s v="Calle 63 No. 36-49 T 4 Apto 9903"/>
    <n v="3148470777"/>
    <s v="Medellín"/>
    <s v="Comercial"/>
    <x v="139"/>
    <s v="Mano de Obra Directa"/>
    <s v="Sura EPS"/>
    <s v="Protección"/>
    <s v="Protección"/>
    <x v="18"/>
    <s v="Mujer"/>
    <s v="ordinario"/>
    <s v="Si"/>
    <n v="313000"/>
    <s v="Si"/>
    <s v="Hijos"/>
    <s v="No"/>
    <s v="Si"/>
    <s v="Hijos"/>
    <s v="No"/>
    <x v="0"/>
    <m/>
    <m/>
    <m/>
    <x v="0"/>
    <n v="16"/>
    <n v="42.919444444444444"/>
  </r>
  <r>
    <n v="436"/>
    <x v="15"/>
    <s v="Lopez Garcia"/>
    <s v="Cédula de ciudadanía"/>
    <n v="24660447"/>
    <s v="Empleado"/>
    <s v="Término indefinido"/>
    <x v="193"/>
    <m/>
    <s v="Mensual"/>
    <n v="1300000"/>
    <s v="Si"/>
    <s v="Centro de trabajo Riesgo 3"/>
    <s v="Si"/>
    <s v="doralilialopez1213@gmail.com"/>
    <m/>
    <s v="Transferencia Bancaria"/>
    <s v="Nequi"/>
    <s v="Cuenta de Ahorros"/>
    <n v="3104733551"/>
    <x v="84"/>
    <s v="Alto de la taza manzana A casa 03 circasia Quindio"/>
    <n v="3104733551"/>
    <s v="Armenia"/>
    <s v="operativa"/>
    <x v="19"/>
    <s v="Mano de Obra Directa"/>
    <s v="Nueva EPS"/>
    <s v="Colpensiones"/>
    <s v="Protección"/>
    <x v="3"/>
    <s v="Mujer"/>
    <s v="ordinario"/>
    <s v="No"/>
    <m/>
    <s v="No"/>
    <s v="No aplica"/>
    <s v="No aplica"/>
    <s v="No"/>
    <s v="No aplica"/>
    <s v="No aplica"/>
    <x v="0"/>
    <m/>
    <m/>
    <m/>
    <x v="0"/>
    <n v="16"/>
    <n v="51.083333333333336"/>
  </r>
  <r>
    <n v="437"/>
    <x v="73"/>
    <s v="Aristizabal Guzman "/>
    <s v="Cédula de ciudadanía"/>
    <n v="1130670407"/>
    <s v="Empleado"/>
    <s v="Término indefinido"/>
    <x v="194"/>
    <m/>
    <s v="Mensual"/>
    <n v="1800000"/>
    <s v="Si"/>
    <s v="Centro de trabajo Riesgo 3"/>
    <s v="Si"/>
    <s v="aristizabalsandra445@gmail.com"/>
    <m/>
    <s v="Transferencia Bancaria"/>
    <s v="BBVA Colombia"/>
    <s v="Cuenta de Ahorros"/>
    <s v="0665000200043204"/>
    <x v="347"/>
    <s v="Manzana 3 casa 1 Barrio la Castilla"/>
    <n v="3143058580"/>
    <s v="Armenia"/>
    <s v="Administrativa"/>
    <x v="126"/>
    <s v="Mano de Obra Directa"/>
    <s v="Sanitas"/>
    <s v="Colfondos"/>
    <s v="Porvenir"/>
    <x v="3"/>
    <s v="Mujer"/>
    <s v="ordinario"/>
    <s v="No"/>
    <m/>
    <s v="No"/>
    <s v="No aplica"/>
    <s v="No aplica"/>
    <s v="No"/>
    <s v="No aplica"/>
    <s v="No aplica"/>
    <x v="0"/>
    <m/>
    <m/>
    <m/>
    <x v="0"/>
    <n v="15"/>
    <n v="37.677777777777777"/>
  </r>
  <r>
    <n v="438"/>
    <x v="349"/>
    <s v="Chavez Picon "/>
    <s v="Cédula de ciudadanía"/>
    <n v="41957045"/>
    <s v="Empleado"/>
    <s v="Término indefinido"/>
    <x v="190"/>
    <m/>
    <s v="Mensual"/>
    <n v="4891304"/>
    <s v="No"/>
    <s v="Centro de trabajo Riesgo 1"/>
    <s v="Si"/>
    <s v="millerladychavez@gmail.com"/>
    <m/>
    <s v="Transferencia Bancaria"/>
    <s v="Bancolombia"/>
    <s v="Cuenta de Ahorros"/>
    <n v="6921131346"/>
    <x v="348"/>
    <s v="Barrio Veracruz Mz N Casa 2"/>
    <n v="3136467377"/>
    <s v="Armenia"/>
    <s v="Administrativa"/>
    <x v="10"/>
    <s v="Mano de Obra Directa"/>
    <s v="Sanitas"/>
    <s v="Colpensiones"/>
    <s v="Protección"/>
    <x v="19"/>
    <s v="Mujer"/>
    <s v="ordinario"/>
    <s v="No"/>
    <m/>
    <s v="Si"/>
    <s v="Cónyuge"/>
    <s v="No"/>
    <s v="Si"/>
    <s v="Hijos"/>
    <s v="No"/>
    <x v="0"/>
    <m/>
    <m/>
    <m/>
    <x v="0"/>
    <n v="24"/>
    <n v="40.5"/>
  </r>
  <r>
    <n v="439"/>
    <x v="350"/>
    <s v="Villegas Novoa"/>
    <s v="Permiso de protección  temporal"/>
    <n v="6771600"/>
    <s v="Empleado"/>
    <s v="Término indefinido"/>
    <x v="195"/>
    <m/>
    <s v="Mensual"/>
    <n v="1300000"/>
    <s v="Si"/>
    <s v="Centro de trabajo Riesgo 1"/>
    <s v="Si"/>
    <s v="dayanadvillegasn@gmail.com"/>
    <m/>
    <s v="Transferencia Bancaria"/>
    <s v="Bancolombia"/>
    <s v="Cuenta de Ahorros"/>
    <n v="31700003441"/>
    <x v="349"/>
    <s v="La Tebaida Ciudad Jardín mz 6 casa #4"/>
    <s v="4247736402 - 3246280951"/>
    <s v="La Cava Terraza"/>
    <s v="operativa"/>
    <x v="90"/>
    <s v="Mano de Obra Directa"/>
    <s v="Nueva EPS"/>
    <s v="Porvenir"/>
    <s v="Porvenir"/>
    <x v="20"/>
    <s v="Mujer"/>
    <s v="ordinario"/>
    <s v="No"/>
    <m/>
    <s v="Si"/>
    <s v="Hijos"/>
    <s v="No"/>
    <s v="Si"/>
    <s v="Hijos"/>
    <s v="No"/>
    <x v="0"/>
    <m/>
    <m/>
    <m/>
    <x v="2"/>
    <m/>
    <m/>
  </r>
  <r>
    <n v="440"/>
    <x v="351"/>
    <s v="Silva Londoño "/>
    <s v="Cédula de ciudadanía"/>
    <n v="1094955606"/>
    <s v="Empleado"/>
    <s v="Término indefinido"/>
    <x v="196"/>
    <m/>
    <s v="Mensual"/>
    <n v="1650000"/>
    <s v="Si"/>
    <s v="Centro de trabajo Riesgo 1"/>
    <s v="Si"/>
    <s v="andrea.londono.silva@gmail.com "/>
    <m/>
    <s v="Transferencia Bancaria"/>
    <s v="Banco Davivienda"/>
    <s v="Cuenta de Ahorros"/>
    <n v="488436160375"/>
    <x v="350"/>
    <s v="Calle 24N #19-24 edificio Aquauzul apto 804"/>
    <n v="3117734987"/>
    <s v="Armenia"/>
    <s v="Jurídica "/>
    <x v="67"/>
    <s v="Mano de Obra Directa"/>
    <s v="Sanitas"/>
    <s v="Porvenir"/>
    <s v="Porvenir"/>
    <x v="16"/>
    <s v="Mujer"/>
    <s v="ordinario"/>
    <s v="Si"/>
    <n v="650000"/>
    <s v="No"/>
    <s v="No aplica"/>
    <s v="No aplica"/>
    <s v="No"/>
    <s v="No aplica"/>
    <s v="No aplica"/>
    <x v="0"/>
    <m/>
    <m/>
    <m/>
    <x v="0"/>
    <n v="3"/>
    <n v="28.011111111111113"/>
  </r>
  <r>
    <n v="441"/>
    <x v="352"/>
    <s v="Sarmiento Parada"/>
    <s v="Cédula de ciudadanía"/>
    <n v="9733226"/>
    <s v="Tiempo parcial"/>
    <s v="Término indefinido"/>
    <x v="197"/>
    <m/>
    <s v="Mensual- medio tiempo"/>
    <n v="1300000"/>
    <s v="Si"/>
    <s v="Centro de trabajo Riesgo 1"/>
    <s v="Si"/>
    <s v="gatofelix796@gmail.com"/>
    <m/>
    <s v="Transferencia Bancaria"/>
    <s v="Nequi"/>
    <s v="Cuenta de Ahorros"/>
    <n v="3146770182"/>
    <x v="351"/>
    <s v="La Tebaida Carrera 9 calle 14 "/>
    <n v="3242165974"/>
    <s v="La Cava Terraza"/>
    <s v="operativa"/>
    <x v="140"/>
    <s v="Mano de Obra Directa"/>
    <s v="No Aplica"/>
    <s v="Porvenir"/>
    <s v="Porvenir"/>
    <x v="20"/>
    <s v="Hombre"/>
    <s v="ordinario"/>
    <s v="No"/>
    <m/>
    <s v="No"/>
    <s v="No aplica"/>
    <s v="No aplica"/>
    <s v="No"/>
    <s v="No aplica"/>
    <s v="No aplica"/>
    <x v="0"/>
    <m/>
    <m/>
    <m/>
    <x v="0"/>
    <n v="11"/>
    <n v="44.505555555555553"/>
  </r>
  <r>
    <n v="442"/>
    <x v="103"/>
    <s v="Arias Arcos"/>
    <s v="Cédula de ciudadanía"/>
    <n v="9728802"/>
    <s v="Empleado"/>
    <s v="Término indefinido"/>
    <x v="198"/>
    <m/>
    <s v="Mensual"/>
    <n v="1300000"/>
    <s v="Si"/>
    <s v="Centro de trabajo Riesgo 2"/>
    <s v="Si"/>
    <s v="germanariasarcos@yahoo.es"/>
    <m/>
    <s v="Transferencia Bancaria"/>
    <s v="Daviplata"/>
    <s v="Cuenta de Ahorros"/>
    <s v="3007671956"/>
    <x v="85"/>
    <s v="   MANZANA E CASA 16"/>
    <n v="3144525998"/>
    <s v="Restaurante El Solar"/>
    <s v="Servicio y producción"/>
    <x v="19"/>
    <s v="Mano de Obra Directa"/>
    <s v="Nueva EPS"/>
    <s v="Porvenir"/>
    <s v="Protección"/>
    <x v="3"/>
    <s v="Hombre"/>
    <s v="ordinario"/>
    <s v="No"/>
    <m/>
    <m/>
    <m/>
    <m/>
    <m/>
    <m/>
    <m/>
    <x v="0"/>
    <m/>
    <m/>
    <m/>
    <x v="0"/>
    <n v="9"/>
    <n v="44.305555555555557"/>
  </r>
  <r>
    <n v="443"/>
    <x v="171"/>
    <s v="Hernandez Montoya "/>
    <s v="Cédula de ciudadanía"/>
    <n v="1088291857"/>
    <s v="Empleado"/>
    <s v="Término indefinido"/>
    <x v="199"/>
    <m/>
    <s v="Mensual"/>
    <n v="1300000"/>
    <s v="Si"/>
    <s v="Centro de trabajo Riesgo 2"/>
    <s v="Si"/>
    <s v="robin.hm@hotmail.com"/>
    <m/>
    <s v="Transferencia Bancaria"/>
    <s v="Bancolombia"/>
    <s v="Cuenta de Ahorros"/>
    <n v="3205937963"/>
    <x v="39"/>
    <s v="Barrio La Isabela Mz 17 Casa 22"/>
    <n v="3205937963"/>
    <s v="La Cava Terraza"/>
    <s v="operativa"/>
    <x v="141"/>
    <s v="Mano de Obra Directa"/>
    <s v="Sanitas"/>
    <s v="Porvenir"/>
    <s v="Porvenir"/>
    <x v="20"/>
    <s v="Hombre"/>
    <s v="ordinario"/>
    <s v="No"/>
    <m/>
    <s v="No"/>
    <s v="No aplica"/>
    <s v="No aplica"/>
    <s v="No"/>
    <s v="No aplica"/>
    <s v="No aplica"/>
    <x v="0"/>
    <m/>
    <m/>
    <m/>
    <x v="0"/>
    <n v="7"/>
    <n v="32.672222222222224"/>
  </r>
  <r>
    <n v="444"/>
    <x v="353"/>
    <m/>
    <m/>
    <m/>
    <m/>
    <m/>
    <x v="166"/>
    <m/>
    <m/>
    <m/>
    <m/>
    <m/>
    <m/>
    <m/>
    <m/>
    <m/>
    <m/>
    <m/>
    <m/>
    <x v="23"/>
    <m/>
    <m/>
    <m/>
    <m/>
    <x v="75"/>
    <m/>
    <m/>
    <m/>
    <m/>
    <x v="28"/>
    <m/>
    <m/>
    <m/>
    <m/>
    <m/>
    <m/>
    <m/>
    <m/>
    <m/>
    <m/>
    <x v="0"/>
    <m/>
    <m/>
    <m/>
    <x v="3"/>
    <s v=""/>
    <s v=""/>
  </r>
  <r>
    <n v="445"/>
    <x v="353"/>
    <m/>
    <m/>
    <m/>
    <m/>
    <m/>
    <x v="166"/>
    <m/>
    <m/>
    <m/>
    <m/>
    <m/>
    <m/>
    <m/>
    <m/>
    <m/>
    <m/>
    <m/>
    <m/>
    <x v="23"/>
    <m/>
    <m/>
    <m/>
    <m/>
    <x v="75"/>
    <m/>
    <m/>
    <m/>
    <m/>
    <x v="28"/>
    <m/>
    <m/>
    <m/>
    <m/>
    <m/>
    <m/>
    <m/>
    <m/>
    <m/>
    <m/>
    <x v="0"/>
    <m/>
    <m/>
    <m/>
    <x v="3"/>
    <s v=""/>
    <s v=""/>
  </r>
  <r>
    <n v="446"/>
    <x v="353"/>
    <m/>
    <m/>
    <m/>
    <m/>
    <m/>
    <x v="166"/>
    <m/>
    <m/>
    <m/>
    <m/>
    <m/>
    <m/>
    <m/>
    <m/>
    <m/>
    <m/>
    <m/>
    <m/>
    <x v="23"/>
    <m/>
    <m/>
    <m/>
    <m/>
    <x v="75"/>
    <m/>
    <m/>
    <m/>
    <m/>
    <x v="28"/>
    <m/>
    <m/>
    <m/>
    <m/>
    <m/>
    <m/>
    <m/>
    <m/>
    <m/>
    <m/>
    <x v="0"/>
    <m/>
    <m/>
    <m/>
    <x v="3"/>
    <s v=""/>
    <s v=""/>
  </r>
  <r>
    <n v="447"/>
    <x v="353"/>
    <m/>
    <m/>
    <m/>
    <m/>
    <m/>
    <x v="166"/>
    <m/>
    <m/>
    <m/>
    <m/>
    <m/>
    <m/>
    <m/>
    <m/>
    <m/>
    <m/>
    <m/>
    <m/>
    <x v="23"/>
    <m/>
    <m/>
    <m/>
    <m/>
    <x v="75"/>
    <m/>
    <m/>
    <m/>
    <m/>
    <x v="28"/>
    <m/>
    <m/>
    <m/>
    <m/>
    <m/>
    <m/>
    <m/>
    <m/>
    <m/>
    <m/>
    <x v="0"/>
    <m/>
    <m/>
    <m/>
    <x v="3"/>
    <s v=""/>
    <s v=""/>
  </r>
  <r>
    <n v="448"/>
    <x v="353"/>
    <m/>
    <m/>
    <m/>
    <m/>
    <m/>
    <x v="166"/>
    <m/>
    <m/>
    <m/>
    <m/>
    <m/>
    <m/>
    <m/>
    <m/>
    <m/>
    <m/>
    <m/>
    <m/>
    <x v="23"/>
    <m/>
    <m/>
    <m/>
    <m/>
    <x v="75"/>
    <m/>
    <m/>
    <m/>
    <m/>
    <x v="28"/>
    <m/>
    <m/>
    <m/>
    <m/>
    <m/>
    <m/>
    <m/>
    <m/>
    <m/>
    <m/>
    <x v="0"/>
    <m/>
    <m/>
    <m/>
    <x v="3"/>
    <s v=""/>
    <s v=""/>
  </r>
  <r>
    <n v="449"/>
    <x v="353"/>
    <m/>
    <m/>
    <m/>
    <m/>
    <m/>
    <x v="166"/>
    <m/>
    <m/>
    <m/>
    <m/>
    <m/>
    <m/>
    <m/>
    <m/>
    <m/>
    <m/>
    <m/>
    <m/>
    <x v="23"/>
    <m/>
    <m/>
    <m/>
    <m/>
    <x v="75"/>
    <m/>
    <m/>
    <m/>
    <m/>
    <x v="28"/>
    <m/>
    <m/>
    <m/>
    <m/>
    <m/>
    <m/>
    <m/>
    <m/>
    <m/>
    <m/>
    <x v="0"/>
    <m/>
    <m/>
    <m/>
    <x v="3"/>
    <s v=""/>
    <s v=""/>
  </r>
  <r>
    <n v="450"/>
    <x v="353"/>
    <m/>
    <m/>
    <m/>
    <m/>
    <m/>
    <x v="166"/>
    <m/>
    <m/>
    <m/>
    <m/>
    <m/>
    <m/>
    <m/>
    <m/>
    <m/>
    <m/>
    <m/>
    <m/>
    <x v="23"/>
    <m/>
    <m/>
    <m/>
    <m/>
    <x v="75"/>
    <m/>
    <m/>
    <m/>
    <m/>
    <x v="28"/>
    <m/>
    <m/>
    <m/>
    <m/>
    <m/>
    <m/>
    <m/>
    <m/>
    <m/>
    <m/>
    <x v="0"/>
    <m/>
    <m/>
    <m/>
    <x v="3"/>
    <s v=""/>
    <s v=""/>
  </r>
  <r>
    <n v="451"/>
    <x v="353"/>
    <m/>
    <m/>
    <m/>
    <m/>
    <m/>
    <x v="166"/>
    <m/>
    <m/>
    <m/>
    <m/>
    <m/>
    <m/>
    <m/>
    <m/>
    <m/>
    <m/>
    <m/>
    <m/>
    <x v="23"/>
    <m/>
    <m/>
    <m/>
    <m/>
    <x v="75"/>
    <m/>
    <m/>
    <m/>
    <m/>
    <x v="28"/>
    <m/>
    <m/>
    <m/>
    <m/>
    <m/>
    <m/>
    <m/>
    <m/>
    <m/>
    <m/>
    <x v="0"/>
    <m/>
    <m/>
    <m/>
    <x v="3"/>
    <s v=""/>
    <s v=""/>
  </r>
  <r>
    <n v="452"/>
    <x v="353"/>
    <m/>
    <m/>
    <m/>
    <m/>
    <m/>
    <x v="166"/>
    <m/>
    <m/>
    <m/>
    <m/>
    <m/>
    <m/>
    <m/>
    <m/>
    <m/>
    <m/>
    <m/>
    <m/>
    <x v="23"/>
    <m/>
    <m/>
    <m/>
    <m/>
    <x v="75"/>
    <m/>
    <m/>
    <m/>
    <m/>
    <x v="28"/>
    <m/>
    <m/>
    <m/>
    <m/>
    <m/>
    <m/>
    <m/>
    <m/>
    <m/>
    <m/>
    <x v="0"/>
    <m/>
    <m/>
    <m/>
    <x v="3"/>
    <s v=""/>
    <s v=""/>
  </r>
  <r>
    <n v="453"/>
    <x v="353"/>
    <m/>
    <m/>
    <m/>
    <m/>
    <m/>
    <x v="166"/>
    <m/>
    <m/>
    <m/>
    <m/>
    <m/>
    <m/>
    <m/>
    <m/>
    <m/>
    <m/>
    <m/>
    <m/>
    <x v="23"/>
    <m/>
    <m/>
    <m/>
    <m/>
    <x v="75"/>
    <m/>
    <m/>
    <m/>
    <m/>
    <x v="28"/>
    <m/>
    <m/>
    <m/>
    <m/>
    <m/>
    <m/>
    <m/>
    <m/>
    <m/>
    <m/>
    <x v="0"/>
    <m/>
    <m/>
    <m/>
    <x v="3"/>
    <s v=""/>
    <s v=""/>
  </r>
  <r>
    <n v="454"/>
    <x v="353"/>
    <m/>
    <m/>
    <m/>
    <m/>
    <m/>
    <x v="166"/>
    <m/>
    <m/>
    <m/>
    <m/>
    <m/>
    <m/>
    <m/>
    <m/>
    <m/>
    <m/>
    <m/>
    <m/>
    <x v="23"/>
    <m/>
    <m/>
    <m/>
    <m/>
    <x v="75"/>
    <m/>
    <m/>
    <m/>
    <m/>
    <x v="28"/>
    <m/>
    <m/>
    <m/>
    <m/>
    <m/>
    <m/>
    <m/>
    <m/>
    <m/>
    <m/>
    <x v="0"/>
    <m/>
    <m/>
    <m/>
    <x v="3"/>
    <s v=""/>
    <s v=""/>
  </r>
  <r>
    <n v="455"/>
    <x v="353"/>
    <m/>
    <m/>
    <m/>
    <m/>
    <m/>
    <x v="166"/>
    <m/>
    <m/>
    <m/>
    <m/>
    <m/>
    <m/>
    <m/>
    <m/>
    <m/>
    <m/>
    <m/>
    <m/>
    <x v="23"/>
    <m/>
    <m/>
    <m/>
    <m/>
    <x v="75"/>
    <m/>
    <m/>
    <m/>
    <m/>
    <x v="28"/>
    <m/>
    <m/>
    <m/>
    <m/>
    <m/>
    <m/>
    <m/>
    <m/>
    <m/>
    <m/>
    <x v="0"/>
    <m/>
    <m/>
    <m/>
    <x v="3"/>
    <s v=""/>
    <s v=""/>
  </r>
  <r>
    <n v="456"/>
    <x v="353"/>
    <m/>
    <m/>
    <m/>
    <m/>
    <m/>
    <x v="166"/>
    <m/>
    <m/>
    <m/>
    <m/>
    <m/>
    <m/>
    <m/>
    <m/>
    <m/>
    <m/>
    <m/>
    <m/>
    <x v="23"/>
    <m/>
    <m/>
    <m/>
    <m/>
    <x v="75"/>
    <m/>
    <m/>
    <m/>
    <m/>
    <x v="28"/>
    <m/>
    <m/>
    <m/>
    <m/>
    <m/>
    <m/>
    <m/>
    <m/>
    <m/>
    <m/>
    <x v="0"/>
    <m/>
    <m/>
    <m/>
    <x v="3"/>
    <s v=""/>
    <s v=""/>
  </r>
  <r>
    <n v="457"/>
    <x v="353"/>
    <m/>
    <m/>
    <m/>
    <m/>
    <m/>
    <x v="166"/>
    <m/>
    <m/>
    <m/>
    <m/>
    <m/>
    <m/>
    <m/>
    <m/>
    <m/>
    <m/>
    <m/>
    <m/>
    <x v="23"/>
    <m/>
    <m/>
    <m/>
    <m/>
    <x v="75"/>
    <m/>
    <m/>
    <m/>
    <m/>
    <x v="28"/>
    <m/>
    <m/>
    <m/>
    <m/>
    <m/>
    <m/>
    <m/>
    <m/>
    <m/>
    <m/>
    <x v="0"/>
    <m/>
    <m/>
    <m/>
    <x v="3"/>
    <s v=""/>
    <s v=""/>
  </r>
  <r>
    <n v="458"/>
    <x v="353"/>
    <m/>
    <m/>
    <m/>
    <m/>
    <m/>
    <x v="166"/>
    <m/>
    <m/>
    <m/>
    <m/>
    <m/>
    <m/>
    <m/>
    <m/>
    <m/>
    <m/>
    <m/>
    <m/>
    <x v="23"/>
    <m/>
    <m/>
    <m/>
    <m/>
    <x v="75"/>
    <m/>
    <m/>
    <m/>
    <m/>
    <x v="28"/>
    <m/>
    <m/>
    <m/>
    <m/>
    <m/>
    <m/>
    <m/>
    <m/>
    <m/>
    <m/>
    <x v="0"/>
    <m/>
    <m/>
    <m/>
    <x v="3"/>
    <s v=""/>
    <s v=""/>
  </r>
  <r>
    <n v="459"/>
    <x v="353"/>
    <m/>
    <m/>
    <m/>
    <m/>
    <m/>
    <x v="166"/>
    <m/>
    <m/>
    <m/>
    <m/>
    <m/>
    <m/>
    <m/>
    <m/>
    <m/>
    <m/>
    <m/>
    <m/>
    <x v="23"/>
    <m/>
    <m/>
    <m/>
    <m/>
    <x v="75"/>
    <m/>
    <m/>
    <m/>
    <m/>
    <x v="28"/>
    <m/>
    <m/>
    <m/>
    <m/>
    <m/>
    <m/>
    <m/>
    <m/>
    <m/>
    <m/>
    <x v="0"/>
    <m/>
    <m/>
    <m/>
    <x v="3"/>
    <s v=""/>
    <s v=""/>
  </r>
  <r>
    <n v="460"/>
    <x v="353"/>
    <m/>
    <m/>
    <m/>
    <m/>
    <m/>
    <x v="166"/>
    <m/>
    <m/>
    <m/>
    <m/>
    <m/>
    <m/>
    <m/>
    <m/>
    <m/>
    <m/>
    <m/>
    <m/>
    <x v="23"/>
    <m/>
    <m/>
    <m/>
    <m/>
    <x v="75"/>
    <m/>
    <m/>
    <m/>
    <m/>
    <x v="28"/>
    <m/>
    <m/>
    <m/>
    <m/>
    <m/>
    <m/>
    <m/>
    <m/>
    <m/>
    <m/>
    <x v="0"/>
    <m/>
    <m/>
    <m/>
    <x v="3"/>
    <s v=""/>
    <s v=""/>
  </r>
  <r>
    <n v="461"/>
    <x v="353"/>
    <m/>
    <m/>
    <m/>
    <m/>
    <m/>
    <x v="166"/>
    <m/>
    <m/>
    <m/>
    <m/>
    <m/>
    <m/>
    <m/>
    <m/>
    <m/>
    <m/>
    <m/>
    <m/>
    <x v="23"/>
    <m/>
    <m/>
    <m/>
    <m/>
    <x v="75"/>
    <m/>
    <m/>
    <m/>
    <m/>
    <x v="28"/>
    <m/>
    <m/>
    <m/>
    <m/>
    <m/>
    <m/>
    <m/>
    <m/>
    <m/>
    <m/>
    <x v="0"/>
    <m/>
    <m/>
    <m/>
    <x v="3"/>
    <s v=""/>
    <s v=""/>
  </r>
  <r>
    <n v="462"/>
    <x v="353"/>
    <m/>
    <m/>
    <m/>
    <m/>
    <m/>
    <x v="166"/>
    <m/>
    <m/>
    <m/>
    <m/>
    <m/>
    <m/>
    <m/>
    <m/>
    <m/>
    <m/>
    <m/>
    <m/>
    <x v="23"/>
    <m/>
    <m/>
    <m/>
    <m/>
    <x v="75"/>
    <m/>
    <m/>
    <m/>
    <m/>
    <x v="28"/>
    <m/>
    <m/>
    <m/>
    <m/>
    <m/>
    <m/>
    <m/>
    <m/>
    <m/>
    <m/>
    <x v="0"/>
    <m/>
    <m/>
    <m/>
    <x v="3"/>
    <s v=""/>
    <s v=""/>
  </r>
  <r>
    <n v="463"/>
    <x v="353"/>
    <m/>
    <m/>
    <m/>
    <m/>
    <m/>
    <x v="166"/>
    <m/>
    <m/>
    <m/>
    <m/>
    <m/>
    <m/>
    <m/>
    <m/>
    <m/>
    <m/>
    <m/>
    <m/>
    <x v="23"/>
    <m/>
    <m/>
    <m/>
    <m/>
    <x v="75"/>
    <m/>
    <m/>
    <m/>
    <m/>
    <x v="28"/>
    <m/>
    <m/>
    <m/>
    <m/>
    <m/>
    <m/>
    <m/>
    <m/>
    <m/>
    <m/>
    <x v="0"/>
    <m/>
    <m/>
    <m/>
    <x v="3"/>
    <s v=""/>
    <s v=""/>
  </r>
  <r>
    <n v="464"/>
    <x v="353"/>
    <m/>
    <m/>
    <m/>
    <m/>
    <m/>
    <x v="166"/>
    <m/>
    <m/>
    <m/>
    <m/>
    <m/>
    <m/>
    <m/>
    <m/>
    <m/>
    <m/>
    <m/>
    <m/>
    <x v="23"/>
    <m/>
    <m/>
    <m/>
    <m/>
    <x v="75"/>
    <m/>
    <m/>
    <m/>
    <m/>
    <x v="28"/>
    <m/>
    <m/>
    <m/>
    <m/>
    <m/>
    <m/>
    <m/>
    <m/>
    <m/>
    <m/>
    <x v="0"/>
    <m/>
    <m/>
    <m/>
    <x v="3"/>
    <s v=""/>
    <s v=""/>
  </r>
  <r>
    <n v="465"/>
    <x v="353"/>
    <m/>
    <m/>
    <m/>
    <m/>
    <m/>
    <x v="166"/>
    <m/>
    <m/>
    <m/>
    <m/>
    <m/>
    <m/>
    <m/>
    <m/>
    <m/>
    <m/>
    <m/>
    <m/>
    <x v="23"/>
    <m/>
    <m/>
    <m/>
    <m/>
    <x v="75"/>
    <m/>
    <m/>
    <m/>
    <m/>
    <x v="28"/>
    <m/>
    <m/>
    <m/>
    <m/>
    <m/>
    <m/>
    <m/>
    <m/>
    <m/>
    <m/>
    <x v="0"/>
    <m/>
    <m/>
    <m/>
    <x v="3"/>
    <s v=""/>
    <s v=""/>
  </r>
  <r>
    <n v="466"/>
    <x v="353"/>
    <m/>
    <m/>
    <m/>
    <m/>
    <m/>
    <x v="166"/>
    <m/>
    <m/>
    <m/>
    <m/>
    <m/>
    <m/>
    <m/>
    <m/>
    <m/>
    <m/>
    <m/>
    <m/>
    <x v="23"/>
    <m/>
    <m/>
    <m/>
    <m/>
    <x v="75"/>
    <m/>
    <m/>
    <m/>
    <m/>
    <x v="28"/>
    <m/>
    <m/>
    <m/>
    <m/>
    <m/>
    <m/>
    <m/>
    <m/>
    <m/>
    <m/>
    <x v="0"/>
    <m/>
    <m/>
    <m/>
    <x v="3"/>
    <s v=""/>
    <s v=""/>
  </r>
  <r>
    <n v="467"/>
    <x v="353"/>
    <m/>
    <m/>
    <m/>
    <m/>
    <m/>
    <x v="166"/>
    <m/>
    <m/>
    <m/>
    <m/>
    <m/>
    <m/>
    <m/>
    <m/>
    <m/>
    <m/>
    <m/>
    <m/>
    <x v="23"/>
    <m/>
    <m/>
    <m/>
    <m/>
    <x v="75"/>
    <m/>
    <m/>
    <m/>
    <m/>
    <x v="28"/>
    <m/>
    <m/>
    <m/>
    <m/>
    <m/>
    <m/>
    <m/>
    <m/>
    <m/>
    <m/>
    <x v="0"/>
    <m/>
    <m/>
    <m/>
    <x v="3"/>
    <s v=""/>
    <s v=""/>
  </r>
  <r>
    <n v="468"/>
    <x v="353"/>
    <m/>
    <m/>
    <m/>
    <m/>
    <m/>
    <x v="166"/>
    <m/>
    <m/>
    <m/>
    <m/>
    <m/>
    <m/>
    <m/>
    <m/>
    <m/>
    <m/>
    <m/>
    <m/>
    <x v="23"/>
    <m/>
    <m/>
    <m/>
    <m/>
    <x v="75"/>
    <m/>
    <m/>
    <m/>
    <m/>
    <x v="28"/>
    <m/>
    <m/>
    <m/>
    <m/>
    <m/>
    <m/>
    <m/>
    <m/>
    <m/>
    <m/>
    <x v="0"/>
    <m/>
    <m/>
    <m/>
    <x v="3"/>
    <s v=""/>
    <s v=""/>
  </r>
  <r>
    <n v="469"/>
    <x v="353"/>
    <m/>
    <m/>
    <m/>
    <m/>
    <m/>
    <x v="166"/>
    <m/>
    <m/>
    <m/>
    <m/>
    <m/>
    <m/>
    <m/>
    <m/>
    <m/>
    <m/>
    <m/>
    <m/>
    <x v="23"/>
    <m/>
    <m/>
    <m/>
    <m/>
    <x v="75"/>
    <m/>
    <m/>
    <m/>
    <m/>
    <x v="28"/>
    <m/>
    <m/>
    <m/>
    <m/>
    <m/>
    <m/>
    <m/>
    <m/>
    <m/>
    <m/>
    <x v="0"/>
    <m/>
    <m/>
    <m/>
    <x v="3"/>
    <s v=""/>
    <s v=""/>
  </r>
  <r>
    <n v="470"/>
    <x v="353"/>
    <m/>
    <m/>
    <m/>
    <m/>
    <m/>
    <x v="166"/>
    <m/>
    <m/>
    <m/>
    <m/>
    <m/>
    <m/>
    <m/>
    <m/>
    <m/>
    <m/>
    <m/>
    <m/>
    <x v="23"/>
    <m/>
    <m/>
    <m/>
    <m/>
    <x v="75"/>
    <m/>
    <m/>
    <m/>
    <m/>
    <x v="28"/>
    <m/>
    <m/>
    <m/>
    <m/>
    <m/>
    <m/>
    <m/>
    <m/>
    <m/>
    <m/>
    <x v="0"/>
    <m/>
    <m/>
    <m/>
    <x v="3"/>
    <s v=""/>
    <s v=""/>
  </r>
  <r>
    <n v="471"/>
    <x v="353"/>
    <m/>
    <m/>
    <m/>
    <m/>
    <m/>
    <x v="166"/>
    <m/>
    <m/>
    <m/>
    <m/>
    <m/>
    <m/>
    <m/>
    <m/>
    <m/>
    <m/>
    <m/>
    <m/>
    <x v="23"/>
    <m/>
    <m/>
    <m/>
    <m/>
    <x v="75"/>
    <m/>
    <m/>
    <m/>
    <m/>
    <x v="28"/>
    <m/>
    <m/>
    <m/>
    <m/>
    <m/>
    <m/>
    <m/>
    <m/>
    <m/>
    <m/>
    <x v="0"/>
    <m/>
    <m/>
    <m/>
    <x v="3"/>
    <s v=""/>
    <s v=""/>
  </r>
  <r>
    <n v="472"/>
    <x v="353"/>
    <m/>
    <m/>
    <m/>
    <m/>
    <m/>
    <x v="166"/>
    <m/>
    <m/>
    <m/>
    <m/>
    <m/>
    <m/>
    <m/>
    <m/>
    <m/>
    <m/>
    <m/>
    <m/>
    <x v="23"/>
    <m/>
    <m/>
    <m/>
    <m/>
    <x v="75"/>
    <m/>
    <m/>
    <m/>
    <m/>
    <x v="28"/>
    <m/>
    <m/>
    <m/>
    <m/>
    <m/>
    <m/>
    <m/>
    <m/>
    <m/>
    <m/>
    <x v="0"/>
    <m/>
    <m/>
    <m/>
    <x v="3"/>
    <s v=""/>
    <s v=""/>
  </r>
  <r>
    <n v="473"/>
    <x v="353"/>
    <m/>
    <m/>
    <m/>
    <m/>
    <m/>
    <x v="166"/>
    <m/>
    <m/>
    <m/>
    <m/>
    <m/>
    <m/>
    <m/>
    <m/>
    <m/>
    <m/>
    <m/>
    <m/>
    <x v="23"/>
    <m/>
    <m/>
    <m/>
    <m/>
    <x v="75"/>
    <m/>
    <m/>
    <m/>
    <m/>
    <x v="28"/>
    <m/>
    <m/>
    <m/>
    <m/>
    <m/>
    <m/>
    <m/>
    <m/>
    <m/>
    <m/>
    <x v="0"/>
    <m/>
    <m/>
    <m/>
    <x v="3"/>
    <s v=""/>
    <s v=""/>
  </r>
  <r>
    <n v="474"/>
    <x v="353"/>
    <m/>
    <m/>
    <m/>
    <m/>
    <m/>
    <x v="166"/>
    <m/>
    <m/>
    <m/>
    <m/>
    <m/>
    <m/>
    <m/>
    <m/>
    <m/>
    <m/>
    <m/>
    <m/>
    <x v="23"/>
    <m/>
    <m/>
    <m/>
    <m/>
    <x v="75"/>
    <m/>
    <m/>
    <m/>
    <m/>
    <x v="28"/>
    <m/>
    <m/>
    <m/>
    <m/>
    <m/>
    <m/>
    <m/>
    <m/>
    <m/>
    <m/>
    <x v="0"/>
    <m/>
    <m/>
    <m/>
    <x v="3"/>
    <s v=""/>
    <s v=""/>
  </r>
  <r>
    <n v="475"/>
    <x v="353"/>
    <m/>
    <m/>
    <m/>
    <m/>
    <m/>
    <x v="166"/>
    <m/>
    <m/>
    <m/>
    <m/>
    <m/>
    <m/>
    <m/>
    <m/>
    <m/>
    <m/>
    <m/>
    <m/>
    <x v="23"/>
    <m/>
    <m/>
    <m/>
    <m/>
    <x v="75"/>
    <m/>
    <m/>
    <m/>
    <m/>
    <x v="28"/>
    <m/>
    <m/>
    <m/>
    <m/>
    <m/>
    <m/>
    <m/>
    <m/>
    <m/>
    <m/>
    <x v="0"/>
    <m/>
    <m/>
    <m/>
    <x v="3"/>
    <s v=""/>
    <s v=""/>
  </r>
  <r>
    <n v="476"/>
    <x v="353"/>
    <m/>
    <m/>
    <m/>
    <m/>
    <m/>
    <x v="166"/>
    <m/>
    <m/>
    <m/>
    <m/>
    <m/>
    <m/>
    <m/>
    <m/>
    <m/>
    <m/>
    <m/>
    <m/>
    <x v="23"/>
    <m/>
    <m/>
    <m/>
    <m/>
    <x v="75"/>
    <m/>
    <m/>
    <m/>
    <m/>
    <x v="28"/>
    <m/>
    <m/>
    <m/>
    <m/>
    <m/>
    <m/>
    <m/>
    <m/>
    <m/>
    <m/>
    <x v="0"/>
    <m/>
    <m/>
    <m/>
    <x v="3"/>
    <s v=""/>
    <s v=""/>
  </r>
  <r>
    <n v="477"/>
    <x v="353"/>
    <m/>
    <m/>
    <m/>
    <m/>
    <m/>
    <x v="166"/>
    <m/>
    <m/>
    <m/>
    <m/>
    <m/>
    <m/>
    <m/>
    <m/>
    <m/>
    <m/>
    <m/>
    <m/>
    <x v="23"/>
    <m/>
    <m/>
    <m/>
    <m/>
    <x v="75"/>
    <m/>
    <m/>
    <m/>
    <m/>
    <x v="28"/>
    <m/>
    <m/>
    <m/>
    <m/>
    <m/>
    <m/>
    <m/>
    <m/>
    <m/>
    <m/>
    <x v="0"/>
    <m/>
    <m/>
    <m/>
    <x v="3"/>
    <s v=""/>
    <s v=""/>
  </r>
  <r>
    <n v="478"/>
    <x v="353"/>
    <m/>
    <m/>
    <m/>
    <m/>
    <m/>
    <x v="166"/>
    <m/>
    <m/>
    <m/>
    <m/>
    <m/>
    <m/>
    <m/>
    <m/>
    <m/>
    <m/>
    <m/>
    <m/>
    <x v="23"/>
    <m/>
    <m/>
    <m/>
    <m/>
    <x v="75"/>
    <m/>
    <m/>
    <m/>
    <m/>
    <x v="28"/>
    <m/>
    <m/>
    <m/>
    <m/>
    <m/>
    <m/>
    <m/>
    <m/>
    <m/>
    <m/>
    <x v="0"/>
    <m/>
    <m/>
    <m/>
    <x v="3"/>
    <s v=""/>
    <s v=""/>
  </r>
  <r>
    <n v="479"/>
    <x v="353"/>
    <m/>
    <m/>
    <m/>
    <m/>
    <m/>
    <x v="166"/>
    <m/>
    <m/>
    <m/>
    <m/>
    <m/>
    <m/>
    <m/>
    <m/>
    <m/>
    <m/>
    <m/>
    <m/>
    <x v="23"/>
    <m/>
    <m/>
    <m/>
    <m/>
    <x v="75"/>
    <m/>
    <m/>
    <m/>
    <m/>
    <x v="28"/>
    <m/>
    <m/>
    <m/>
    <m/>
    <m/>
    <m/>
    <m/>
    <m/>
    <m/>
    <m/>
    <x v="0"/>
    <m/>
    <m/>
    <m/>
    <x v="3"/>
    <s v=""/>
    <s v=""/>
  </r>
  <r>
    <n v="480"/>
    <x v="353"/>
    <m/>
    <m/>
    <m/>
    <m/>
    <m/>
    <x v="166"/>
    <m/>
    <m/>
    <m/>
    <m/>
    <m/>
    <m/>
    <m/>
    <m/>
    <m/>
    <m/>
    <m/>
    <m/>
    <x v="23"/>
    <m/>
    <m/>
    <m/>
    <m/>
    <x v="75"/>
    <m/>
    <m/>
    <m/>
    <m/>
    <x v="28"/>
    <m/>
    <m/>
    <m/>
    <m/>
    <m/>
    <m/>
    <m/>
    <m/>
    <m/>
    <m/>
    <x v="0"/>
    <m/>
    <m/>
    <m/>
    <x v="3"/>
    <s v=""/>
    <s v=""/>
  </r>
  <r>
    <n v="481"/>
    <x v="353"/>
    <m/>
    <m/>
    <m/>
    <m/>
    <m/>
    <x v="166"/>
    <m/>
    <m/>
    <m/>
    <m/>
    <m/>
    <m/>
    <m/>
    <m/>
    <m/>
    <m/>
    <m/>
    <m/>
    <x v="23"/>
    <m/>
    <m/>
    <m/>
    <m/>
    <x v="75"/>
    <m/>
    <m/>
    <m/>
    <m/>
    <x v="28"/>
    <m/>
    <m/>
    <m/>
    <m/>
    <m/>
    <m/>
    <m/>
    <m/>
    <m/>
    <m/>
    <x v="0"/>
    <m/>
    <m/>
    <m/>
    <x v="3"/>
    <s v=""/>
    <s v=""/>
  </r>
  <r>
    <n v="482"/>
    <x v="353"/>
    <m/>
    <m/>
    <m/>
    <m/>
    <m/>
    <x v="166"/>
    <m/>
    <m/>
    <m/>
    <m/>
    <m/>
    <m/>
    <m/>
    <m/>
    <m/>
    <m/>
    <m/>
    <m/>
    <x v="23"/>
    <m/>
    <m/>
    <m/>
    <m/>
    <x v="75"/>
    <m/>
    <m/>
    <m/>
    <m/>
    <x v="28"/>
    <m/>
    <m/>
    <m/>
    <m/>
    <m/>
    <m/>
    <m/>
    <m/>
    <m/>
    <m/>
    <x v="0"/>
    <m/>
    <m/>
    <m/>
    <x v="3"/>
    <s v=""/>
    <s v=""/>
  </r>
  <r>
    <n v="483"/>
    <x v="353"/>
    <m/>
    <m/>
    <m/>
    <m/>
    <m/>
    <x v="166"/>
    <m/>
    <m/>
    <m/>
    <m/>
    <m/>
    <m/>
    <m/>
    <m/>
    <m/>
    <m/>
    <m/>
    <m/>
    <x v="23"/>
    <m/>
    <m/>
    <m/>
    <m/>
    <x v="75"/>
    <m/>
    <m/>
    <m/>
    <m/>
    <x v="28"/>
    <m/>
    <m/>
    <m/>
    <m/>
    <m/>
    <m/>
    <m/>
    <m/>
    <m/>
    <m/>
    <x v="0"/>
    <m/>
    <m/>
    <m/>
    <x v="3"/>
    <s v=""/>
    <s v=""/>
  </r>
  <r>
    <n v="484"/>
    <x v="353"/>
    <m/>
    <m/>
    <m/>
    <m/>
    <m/>
    <x v="166"/>
    <m/>
    <m/>
    <m/>
    <m/>
    <m/>
    <m/>
    <m/>
    <m/>
    <m/>
    <m/>
    <m/>
    <m/>
    <x v="23"/>
    <m/>
    <m/>
    <m/>
    <m/>
    <x v="75"/>
    <m/>
    <m/>
    <m/>
    <m/>
    <x v="28"/>
    <m/>
    <m/>
    <m/>
    <m/>
    <m/>
    <m/>
    <m/>
    <m/>
    <m/>
    <m/>
    <x v="0"/>
    <m/>
    <m/>
    <m/>
    <x v="3"/>
    <s v=""/>
    <s v=""/>
  </r>
  <r>
    <n v="485"/>
    <x v="353"/>
    <m/>
    <m/>
    <m/>
    <m/>
    <m/>
    <x v="166"/>
    <m/>
    <m/>
    <m/>
    <m/>
    <m/>
    <m/>
    <m/>
    <m/>
    <m/>
    <m/>
    <m/>
    <m/>
    <x v="23"/>
    <m/>
    <m/>
    <m/>
    <m/>
    <x v="75"/>
    <m/>
    <m/>
    <m/>
    <m/>
    <x v="28"/>
    <m/>
    <m/>
    <m/>
    <m/>
    <m/>
    <m/>
    <m/>
    <m/>
    <m/>
    <m/>
    <x v="0"/>
    <m/>
    <m/>
    <m/>
    <x v="3"/>
    <s v=""/>
    <s v=""/>
  </r>
  <r>
    <n v="486"/>
    <x v="353"/>
    <m/>
    <m/>
    <m/>
    <m/>
    <m/>
    <x v="166"/>
    <m/>
    <m/>
    <m/>
    <m/>
    <m/>
    <m/>
    <m/>
    <m/>
    <m/>
    <m/>
    <m/>
    <m/>
    <x v="23"/>
    <m/>
    <m/>
    <m/>
    <m/>
    <x v="75"/>
    <m/>
    <m/>
    <m/>
    <m/>
    <x v="28"/>
    <m/>
    <m/>
    <m/>
    <m/>
    <m/>
    <m/>
    <m/>
    <m/>
    <m/>
    <m/>
    <x v="0"/>
    <m/>
    <m/>
    <m/>
    <x v="3"/>
    <s v=""/>
    <s v=""/>
  </r>
  <r>
    <n v="487"/>
    <x v="353"/>
    <m/>
    <m/>
    <m/>
    <m/>
    <m/>
    <x v="166"/>
    <m/>
    <m/>
    <m/>
    <m/>
    <m/>
    <m/>
    <m/>
    <m/>
    <m/>
    <m/>
    <m/>
    <m/>
    <x v="23"/>
    <m/>
    <m/>
    <m/>
    <m/>
    <x v="75"/>
    <m/>
    <m/>
    <m/>
    <m/>
    <x v="28"/>
    <m/>
    <m/>
    <m/>
    <m/>
    <m/>
    <m/>
    <m/>
    <m/>
    <m/>
    <m/>
    <x v="0"/>
    <m/>
    <m/>
    <m/>
    <x v="3"/>
    <s v=""/>
    <s v=""/>
  </r>
  <r>
    <n v="488"/>
    <x v="353"/>
    <m/>
    <m/>
    <m/>
    <m/>
    <m/>
    <x v="166"/>
    <m/>
    <m/>
    <m/>
    <m/>
    <m/>
    <m/>
    <m/>
    <m/>
    <m/>
    <m/>
    <m/>
    <m/>
    <x v="23"/>
    <m/>
    <m/>
    <m/>
    <m/>
    <x v="75"/>
    <m/>
    <m/>
    <m/>
    <m/>
    <x v="28"/>
    <m/>
    <m/>
    <m/>
    <m/>
    <m/>
    <m/>
    <m/>
    <m/>
    <m/>
    <m/>
    <x v="0"/>
    <m/>
    <m/>
    <m/>
    <x v="3"/>
    <s v=""/>
    <s v=""/>
  </r>
  <r>
    <n v="489"/>
    <x v="353"/>
    <m/>
    <m/>
    <m/>
    <m/>
    <m/>
    <x v="166"/>
    <m/>
    <m/>
    <m/>
    <m/>
    <m/>
    <m/>
    <m/>
    <m/>
    <m/>
    <m/>
    <m/>
    <m/>
    <x v="23"/>
    <m/>
    <m/>
    <m/>
    <m/>
    <x v="75"/>
    <m/>
    <m/>
    <m/>
    <m/>
    <x v="28"/>
    <m/>
    <m/>
    <m/>
    <m/>
    <m/>
    <m/>
    <m/>
    <m/>
    <m/>
    <m/>
    <x v="0"/>
    <m/>
    <m/>
    <m/>
    <x v="3"/>
    <s v=""/>
    <s v=""/>
  </r>
  <r>
    <n v="490"/>
    <x v="353"/>
    <m/>
    <m/>
    <m/>
    <m/>
    <m/>
    <x v="166"/>
    <m/>
    <m/>
    <m/>
    <m/>
    <m/>
    <m/>
    <m/>
    <m/>
    <m/>
    <m/>
    <m/>
    <m/>
    <x v="23"/>
    <m/>
    <m/>
    <m/>
    <m/>
    <x v="75"/>
    <m/>
    <m/>
    <m/>
    <m/>
    <x v="28"/>
    <m/>
    <m/>
    <m/>
    <m/>
    <m/>
    <m/>
    <m/>
    <m/>
    <m/>
    <m/>
    <x v="0"/>
    <m/>
    <m/>
    <m/>
    <x v="3"/>
    <s v=""/>
    <s v=""/>
  </r>
  <r>
    <n v="491"/>
    <x v="353"/>
    <m/>
    <m/>
    <m/>
    <m/>
    <m/>
    <x v="166"/>
    <m/>
    <m/>
    <m/>
    <m/>
    <m/>
    <m/>
    <m/>
    <m/>
    <m/>
    <m/>
    <m/>
    <m/>
    <x v="23"/>
    <m/>
    <m/>
    <m/>
    <m/>
    <x v="75"/>
    <m/>
    <m/>
    <m/>
    <m/>
    <x v="28"/>
    <m/>
    <m/>
    <m/>
    <m/>
    <m/>
    <m/>
    <m/>
    <m/>
    <m/>
    <m/>
    <x v="0"/>
    <m/>
    <m/>
    <m/>
    <x v="3"/>
    <s v=""/>
    <s v=""/>
  </r>
  <r>
    <n v="492"/>
    <x v="353"/>
    <m/>
    <m/>
    <m/>
    <m/>
    <m/>
    <x v="166"/>
    <m/>
    <m/>
    <m/>
    <m/>
    <m/>
    <m/>
    <m/>
    <m/>
    <m/>
    <m/>
    <m/>
    <m/>
    <x v="23"/>
    <m/>
    <m/>
    <m/>
    <m/>
    <x v="75"/>
    <m/>
    <m/>
    <m/>
    <m/>
    <x v="28"/>
    <m/>
    <m/>
    <m/>
    <m/>
    <m/>
    <m/>
    <m/>
    <m/>
    <m/>
    <m/>
    <x v="0"/>
    <m/>
    <m/>
    <m/>
    <x v="3"/>
    <s v=""/>
    <s v=""/>
  </r>
  <r>
    <n v="493"/>
    <x v="353"/>
    <m/>
    <m/>
    <m/>
    <m/>
    <m/>
    <x v="166"/>
    <m/>
    <m/>
    <m/>
    <m/>
    <m/>
    <m/>
    <m/>
    <m/>
    <m/>
    <m/>
    <m/>
    <m/>
    <x v="23"/>
    <m/>
    <m/>
    <m/>
    <m/>
    <x v="75"/>
    <m/>
    <m/>
    <m/>
    <m/>
    <x v="28"/>
    <m/>
    <m/>
    <m/>
    <m/>
    <m/>
    <m/>
    <m/>
    <m/>
    <m/>
    <m/>
    <x v="0"/>
    <m/>
    <m/>
    <m/>
    <x v="3"/>
    <s v=""/>
    <s v=""/>
  </r>
  <r>
    <n v="494"/>
    <x v="353"/>
    <m/>
    <m/>
    <m/>
    <m/>
    <m/>
    <x v="166"/>
    <m/>
    <m/>
    <m/>
    <m/>
    <m/>
    <m/>
    <m/>
    <m/>
    <m/>
    <m/>
    <m/>
    <m/>
    <x v="23"/>
    <m/>
    <m/>
    <m/>
    <m/>
    <x v="75"/>
    <m/>
    <m/>
    <m/>
    <m/>
    <x v="28"/>
    <m/>
    <m/>
    <m/>
    <m/>
    <m/>
    <m/>
    <m/>
    <m/>
    <m/>
    <m/>
    <x v="0"/>
    <m/>
    <m/>
    <m/>
    <x v="3"/>
    <s v=""/>
    <s v=""/>
  </r>
  <r>
    <n v="495"/>
    <x v="353"/>
    <m/>
    <m/>
    <m/>
    <m/>
    <m/>
    <x v="166"/>
    <m/>
    <m/>
    <m/>
    <m/>
    <m/>
    <m/>
    <m/>
    <m/>
    <m/>
    <m/>
    <m/>
    <m/>
    <x v="23"/>
    <m/>
    <m/>
    <m/>
    <m/>
    <x v="75"/>
    <m/>
    <m/>
    <m/>
    <m/>
    <x v="28"/>
    <m/>
    <m/>
    <m/>
    <m/>
    <m/>
    <m/>
    <m/>
    <m/>
    <m/>
    <m/>
    <x v="0"/>
    <m/>
    <m/>
    <m/>
    <x v="3"/>
    <s v=""/>
    <s v=""/>
  </r>
  <r>
    <n v="496"/>
    <x v="353"/>
    <m/>
    <m/>
    <m/>
    <m/>
    <m/>
    <x v="166"/>
    <m/>
    <m/>
    <m/>
    <m/>
    <m/>
    <m/>
    <m/>
    <m/>
    <m/>
    <m/>
    <m/>
    <m/>
    <x v="23"/>
    <m/>
    <m/>
    <m/>
    <m/>
    <x v="75"/>
    <m/>
    <m/>
    <m/>
    <m/>
    <x v="28"/>
    <m/>
    <m/>
    <m/>
    <m/>
    <m/>
    <m/>
    <m/>
    <m/>
    <m/>
    <m/>
    <x v="0"/>
    <m/>
    <m/>
    <m/>
    <x v="3"/>
    <s v=""/>
    <s v=""/>
  </r>
  <r>
    <n v="497"/>
    <x v="353"/>
    <m/>
    <m/>
    <m/>
    <m/>
    <m/>
    <x v="166"/>
    <m/>
    <m/>
    <m/>
    <m/>
    <m/>
    <m/>
    <m/>
    <m/>
    <m/>
    <m/>
    <m/>
    <m/>
    <x v="23"/>
    <m/>
    <m/>
    <m/>
    <m/>
    <x v="75"/>
    <m/>
    <m/>
    <m/>
    <m/>
    <x v="28"/>
    <m/>
    <m/>
    <m/>
    <m/>
    <m/>
    <m/>
    <m/>
    <m/>
    <m/>
    <m/>
    <x v="0"/>
    <m/>
    <m/>
    <m/>
    <x v="3"/>
    <s v=""/>
    <s v=""/>
  </r>
  <r>
    <n v="498"/>
    <x v="353"/>
    <m/>
    <m/>
    <m/>
    <m/>
    <m/>
    <x v="166"/>
    <m/>
    <m/>
    <m/>
    <m/>
    <m/>
    <m/>
    <m/>
    <m/>
    <m/>
    <m/>
    <m/>
    <m/>
    <x v="23"/>
    <m/>
    <m/>
    <m/>
    <m/>
    <x v="75"/>
    <m/>
    <m/>
    <m/>
    <m/>
    <x v="28"/>
    <m/>
    <m/>
    <m/>
    <m/>
    <m/>
    <m/>
    <m/>
    <m/>
    <m/>
    <m/>
    <x v="0"/>
    <m/>
    <m/>
    <m/>
    <x v="3"/>
    <s v=""/>
    <s v=""/>
  </r>
  <r>
    <n v="499"/>
    <x v="353"/>
    <m/>
    <m/>
    <m/>
    <m/>
    <m/>
    <x v="166"/>
    <m/>
    <m/>
    <m/>
    <m/>
    <m/>
    <m/>
    <m/>
    <m/>
    <m/>
    <m/>
    <m/>
    <m/>
    <x v="23"/>
    <m/>
    <m/>
    <m/>
    <m/>
    <x v="75"/>
    <m/>
    <m/>
    <m/>
    <m/>
    <x v="28"/>
    <m/>
    <m/>
    <m/>
    <m/>
    <m/>
    <m/>
    <m/>
    <m/>
    <m/>
    <m/>
    <x v="0"/>
    <m/>
    <m/>
    <m/>
    <x v="3"/>
    <s v=""/>
    <s v=""/>
  </r>
  <r>
    <n v="500"/>
    <x v="353"/>
    <m/>
    <m/>
    <m/>
    <m/>
    <m/>
    <x v="166"/>
    <m/>
    <m/>
    <m/>
    <m/>
    <m/>
    <m/>
    <m/>
    <m/>
    <m/>
    <m/>
    <m/>
    <m/>
    <x v="23"/>
    <m/>
    <m/>
    <m/>
    <m/>
    <x v="75"/>
    <m/>
    <m/>
    <m/>
    <m/>
    <x v="28"/>
    <m/>
    <m/>
    <m/>
    <m/>
    <m/>
    <m/>
    <m/>
    <m/>
    <m/>
    <m/>
    <x v="0"/>
    <m/>
    <m/>
    <m/>
    <x v="3"/>
    <s v=""/>
    <s v=""/>
  </r>
  <r>
    <n v="501"/>
    <x v="353"/>
    <m/>
    <m/>
    <m/>
    <m/>
    <m/>
    <x v="166"/>
    <m/>
    <m/>
    <m/>
    <m/>
    <m/>
    <m/>
    <m/>
    <m/>
    <m/>
    <m/>
    <m/>
    <m/>
    <x v="23"/>
    <m/>
    <m/>
    <m/>
    <m/>
    <x v="75"/>
    <m/>
    <m/>
    <m/>
    <m/>
    <x v="28"/>
    <m/>
    <m/>
    <m/>
    <m/>
    <m/>
    <m/>
    <m/>
    <m/>
    <m/>
    <m/>
    <x v="0"/>
    <m/>
    <m/>
    <m/>
    <x v="3"/>
    <s v=""/>
    <s v=""/>
  </r>
  <r>
    <n v="502"/>
    <x v="353"/>
    <m/>
    <m/>
    <m/>
    <m/>
    <m/>
    <x v="166"/>
    <m/>
    <m/>
    <m/>
    <m/>
    <m/>
    <m/>
    <m/>
    <m/>
    <m/>
    <m/>
    <m/>
    <m/>
    <x v="23"/>
    <m/>
    <m/>
    <m/>
    <m/>
    <x v="75"/>
    <m/>
    <m/>
    <m/>
    <m/>
    <x v="28"/>
    <m/>
    <m/>
    <m/>
    <m/>
    <m/>
    <m/>
    <m/>
    <m/>
    <m/>
    <m/>
    <x v="0"/>
    <m/>
    <m/>
    <m/>
    <x v="3"/>
    <s v=""/>
    <s v=""/>
  </r>
  <r>
    <n v="503"/>
    <x v="353"/>
    <m/>
    <m/>
    <m/>
    <m/>
    <m/>
    <x v="166"/>
    <m/>
    <m/>
    <m/>
    <m/>
    <m/>
    <m/>
    <m/>
    <m/>
    <m/>
    <m/>
    <m/>
    <m/>
    <x v="23"/>
    <m/>
    <m/>
    <m/>
    <m/>
    <x v="75"/>
    <m/>
    <m/>
    <m/>
    <m/>
    <x v="28"/>
    <m/>
    <m/>
    <m/>
    <m/>
    <m/>
    <m/>
    <m/>
    <m/>
    <m/>
    <m/>
    <x v="0"/>
    <m/>
    <m/>
    <m/>
    <x v="3"/>
    <s v=""/>
    <s v=""/>
  </r>
  <r>
    <n v="504"/>
    <x v="353"/>
    <m/>
    <m/>
    <m/>
    <m/>
    <m/>
    <x v="166"/>
    <m/>
    <m/>
    <m/>
    <m/>
    <m/>
    <m/>
    <m/>
    <m/>
    <m/>
    <m/>
    <m/>
    <m/>
    <x v="23"/>
    <m/>
    <m/>
    <m/>
    <m/>
    <x v="75"/>
    <m/>
    <m/>
    <m/>
    <m/>
    <x v="28"/>
    <m/>
    <m/>
    <m/>
    <m/>
    <m/>
    <m/>
    <m/>
    <m/>
    <m/>
    <m/>
    <x v="0"/>
    <m/>
    <m/>
    <m/>
    <x v="3"/>
    <s v=""/>
    <s v=""/>
  </r>
  <r>
    <n v="505"/>
    <x v="353"/>
    <m/>
    <m/>
    <m/>
    <m/>
    <m/>
    <x v="166"/>
    <m/>
    <m/>
    <m/>
    <m/>
    <m/>
    <m/>
    <m/>
    <m/>
    <m/>
    <m/>
    <m/>
    <m/>
    <x v="23"/>
    <m/>
    <m/>
    <m/>
    <m/>
    <x v="75"/>
    <m/>
    <m/>
    <m/>
    <m/>
    <x v="28"/>
    <m/>
    <m/>
    <m/>
    <m/>
    <m/>
    <m/>
    <m/>
    <m/>
    <m/>
    <m/>
    <x v="0"/>
    <m/>
    <m/>
    <m/>
    <x v="3"/>
    <s v=""/>
    <s v=""/>
  </r>
  <r>
    <n v="506"/>
    <x v="353"/>
    <m/>
    <m/>
    <m/>
    <m/>
    <m/>
    <x v="166"/>
    <m/>
    <m/>
    <m/>
    <m/>
    <m/>
    <m/>
    <m/>
    <m/>
    <m/>
    <m/>
    <m/>
    <m/>
    <x v="23"/>
    <m/>
    <m/>
    <m/>
    <m/>
    <x v="75"/>
    <m/>
    <m/>
    <m/>
    <m/>
    <x v="28"/>
    <m/>
    <m/>
    <m/>
    <m/>
    <m/>
    <m/>
    <m/>
    <m/>
    <m/>
    <m/>
    <x v="0"/>
    <m/>
    <m/>
    <m/>
    <x v="3"/>
    <s v=""/>
    <s v=""/>
  </r>
  <r>
    <n v="507"/>
    <x v="353"/>
    <m/>
    <m/>
    <m/>
    <m/>
    <m/>
    <x v="166"/>
    <m/>
    <m/>
    <m/>
    <m/>
    <m/>
    <m/>
    <m/>
    <m/>
    <m/>
    <m/>
    <m/>
    <m/>
    <x v="23"/>
    <m/>
    <m/>
    <m/>
    <m/>
    <x v="75"/>
    <m/>
    <m/>
    <m/>
    <m/>
    <x v="28"/>
    <m/>
    <m/>
    <m/>
    <m/>
    <m/>
    <m/>
    <m/>
    <m/>
    <m/>
    <m/>
    <x v="0"/>
    <m/>
    <m/>
    <m/>
    <x v="3"/>
    <s v=""/>
    <s v=""/>
  </r>
  <r>
    <n v="508"/>
    <x v="353"/>
    <m/>
    <m/>
    <m/>
    <m/>
    <m/>
    <x v="166"/>
    <m/>
    <m/>
    <m/>
    <m/>
    <m/>
    <m/>
    <m/>
    <m/>
    <m/>
    <m/>
    <m/>
    <m/>
    <x v="23"/>
    <m/>
    <m/>
    <m/>
    <m/>
    <x v="75"/>
    <m/>
    <m/>
    <m/>
    <m/>
    <x v="28"/>
    <m/>
    <m/>
    <m/>
    <m/>
    <m/>
    <m/>
    <m/>
    <m/>
    <m/>
    <m/>
    <x v="0"/>
    <m/>
    <m/>
    <m/>
    <x v="3"/>
    <s v=""/>
    <s v=""/>
  </r>
  <r>
    <n v="509"/>
    <x v="353"/>
    <m/>
    <m/>
    <m/>
    <m/>
    <m/>
    <x v="166"/>
    <m/>
    <m/>
    <m/>
    <m/>
    <m/>
    <m/>
    <m/>
    <m/>
    <m/>
    <m/>
    <m/>
    <m/>
    <x v="23"/>
    <m/>
    <m/>
    <m/>
    <m/>
    <x v="75"/>
    <m/>
    <m/>
    <m/>
    <m/>
    <x v="28"/>
    <m/>
    <m/>
    <m/>
    <m/>
    <m/>
    <m/>
    <m/>
    <m/>
    <m/>
    <m/>
    <x v="0"/>
    <m/>
    <m/>
    <m/>
    <x v="3"/>
    <s v=""/>
    <s v=""/>
  </r>
  <r>
    <n v="510"/>
    <x v="353"/>
    <m/>
    <m/>
    <m/>
    <m/>
    <m/>
    <x v="166"/>
    <m/>
    <m/>
    <m/>
    <m/>
    <m/>
    <m/>
    <m/>
    <m/>
    <m/>
    <m/>
    <m/>
    <m/>
    <x v="23"/>
    <m/>
    <m/>
    <m/>
    <m/>
    <x v="75"/>
    <m/>
    <m/>
    <m/>
    <m/>
    <x v="28"/>
    <m/>
    <m/>
    <m/>
    <m/>
    <m/>
    <m/>
    <m/>
    <m/>
    <m/>
    <m/>
    <x v="0"/>
    <m/>
    <m/>
    <m/>
    <x v="3"/>
    <s v=""/>
    <s v=""/>
  </r>
  <r>
    <n v="511"/>
    <x v="353"/>
    <m/>
    <m/>
    <m/>
    <m/>
    <m/>
    <x v="166"/>
    <m/>
    <m/>
    <m/>
    <m/>
    <m/>
    <m/>
    <m/>
    <m/>
    <m/>
    <m/>
    <m/>
    <m/>
    <x v="23"/>
    <m/>
    <m/>
    <m/>
    <m/>
    <x v="75"/>
    <m/>
    <m/>
    <m/>
    <m/>
    <x v="28"/>
    <m/>
    <m/>
    <m/>
    <m/>
    <m/>
    <m/>
    <m/>
    <m/>
    <m/>
    <m/>
    <x v="0"/>
    <m/>
    <m/>
    <m/>
    <x v="3"/>
    <s v=""/>
    <s v=""/>
  </r>
  <r>
    <n v="512"/>
    <x v="353"/>
    <m/>
    <m/>
    <m/>
    <m/>
    <m/>
    <x v="166"/>
    <m/>
    <m/>
    <m/>
    <m/>
    <m/>
    <m/>
    <m/>
    <m/>
    <m/>
    <m/>
    <m/>
    <m/>
    <x v="23"/>
    <m/>
    <m/>
    <m/>
    <m/>
    <x v="75"/>
    <m/>
    <m/>
    <m/>
    <m/>
    <x v="28"/>
    <m/>
    <m/>
    <m/>
    <m/>
    <m/>
    <m/>
    <m/>
    <m/>
    <m/>
    <m/>
    <x v="0"/>
    <m/>
    <m/>
    <m/>
    <x v="3"/>
    <s v=""/>
    <s v=""/>
  </r>
  <r>
    <n v="513"/>
    <x v="353"/>
    <m/>
    <m/>
    <m/>
    <m/>
    <m/>
    <x v="166"/>
    <m/>
    <m/>
    <m/>
    <m/>
    <m/>
    <m/>
    <m/>
    <m/>
    <m/>
    <m/>
    <m/>
    <m/>
    <x v="23"/>
    <m/>
    <m/>
    <m/>
    <m/>
    <x v="75"/>
    <m/>
    <m/>
    <m/>
    <m/>
    <x v="28"/>
    <m/>
    <m/>
    <m/>
    <m/>
    <m/>
    <m/>
    <m/>
    <m/>
    <m/>
    <m/>
    <x v="0"/>
    <m/>
    <m/>
    <m/>
    <x v="3"/>
    <s v=""/>
    <s v=""/>
  </r>
  <r>
    <n v="514"/>
    <x v="353"/>
    <m/>
    <m/>
    <m/>
    <m/>
    <m/>
    <x v="166"/>
    <m/>
    <m/>
    <m/>
    <m/>
    <m/>
    <m/>
    <m/>
    <m/>
    <m/>
    <m/>
    <m/>
    <m/>
    <x v="23"/>
    <m/>
    <m/>
    <m/>
    <m/>
    <x v="75"/>
    <m/>
    <m/>
    <m/>
    <m/>
    <x v="28"/>
    <m/>
    <m/>
    <m/>
    <m/>
    <m/>
    <m/>
    <m/>
    <m/>
    <m/>
    <m/>
    <x v="0"/>
    <m/>
    <m/>
    <m/>
    <x v="3"/>
    <s v=""/>
    <s v=""/>
  </r>
  <r>
    <n v="515"/>
    <x v="353"/>
    <m/>
    <m/>
    <m/>
    <m/>
    <m/>
    <x v="166"/>
    <m/>
    <m/>
    <m/>
    <m/>
    <m/>
    <m/>
    <m/>
    <m/>
    <m/>
    <m/>
    <m/>
    <m/>
    <x v="23"/>
    <m/>
    <m/>
    <m/>
    <m/>
    <x v="75"/>
    <m/>
    <m/>
    <m/>
    <m/>
    <x v="28"/>
    <m/>
    <m/>
    <m/>
    <m/>
    <m/>
    <m/>
    <m/>
    <m/>
    <m/>
    <m/>
    <x v="0"/>
    <m/>
    <m/>
    <m/>
    <x v="3"/>
    <s v=""/>
    <s v=""/>
  </r>
  <r>
    <n v="516"/>
    <x v="353"/>
    <m/>
    <m/>
    <m/>
    <m/>
    <m/>
    <x v="166"/>
    <m/>
    <m/>
    <m/>
    <m/>
    <m/>
    <m/>
    <m/>
    <m/>
    <m/>
    <m/>
    <m/>
    <m/>
    <x v="23"/>
    <m/>
    <m/>
    <m/>
    <m/>
    <x v="75"/>
    <m/>
    <m/>
    <m/>
    <m/>
    <x v="28"/>
    <m/>
    <m/>
    <m/>
    <m/>
    <m/>
    <m/>
    <m/>
    <m/>
    <m/>
    <m/>
    <x v="0"/>
    <m/>
    <m/>
    <m/>
    <x v="3"/>
    <s v=""/>
    <s v=""/>
  </r>
  <r>
    <n v="517"/>
    <x v="353"/>
    <m/>
    <m/>
    <m/>
    <m/>
    <m/>
    <x v="166"/>
    <m/>
    <m/>
    <m/>
    <m/>
    <m/>
    <m/>
    <m/>
    <m/>
    <m/>
    <m/>
    <m/>
    <m/>
    <x v="23"/>
    <m/>
    <m/>
    <m/>
    <m/>
    <x v="75"/>
    <m/>
    <m/>
    <m/>
    <m/>
    <x v="28"/>
    <m/>
    <m/>
    <m/>
    <m/>
    <m/>
    <m/>
    <m/>
    <m/>
    <m/>
    <m/>
    <x v="0"/>
    <m/>
    <m/>
    <m/>
    <x v="3"/>
    <s v=""/>
    <s v=""/>
  </r>
  <r>
    <n v="518"/>
    <x v="353"/>
    <m/>
    <m/>
    <m/>
    <m/>
    <m/>
    <x v="166"/>
    <m/>
    <m/>
    <m/>
    <m/>
    <m/>
    <m/>
    <m/>
    <m/>
    <m/>
    <m/>
    <m/>
    <m/>
    <x v="23"/>
    <m/>
    <m/>
    <m/>
    <m/>
    <x v="75"/>
    <m/>
    <m/>
    <m/>
    <m/>
    <x v="28"/>
    <m/>
    <m/>
    <m/>
    <m/>
    <m/>
    <m/>
    <m/>
    <m/>
    <m/>
    <m/>
    <x v="0"/>
    <m/>
    <m/>
    <m/>
    <x v="3"/>
    <s v=""/>
    <s v=""/>
  </r>
  <r>
    <n v="519"/>
    <x v="353"/>
    <m/>
    <m/>
    <m/>
    <m/>
    <m/>
    <x v="166"/>
    <m/>
    <m/>
    <m/>
    <m/>
    <m/>
    <m/>
    <m/>
    <m/>
    <m/>
    <m/>
    <m/>
    <m/>
    <x v="23"/>
    <m/>
    <m/>
    <m/>
    <m/>
    <x v="75"/>
    <m/>
    <m/>
    <m/>
    <m/>
    <x v="28"/>
    <m/>
    <m/>
    <m/>
    <m/>
    <m/>
    <m/>
    <m/>
    <m/>
    <m/>
    <m/>
    <x v="0"/>
    <m/>
    <m/>
    <m/>
    <x v="3"/>
    <s v=""/>
    <s v=""/>
  </r>
  <r>
    <n v="520"/>
    <x v="353"/>
    <m/>
    <m/>
    <m/>
    <m/>
    <m/>
    <x v="166"/>
    <m/>
    <m/>
    <m/>
    <m/>
    <m/>
    <m/>
    <m/>
    <m/>
    <m/>
    <m/>
    <m/>
    <m/>
    <x v="23"/>
    <m/>
    <m/>
    <m/>
    <m/>
    <x v="75"/>
    <m/>
    <m/>
    <m/>
    <m/>
    <x v="28"/>
    <m/>
    <m/>
    <m/>
    <m/>
    <m/>
    <m/>
    <m/>
    <m/>
    <m/>
    <m/>
    <x v="0"/>
    <m/>
    <m/>
    <m/>
    <x v="3"/>
    <s v=""/>
    <s v=""/>
  </r>
  <r>
    <n v="521"/>
    <x v="353"/>
    <m/>
    <m/>
    <m/>
    <m/>
    <m/>
    <x v="166"/>
    <m/>
    <m/>
    <m/>
    <m/>
    <m/>
    <m/>
    <m/>
    <m/>
    <m/>
    <m/>
    <m/>
    <m/>
    <x v="23"/>
    <m/>
    <m/>
    <m/>
    <m/>
    <x v="75"/>
    <m/>
    <m/>
    <m/>
    <m/>
    <x v="28"/>
    <m/>
    <m/>
    <m/>
    <m/>
    <m/>
    <m/>
    <m/>
    <m/>
    <m/>
    <m/>
    <x v="0"/>
    <m/>
    <m/>
    <m/>
    <x v="3"/>
    <s v=""/>
    <s v=""/>
  </r>
  <r>
    <n v="522"/>
    <x v="353"/>
    <m/>
    <m/>
    <m/>
    <m/>
    <m/>
    <x v="166"/>
    <m/>
    <m/>
    <m/>
    <m/>
    <m/>
    <m/>
    <m/>
    <m/>
    <m/>
    <m/>
    <m/>
    <m/>
    <x v="23"/>
    <m/>
    <m/>
    <m/>
    <m/>
    <x v="75"/>
    <m/>
    <m/>
    <m/>
    <m/>
    <x v="28"/>
    <m/>
    <m/>
    <m/>
    <m/>
    <m/>
    <m/>
    <m/>
    <m/>
    <m/>
    <m/>
    <x v="0"/>
    <m/>
    <m/>
    <m/>
    <x v="3"/>
    <s v=""/>
    <s v=""/>
  </r>
  <r>
    <n v="523"/>
    <x v="353"/>
    <m/>
    <m/>
    <m/>
    <m/>
    <m/>
    <x v="166"/>
    <m/>
    <m/>
    <m/>
    <m/>
    <m/>
    <m/>
    <m/>
    <m/>
    <m/>
    <m/>
    <m/>
    <m/>
    <x v="23"/>
    <m/>
    <m/>
    <m/>
    <m/>
    <x v="75"/>
    <m/>
    <m/>
    <m/>
    <m/>
    <x v="28"/>
    <m/>
    <m/>
    <m/>
    <m/>
    <m/>
    <m/>
    <m/>
    <m/>
    <m/>
    <m/>
    <x v="0"/>
    <m/>
    <m/>
    <m/>
    <x v="3"/>
    <s v=""/>
    <s v=""/>
  </r>
  <r>
    <n v="524"/>
    <x v="353"/>
    <m/>
    <m/>
    <m/>
    <m/>
    <m/>
    <x v="166"/>
    <m/>
    <m/>
    <m/>
    <m/>
    <m/>
    <m/>
    <m/>
    <m/>
    <m/>
    <m/>
    <m/>
    <m/>
    <x v="23"/>
    <m/>
    <m/>
    <m/>
    <m/>
    <x v="75"/>
    <m/>
    <m/>
    <m/>
    <m/>
    <x v="28"/>
    <m/>
    <m/>
    <m/>
    <m/>
    <m/>
    <m/>
    <m/>
    <m/>
    <m/>
    <m/>
    <x v="0"/>
    <m/>
    <m/>
    <m/>
    <x v="3"/>
    <s v=""/>
    <s v=""/>
  </r>
  <r>
    <n v="525"/>
    <x v="353"/>
    <m/>
    <m/>
    <m/>
    <m/>
    <m/>
    <x v="166"/>
    <m/>
    <m/>
    <m/>
    <m/>
    <m/>
    <m/>
    <m/>
    <m/>
    <m/>
    <m/>
    <m/>
    <m/>
    <x v="23"/>
    <m/>
    <m/>
    <m/>
    <m/>
    <x v="75"/>
    <m/>
    <m/>
    <m/>
    <m/>
    <x v="28"/>
    <m/>
    <m/>
    <m/>
    <m/>
    <m/>
    <m/>
    <m/>
    <m/>
    <m/>
    <m/>
    <x v="0"/>
    <m/>
    <m/>
    <m/>
    <x v="3"/>
    <s v=""/>
    <s v=""/>
  </r>
  <r>
    <n v="526"/>
    <x v="353"/>
    <m/>
    <m/>
    <m/>
    <m/>
    <m/>
    <x v="166"/>
    <m/>
    <m/>
    <m/>
    <m/>
    <m/>
    <m/>
    <m/>
    <m/>
    <m/>
    <m/>
    <m/>
    <m/>
    <x v="23"/>
    <m/>
    <m/>
    <m/>
    <m/>
    <x v="75"/>
    <m/>
    <m/>
    <m/>
    <m/>
    <x v="28"/>
    <m/>
    <m/>
    <m/>
    <m/>
    <m/>
    <m/>
    <m/>
    <m/>
    <m/>
    <m/>
    <x v="0"/>
    <m/>
    <m/>
    <m/>
    <x v="3"/>
    <s v=""/>
    <s v=""/>
  </r>
  <r>
    <n v="527"/>
    <x v="353"/>
    <m/>
    <m/>
    <m/>
    <m/>
    <m/>
    <x v="166"/>
    <m/>
    <m/>
    <m/>
    <m/>
    <m/>
    <m/>
    <m/>
    <m/>
    <m/>
    <m/>
    <m/>
    <m/>
    <x v="23"/>
    <m/>
    <m/>
    <m/>
    <m/>
    <x v="75"/>
    <m/>
    <m/>
    <m/>
    <m/>
    <x v="28"/>
    <m/>
    <m/>
    <m/>
    <m/>
    <m/>
    <m/>
    <m/>
    <m/>
    <m/>
    <m/>
    <x v="0"/>
    <m/>
    <m/>
    <m/>
    <x v="3"/>
    <s v=""/>
    <s v=""/>
  </r>
  <r>
    <n v="528"/>
    <x v="353"/>
    <m/>
    <m/>
    <m/>
    <m/>
    <m/>
    <x v="166"/>
    <m/>
    <m/>
    <m/>
    <m/>
    <m/>
    <m/>
    <m/>
    <m/>
    <m/>
    <m/>
    <m/>
    <m/>
    <x v="23"/>
    <m/>
    <m/>
    <m/>
    <m/>
    <x v="75"/>
    <m/>
    <m/>
    <m/>
    <m/>
    <x v="28"/>
    <m/>
    <m/>
    <m/>
    <m/>
    <m/>
    <m/>
    <m/>
    <m/>
    <m/>
    <m/>
    <x v="0"/>
    <m/>
    <m/>
    <m/>
    <x v="3"/>
    <s v=""/>
    <s v=""/>
  </r>
  <r>
    <n v="529"/>
    <x v="353"/>
    <m/>
    <m/>
    <m/>
    <m/>
    <m/>
    <x v="166"/>
    <m/>
    <m/>
    <m/>
    <m/>
    <m/>
    <m/>
    <m/>
    <m/>
    <m/>
    <m/>
    <m/>
    <m/>
    <x v="23"/>
    <m/>
    <m/>
    <m/>
    <m/>
    <x v="75"/>
    <m/>
    <m/>
    <m/>
    <m/>
    <x v="28"/>
    <m/>
    <m/>
    <m/>
    <m/>
    <m/>
    <m/>
    <m/>
    <m/>
    <m/>
    <m/>
    <x v="0"/>
    <m/>
    <m/>
    <m/>
    <x v="3"/>
    <s v=""/>
    <s v=""/>
  </r>
  <r>
    <n v="530"/>
    <x v="353"/>
    <m/>
    <m/>
    <m/>
    <m/>
    <m/>
    <x v="166"/>
    <m/>
    <m/>
    <m/>
    <m/>
    <m/>
    <m/>
    <m/>
    <m/>
    <m/>
    <m/>
    <m/>
    <m/>
    <x v="23"/>
    <m/>
    <m/>
    <m/>
    <m/>
    <x v="75"/>
    <m/>
    <m/>
    <m/>
    <m/>
    <x v="28"/>
    <m/>
    <m/>
    <m/>
    <m/>
    <m/>
    <m/>
    <m/>
    <m/>
    <m/>
    <m/>
    <x v="0"/>
    <m/>
    <m/>
    <m/>
    <x v="3"/>
    <s v=""/>
    <s v=""/>
  </r>
  <r>
    <n v="531"/>
    <x v="353"/>
    <m/>
    <m/>
    <m/>
    <m/>
    <m/>
    <x v="166"/>
    <m/>
    <m/>
    <m/>
    <m/>
    <m/>
    <m/>
    <m/>
    <m/>
    <m/>
    <m/>
    <m/>
    <m/>
    <x v="23"/>
    <m/>
    <m/>
    <m/>
    <m/>
    <x v="75"/>
    <m/>
    <m/>
    <m/>
    <m/>
    <x v="28"/>
    <m/>
    <m/>
    <m/>
    <m/>
    <m/>
    <m/>
    <m/>
    <m/>
    <m/>
    <m/>
    <x v="0"/>
    <m/>
    <m/>
    <m/>
    <x v="3"/>
    <s v=""/>
    <s v=""/>
  </r>
  <r>
    <n v="532"/>
    <x v="353"/>
    <m/>
    <m/>
    <m/>
    <m/>
    <m/>
    <x v="166"/>
    <m/>
    <m/>
    <m/>
    <m/>
    <m/>
    <m/>
    <m/>
    <m/>
    <m/>
    <m/>
    <m/>
    <m/>
    <x v="23"/>
    <m/>
    <m/>
    <m/>
    <m/>
    <x v="75"/>
    <m/>
    <m/>
    <m/>
    <m/>
    <x v="28"/>
    <m/>
    <m/>
    <m/>
    <m/>
    <m/>
    <m/>
    <m/>
    <m/>
    <m/>
    <m/>
    <x v="0"/>
    <m/>
    <m/>
    <m/>
    <x v="3"/>
    <s v=""/>
    <s v=""/>
  </r>
  <r>
    <n v="533"/>
    <x v="353"/>
    <m/>
    <m/>
    <m/>
    <m/>
    <m/>
    <x v="166"/>
    <m/>
    <m/>
    <m/>
    <m/>
    <m/>
    <m/>
    <m/>
    <m/>
    <m/>
    <m/>
    <m/>
    <m/>
    <x v="23"/>
    <m/>
    <m/>
    <m/>
    <m/>
    <x v="75"/>
    <m/>
    <m/>
    <m/>
    <m/>
    <x v="28"/>
    <m/>
    <m/>
    <m/>
    <m/>
    <m/>
    <m/>
    <m/>
    <m/>
    <m/>
    <m/>
    <x v="0"/>
    <m/>
    <m/>
    <m/>
    <x v="3"/>
    <s v=""/>
    <s v=""/>
  </r>
  <r>
    <n v="534"/>
    <x v="353"/>
    <m/>
    <m/>
    <m/>
    <m/>
    <m/>
    <x v="166"/>
    <m/>
    <m/>
    <m/>
    <m/>
    <m/>
    <m/>
    <m/>
    <m/>
    <m/>
    <m/>
    <m/>
    <m/>
    <x v="23"/>
    <m/>
    <m/>
    <m/>
    <m/>
    <x v="75"/>
    <m/>
    <m/>
    <m/>
    <m/>
    <x v="28"/>
    <m/>
    <m/>
    <m/>
    <m/>
    <m/>
    <m/>
    <m/>
    <m/>
    <m/>
    <m/>
    <x v="0"/>
    <m/>
    <m/>
    <m/>
    <x v="3"/>
    <s v=""/>
    <s v=""/>
  </r>
  <r>
    <n v="535"/>
    <x v="353"/>
    <m/>
    <m/>
    <m/>
    <m/>
    <m/>
    <x v="166"/>
    <m/>
    <m/>
    <m/>
    <m/>
    <m/>
    <m/>
    <m/>
    <m/>
    <m/>
    <m/>
    <m/>
    <m/>
    <x v="23"/>
    <m/>
    <m/>
    <m/>
    <m/>
    <x v="75"/>
    <m/>
    <m/>
    <m/>
    <m/>
    <x v="28"/>
    <m/>
    <m/>
    <m/>
    <m/>
    <m/>
    <m/>
    <m/>
    <m/>
    <m/>
    <m/>
    <x v="0"/>
    <m/>
    <m/>
    <m/>
    <x v="3"/>
    <s v=""/>
    <s v=""/>
  </r>
  <r>
    <n v="536"/>
    <x v="353"/>
    <m/>
    <m/>
    <m/>
    <m/>
    <m/>
    <x v="166"/>
    <m/>
    <m/>
    <m/>
    <m/>
    <m/>
    <m/>
    <m/>
    <m/>
    <m/>
    <m/>
    <m/>
    <m/>
    <x v="23"/>
    <m/>
    <m/>
    <m/>
    <m/>
    <x v="75"/>
    <m/>
    <m/>
    <m/>
    <m/>
    <x v="28"/>
    <m/>
    <m/>
    <m/>
    <m/>
    <m/>
    <m/>
    <m/>
    <m/>
    <m/>
    <m/>
    <x v="0"/>
    <m/>
    <m/>
    <m/>
    <x v="3"/>
    <s v=""/>
    <s v=""/>
  </r>
  <r>
    <n v="537"/>
    <x v="353"/>
    <m/>
    <m/>
    <m/>
    <m/>
    <m/>
    <x v="166"/>
    <m/>
    <m/>
    <m/>
    <m/>
    <m/>
    <m/>
    <m/>
    <m/>
    <m/>
    <m/>
    <m/>
    <m/>
    <x v="23"/>
    <m/>
    <m/>
    <m/>
    <m/>
    <x v="75"/>
    <m/>
    <m/>
    <m/>
    <m/>
    <x v="28"/>
    <m/>
    <m/>
    <m/>
    <m/>
    <m/>
    <m/>
    <m/>
    <m/>
    <m/>
    <m/>
    <x v="0"/>
    <m/>
    <m/>
    <m/>
    <x v="3"/>
    <s v=""/>
    <s v=""/>
  </r>
  <r>
    <n v="538"/>
    <x v="353"/>
    <m/>
    <m/>
    <m/>
    <m/>
    <m/>
    <x v="166"/>
    <m/>
    <m/>
    <m/>
    <m/>
    <m/>
    <m/>
    <m/>
    <m/>
    <m/>
    <m/>
    <m/>
    <m/>
    <x v="23"/>
    <m/>
    <m/>
    <m/>
    <m/>
    <x v="75"/>
    <m/>
    <m/>
    <m/>
    <m/>
    <x v="28"/>
    <m/>
    <m/>
    <m/>
    <m/>
    <m/>
    <m/>
    <m/>
    <m/>
    <m/>
    <m/>
    <x v="0"/>
    <m/>
    <m/>
    <m/>
    <x v="3"/>
    <s v=""/>
    <s v=""/>
  </r>
  <r>
    <n v="539"/>
    <x v="353"/>
    <m/>
    <m/>
    <m/>
    <m/>
    <m/>
    <x v="166"/>
    <m/>
    <m/>
    <m/>
    <m/>
    <m/>
    <m/>
    <m/>
    <m/>
    <m/>
    <m/>
    <m/>
    <m/>
    <x v="23"/>
    <m/>
    <m/>
    <m/>
    <m/>
    <x v="75"/>
    <m/>
    <m/>
    <m/>
    <m/>
    <x v="28"/>
    <m/>
    <m/>
    <m/>
    <m/>
    <m/>
    <m/>
    <m/>
    <m/>
    <m/>
    <m/>
    <x v="0"/>
    <m/>
    <m/>
    <m/>
    <x v="3"/>
    <s v=""/>
    <s v=""/>
  </r>
  <r>
    <n v="540"/>
    <x v="353"/>
    <m/>
    <m/>
    <m/>
    <m/>
    <m/>
    <x v="166"/>
    <m/>
    <m/>
    <m/>
    <m/>
    <m/>
    <m/>
    <m/>
    <m/>
    <m/>
    <m/>
    <m/>
    <m/>
    <x v="23"/>
    <m/>
    <m/>
    <m/>
    <m/>
    <x v="75"/>
    <m/>
    <m/>
    <m/>
    <m/>
    <x v="28"/>
    <m/>
    <m/>
    <m/>
    <m/>
    <m/>
    <m/>
    <m/>
    <m/>
    <m/>
    <m/>
    <x v="0"/>
    <m/>
    <m/>
    <m/>
    <x v="3"/>
    <s v=""/>
    <s v=""/>
  </r>
  <r>
    <n v="541"/>
    <x v="353"/>
    <m/>
    <m/>
    <m/>
    <m/>
    <m/>
    <x v="166"/>
    <m/>
    <m/>
    <m/>
    <m/>
    <m/>
    <m/>
    <m/>
    <m/>
    <m/>
    <m/>
    <m/>
    <m/>
    <x v="23"/>
    <m/>
    <m/>
    <m/>
    <m/>
    <x v="75"/>
    <m/>
    <m/>
    <m/>
    <m/>
    <x v="28"/>
    <m/>
    <m/>
    <m/>
    <m/>
    <m/>
    <m/>
    <m/>
    <m/>
    <m/>
    <m/>
    <x v="0"/>
    <m/>
    <m/>
    <m/>
    <x v="3"/>
    <s v=""/>
    <s v=""/>
  </r>
  <r>
    <n v="542"/>
    <x v="353"/>
    <m/>
    <m/>
    <m/>
    <m/>
    <m/>
    <x v="166"/>
    <m/>
    <m/>
    <m/>
    <m/>
    <m/>
    <m/>
    <m/>
    <m/>
    <m/>
    <m/>
    <m/>
    <m/>
    <x v="23"/>
    <m/>
    <m/>
    <m/>
    <m/>
    <x v="75"/>
    <m/>
    <m/>
    <m/>
    <m/>
    <x v="28"/>
    <m/>
    <m/>
    <m/>
    <m/>
    <m/>
    <m/>
    <m/>
    <m/>
    <m/>
    <m/>
    <x v="0"/>
    <m/>
    <m/>
    <m/>
    <x v="3"/>
    <s v=""/>
    <s v=""/>
  </r>
  <r>
    <n v="543"/>
    <x v="353"/>
    <m/>
    <m/>
    <m/>
    <m/>
    <m/>
    <x v="166"/>
    <m/>
    <m/>
    <m/>
    <m/>
    <m/>
    <m/>
    <m/>
    <m/>
    <m/>
    <m/>
    <m/>
    <m/>
    <x v="23"/>
    <m/>
    <m/>
    <m/>
    <m/>
    <x v="75"/>
    <m/>
    <m/>
    <m/>
    <m/>
    <x v="28"/>
    <m/>
    <m/>
    <m/>
    <m/>
    <m/>
    <m/>
    <m/>
    <m/>
    <m/>
    <m/>
    <x v="0"/>
    <m/>
    <m/>
    <m/>
    <x v="3"/>
    <s v=""/>
    <s v=""/>
  </r>
  <r>
    <n v="544"/>
    <x v="353"/>
    <m/>
    <m/>
    <m/>
    <m/>
    <m/>
    <x v="166"/>
    <m/>
    <m/>
    <m/>
    <m/>
    <m/>
    <m/>
    <m/>
    <m/>
    <m/>
    <m/>
    <m/>
    <m/>
    <x v="23"/>
    <m/>
    <m/>
    <m/>
    <m/>
    <x v="75"/>
    <m/>
    <m/>
    <m/>
    <m/>
    <x v="28"/>
    <m/>
    <m/>
    <m/>
    <m/>
    <m/>
    <m/>
    <m/>
    <m/>
    <m/>
    <m/>
    <x v="0"/>
    <m/>
    <m/>
    <m/>
    <x v="3"/>
    <s v=""/>
    <s v=""/>
  </r>
  <r>
    <n v="545"/>
    <x v="353"/>
    <m/>
    <m/>
    <m/>
    <m/>
    <m/>
    <x v="166"/>
    <m/>
    <m/>
    <m/>
    <m/>
    <m/>
    <m/>
    <m/>
    <m/>
    <m/>
    <m/>
    <m/>
    <m/>
    <x v="23"/>
    <m/>
    <m/>
    <m/>
    <m/>
    <x v="75"/>
    <m/>
    <m/>
    <m/>
    <m/>
    <x v="28"/>
    <m/>
    <m/>
    <m/>
    <m/>
    <m/>
    <m/>
    <m/>
    <m/>
    <m/>
    <m/>
    <x v="0"/>
    <m/>
    <m/>
    <m/>
    <x v="3"/>
    <s v=""/>
    <s v=""/>
  </r>
  <r>
    <s v="o"/>
    <x v="354"/>
    <s v="Ospina Grisaldez"/>
    <s v="Cédula de ciudadanía"/>
    <n v="18414953"/>
    <s v="Empleado"/>
    <s v="Término indefinido"/>
    <x v="168"/>
    <m/>
    <s v="Mensual"/>
    <n v="1300000"/>
    <s v="No"/>
    <s v="Centro de trabajo Riesgo 2"/>
    <s v="Si"/>
    <s v="pospina868@gmail.com"/>
    <m/>
    <s v="Transferencia Bancaria"/>
    <s v="Nequi"/>
    <s v="Cuenta de Ahorros"/>
    <n v="3123263532"/>
    <x v="352"/>
    <s v="finca la Elvira Alcalá Valle"/>
    <n v="3123263532"/>
    <s v="Finca La Elvira "/>
    <s v="Administrativa"/>
    <x v="98"/>
    <s v="Administrativo"/>
    <s v="Nueva EPS"/>
    <s v="Colpensiones"/>
    <s v="Porvenir"/>
    <x v="6"/>
    <s v="Hombre"/>
    <s v="ordinario"/>
    <s v="No"/>
    <m/>
    <s v="Si "/>
    <s v="Compañero/a permanente"/>
    <s v="Si"/>
    <m/>
    <m/>
    <m/>
    <x v="0"/>
    <m/>
    <m/>
    <m/>
    <x v="0"/>
    <n v="59"/>
    <n v="53.341666666666669"/>
  </r>
  <r>
    <m/>
    <x v="353"/>
    <m/>
    <m/>
    <m/>
    <m/>
    <m/>
    <x v="166"/>
    <m/>
    <m/>
    <m/>
    <m/>
    <m/>
    <m/>
    <m/>
    <m/>
    <m/>
    <m/>
    <m/>
    <m/>
    <x v="23"/>
    <m/>
    <m/>
    <m/>
    <m/>
    <x v="75"/>
    <m/>
    <m/>
    <m/>
    <m/>
    <x v="28"/>
    <m/>
    <m/>
    <m/>
    <m/>
    <m/>
    <m/>
    <m/>
    <m/>
    <m/>
    <m/>
    <x v="0"/>
    <m/>
    <m/>
    <m/>
    <x v="3"/>
    <s v=""/>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209DEA2-5CA6-4FD3-9B99-4824E8D63B97}" name="TablaDinámica24" cacheId="0" applyNumberFormats="0" applyBorderFormats="0" applyFontFormats="0" applyPatternFormats="0" applyAlignmentFormats="0" applyWidthHeightFormats="1" dataCaption="Valores" updatedVersion="8" minRefreshableVersion="3" useAutoFormatting="1" rowGrandTotals="0" colGrandTotals="0" itemPrintTitles="1" createdVersion="8" indent="0" compact="0" compactData="0" multipleFieldFilters="0">
  <location ref="V28:X30" firstHeaderRow="1" firstDataRow="3" firstDataCol="1" rowPageCount="2" colPageCount="1"/>
  <pivotFields count="57">
    <pivotField compact="0" outline="0" showAll="0" defaultSubtotal="0"/>
    <pivotField axis="axisRow" compact="0" outline="0" showAll="0" defaultSubtotal="0">
      <items count="357">
        <item x="46"/>
        <item x="101"/>
        <item x="4"/>
        <item x="55"/>
        <item x="84"/>
        <item x="222"/>
        <item x="217"/>
        <item x="143"/>
        <item x="197"/>
        <item x="221"/>
        <item x="154"/>
        <item x="87"/>
        <item x="232"/>
        <item x="141"/>
        <item x="56"/>
        <item x="111"/>
        <item x="189"/>
        <item x="48"/>
        <item x="57"/>
        <item x="89"/>
        <item x="105"/>
        <item x="43"/>
        <item x="47"/>
        <item x="173"/>
        <item x="122"/>
        <item x="155"/>
        <item x="71"/>
        <item x="192"/>
        <item x="65"/>
        <item x="156"/>
        <item x="157"/>
        <item x="130"/>
        <item x="139"/>
        <item x="220"/>
        <item x="2"/>
        <item x="93"/>
        <item x="21"/>
        <item x="38"/>
        <item x="191"/>
        <item x="22"/>
        <item x="25"/>
        <item x="242"/>
        <item x="211"/>
        <item x="64"/>
        <item x="123"/>
        <item x="74"/>
        <item x="90"/>
        <item x="196"/>
        <item x="145"/>
        <item x="115"/>
        <item x="106"/>
        <item x="234"/>
        <item x="158"/>
        <item x="218"/>
        <item x="40"/>
        <item x="92"/>
        <item x="174"/>
        <item x="159"/>
        <item x="70"/>
        <item x="27"/>
        <item x="35"/>
        <item x="15"/>
        <item x="151"/>
        <item x="241"/>
        <item x="85"/>
        <item x="243"/>
        <item x="107"/>
        <item x="199"/>
        <item x="142"/>
        <item x="121"/>
        <item x="203"/>
        <item x="160"/>
        <item x="175"/>
        <item x="94"/>
        <item x="184"/>
        <item x="183"/>
        <item x="82"/>
        <item x="58"/>
        <item x="59"/>
        <item x="204"/>
        <item x="37"/>
        <item x="103"/>
        <item x="185"/>
        <item x="187"/>
        <item x="129"/>
        <item x="131"/>
        <item x="124"/>
        <item x="99"/>
        <item x="45"/>
        <item x="249"/>
        <item x="213"/>
        <item x="112"/>
        <item x="146"/>
        <item x="91"/>
        <item x="98"/>
        <item x="172"/>
        <item x="205"/>
        <item x="182"/>
        <item x="7"/>
        <item x="181"/>
        <item x="152"/>
        <item x="132"/>
        <item x="177"/>
        <item x="238"/>
        <item x="147"/>
        <item x="225"/>
        <item x="49"/>
        <item x="117"/>
        <item x="244"/>
        <item x="179"/>
        <item x="14"/>
        <item x="226"/>
        <item x="23"/>
        <item x="8"/>
        <item x="60"/>
        <item x="149"/>
        <item x="161"/>
        <item x="206"/>
        <item x="28"/>
        <item x="247"/>
        <item x="125"/>
        <item x="61"/>
        <item x="114"/>
        <item x="148"/>
        <item x="9"/>
        <item x="10"/>
        <item x="194"/>
        <item x="102"/>
        <item x="229"/>
        <item x="212"/>
        <item x="33"/>
        <item x="162"/>
        <item x="69"/>
        <item x="79"/>
        <item x="163"/>
        <item x="41"/>
        <item x="36"/>
        <item x="80"/>
        <item x="164"/>
        <item x="126"/>
        <item x="165"/>
        <item x="20"/>
        <item x="227"/>
        <item x="150"/>
        <item x="3"/>
        <item x="119"/>
        <item x="136"/>
        <item x="137"/>
        <item x="166"/>
        <item x="44"/>
        <item x="53"/>
        <item x="240"/>
        <item x="108"/>
        <item x="233"/>
        <item x="39"/>
        <item x="42"/>
        <item x="0"/>
        <item x="66"/>
        <item x="100"/>
        <item x="245"/>
        <item x="19"/>
        <item x="120"/>
        <item x="11"/>
        <item x="72"/>
        <item x="16"/>
        <item x="200"/>
        <item x="167"/>
        <item x="5"/>
        <item x="201"/>
        <item x="207"/>
        <item x="140"/>
        <item x="168"/>
        <item x="104"/>
        <item x="13"/>
        <item x="88"/>
        <item x="17"/>
        <item x="216"/>
        <item x="76"/>
        <item x="188"/>
        <item x="195"/>
        <item x="198"/>
        <item x="86"/>
        <item x="30"/>
        <item x="62"/>
        <item x="67"/>
        <item x="230"/>
        <item x="239"/>
        <item x="153"/>
        <item x="193"/>
        <item x="32"/>
        <item x="127"/>
        <item x="134"/>
        <item x="210"/>
        <item x="219"/>
        <item x="18"/>
        <item x="50"/>
        <item x="178"/>
        <item x="135"/>
        <item x="231"/>
        <item x="26"/>
        <item x="176"/>
        <item x="169"/>
        <item x="118"/>
        <item x="236"/>
        <item x="29"/>
        <item x="95"/>
        <item x="144"/>
        <item x="6"/>
        <item x="24"/>
        <item x="96"/>
        <item x="78"/>
        <item x="110"/>
        <item x="228"/>
        <item x="75"/>
        <item x="63"/>
        <item x="237"/>
        <item x="113"/>
        <item x="116"/>
        <item x="214"/>
        <item x="171"/>
        <item x="54"/>
        <item x="51"/>
        <item x="73"/>
        <item x="12"/>
        <item x="246"/>
        <item x="180"/>
        <item x="224"/>
        <item x="1"/>
        <item x="190"/>
        <item x="34"/>
        <item x="223"/>
        <item x="138"/>
        <item x="31"/>
        <item x="215"/>
        <item x="128"/>
        <item x="209"/>
        <item x="77"/>
        <item x="170"/>
        <item x="208"/>
        <item x="186"/>
        <item x="68"/>
        <item x="83"/>
        <item x="52"/>
        <item x="109"/>
        <item x="133"/>
        <item x="81"/>
        <item x="248"/>
        <item x="97"/>
        <item x="202"/>
        <item x="235"/>
        <item x="353"/>
        <item x="250"/>
        <item x="251"/>
        <item x="252"/>
        <item x="253"/>
        <item x="254"/>
        <item x="255"/>
        <item x="256"/>
        <item x="257"/>
        <item x="258"/>
        <item x="259"/>
        <item x="260"/>
        <item x="261"/>
        <item x="262"/>
        <item x="263"/>
        <item x="264"/>
        <item x="265"/>
        <item x="266"/>
        <item x="267"/>
        <item x="268"/>
        <item x="269"/>
        <item x="270"/>
        <item x="271"/>
        <item x="272"/>
        <item m="1" x="356"/>
        <item x="274"/>
        <item x="275"/>
        <item x="276"/>
        <item x="277"/>
        <item x="278"/>
        <item x="279"/>
        <item x="280"/>
        <item x="281"/>
        <item x="282"/>
        <item m="1" x="355"/>
        <item x="283"/>
        <item x="284"/>
        <item x="285"/>
        <item x="286"/>
        <item x="287"/>
        <item x="288"/>
        <item x="289"/>
        <item x="290"/>
        <item x="291"/>
        <item x="292"/>
        <item x="293"/>
        <item x="294"/>
        <item x="295"/>
        <item x="296"/>
        <item x="324"/>
        <item x="297"/>
        <item x="298"/>
        <item x="299"/>
        <item x="300"/>
        <item x="301"/>
        <item x="302"/>
        <item x="303"/>
        <item x="354"/>
        <item x="304"/>
        <item x="305"/>
        <item x="306"/>
        <item x="307"/>
        <item x="308"/>
        <item x="309"/>
        <item x="310"/>
        <item x="311"/>
        <item x="312"/>
        <item x="313"/>
        <item x="314"/>
        <item x="315"/>
        <item x="316"/>
        <item x="317"/>
        <item x="318"/>
        <item x="319"/>
        <item x="320"/>
        <item x="321"/>
        <item x="322"/>
        <item x="323"/>
        <item x="325"/>
        <item x="326"/>
        <item x="327"/>
        <item x="328"/>
        <item x="329"/>
        <item x="330"/>
        <item x="331"/>
        <item x="332"/>
        <item x="333"/>
        <item x="334"/>
        <item x="335"/>
        <item x="336"/>
        <item x="337"/>
        <item x="338"/>
        <item x="339"/>
        <item x="340"/>
        <item x="341"/>
        <item x="342"/>
        <item x="343"/>
        <item x="273"/>
        <item x="344"/>
        <item x="345"/>
        <item x="346"/>
        <item x="347"/>
        <item x="348"/>
        <item x="349"/>
        <item x="350"/>
        <item x="351"/>
        <item x="35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Col" compact="0" outline="0" showAll="0" defaultSubtotal="0">
      <items count="202">
        <item x="0"/>
        <item x="1"/>
        <item x="2"/>
        <item x="3"/>
        <item x="4"/>
        <item x="5"/>
        <item x="6"/>
        <item x="7"/>
        <item x="8"/>
        <item x="9"/>
        <item x="10"/>
        <item x="11"/>
        <item x="12"/>
        <item x="13"/>
        <item x="14"/>
        <item x="15"/>
        <item x="16"/>
        <item x="17"/>
        <item x="18"/>
        <item x="19"/>
        <item x="21"/>
        <item x="22"/>
        <item x="23"/>
        <item x="24"/>
        <item x="25"/>
        <item x="26"/>
        <item x="27"/>
        <item x="28"/>
        <item x="29"/>
        <item x="30"/>
        <item x="31"/>
        <item x="32"/>
        <item x="33"/>
        <item x="34"/>
        <item x="35"/>
        <item x="36"/>
        <item x="37"/>
        <item x="38"/>
        <item x="39"/>
        <item x="40"/>
        <item x="41"/>
        <item x="42"/>
        <item x="20"/>
        <item x="43"/>
        <item x="44"/>
        <item x="45"/>
        <item x="46"/>
        <item x="47"/>
        <item x="48"/>
        <item x="49"/>
        <item m="1" x="201"/>
        <item x="50"/>
        <item x="51"/>
        <item x="52"/>
        <item x="53"/>
        <item x="54"/>
        <item x="55"/>
        <item x="56"/>
        <item x="57"/>
        <item x="58"/>
        <item x="59"/>
        <item x="60"/>
        <item x="61"/>
        <item x="62"/>
        <item x="63"/>
        <item x="64"/>
        <item x="65"/>
        <item x="66"/>
        <item x="67"/>
        <item x="68"/>
        <item x="69"/>
        <item x="70"/>
        <item x="71"/>
        <item x="72"/>
        <item x="73"/>
        <item x="74"/>
        <item x="76"/>
        <item x="77"/>
        <item x="78"/>
        <item x="79"/>
        <item x="80"/>
        <item x="81"/>
        <item x="82"/>
        <item x="83"/>
        <item x="84"/>
        <item x="85"/>
        <item x="86"/>
        <item x="87"/>
        <item x="88"/>
        <item x="89"/>
        <item x="90"/>
        <item x="91"/>
        <item x="92"/>
        <item x="93"/>
        <item x="94"/>
        <item x="95"/>
        <item x="96"/>
        <item x="97"/>
        <item x="98"/>
        <item x="99"/>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00"/>
        <item x="135"/>
        <item x="136"/>
        <item x="166"/>
        <item x="137"/>
        <item x="138"/>
        <item x="139"/>
        <item x="140"/>
        <item x="141"/>
        <item x="142"/>
        <item x="143"/>
        <item x="144"/>
        <item x="145"/>
        <item x="146"/>
        <item x="147"/>
        <item x="148"/>
        <item x="149"/>
        <item x="150"/>
        <item x="151"/>
        <item x="152"/>
        <item x="163"/>
        <item x="154"/>
        <item x="155"/>
        <item x="156"/>
        <item x="157"/>
        <item x="158"/>
        <item x="159"/>
        <item x="160"/>
        <item x="161"/>
        <item x="162"/>
        <item x="165"/>
        <item x="174"/>
        <item x="167"/>
        <item x="168"/>
        <item x="75"/>
        <item x="164"/>
        <item x="169"/>
        <item x="170"/>
        <item x="171"/>
        <item x="172"/>
        <item x="173"/>
        <item m="1" x="200"/>
        <item x="176"/>
        <item x="177"/>
        <item x="178"/>
        <item x="179"/>
        <item x="180"/>
        <item x="181"/>
        <item x="182"/>
        <item x="183"/>
        <item x="184"/>
        <item x="185"/>
        <item x="186"/>
        <item x="187"/>
        <item x="188"/>
        <item x="189"/>
        <item x="153"/>
        <item x="175"/>
        <item x="190"/>
        <item x="191"/>
        <item x="192"/>
        <item x="193"/>
        <item x="194"/>
        <item x="195"/>
        <item x="196"/>
        <item x="197"/>
        <item x="198"/>
        <item x="199"/>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365">
        <item x="107"/>
        <item x="11"/>
        <item x="59"/>
        <item x="115"/>
        <item x="190"/>
        <item x="10"/>
        <item x="2"/>
        <item x="186"/>
        <item x="189"/>
        <item x="195"/>
        <item x="3"/>
        <item x="178"/>
        <item x="227"/>
        <item x="188"/>
        <item x="104"/>
        <item x="182"/>
        <item x="14"/>
        <item x="4"/>
        <item x="35"/>
        <item x="137"/>
        <item x="98"/>
        <item x="62"/>
        <item x="9"/>
        <item x="163"/>
        <item x="0"/>
        <item x="88"/>
        <item x="185"/>
        <item x="184"/>
        <item x="24"/>
        <item x="215"/>
        <item x="187"/>
        <item x="68"/>
        <item x="159"/>
        <item x="83"/>
        <item x="103"/>
        <item x="174"/>
        <item x="108"/>
        <item x="15"/>
        <item x="120"/>
        <item x="49"/>
        <item x="222"/>
        <item x="105"/>
        <item x="179"/>
        <item x="223"/>
        <item x="77"/>
        <item x="172"/>
        <item x="106"/>
        <item x="198"/>
        <item x="7"/>
        <item x="8"/>
        <item x="173"/>
        <item x="134"/>
        <item x="237"/>
        <item x="125"/>
        <item x="17"/>
        <item x="18"/>
        <item x="113"/>
        <item x="143"/>
        <item x="110"/>
        <item x="214"/>
        <item x="67"/>
        <item x="89"/>
        <item x="196"/>
        <item x="164"/>
        <item x="202"/>
        <item x="155"/>
        <item x="25"/>
        <item x="197"/>
        <item x="136"/>
        <item x="5"/>
        <item x="207"/>
        <item x="63"/>
        <item x="71"/>
        <item x="53"/>
        <item x="1"/>
        <item x="64"/>
        <item x="235"/>
        <item x="193"/>
        <item x="181"/>
        <item x="95"/>
        <item x="34"/>
        <item x="22"/>
        <item x="111"/>
        <item x="50"/>
        <item x="42"/>
        <item x="74"/>
        <item x="135"/>
        <item x="129"/>
        <item m="1" x="358"/>
        <item x="226"/>
        <item x="56"/>
        <item x="80"/>
        <item x="46"/>
        <item x="169"/>
        <item x="124"/>
        <item x="117"/>
        <item x="94"/>
        <item x="51"/>
        <item x="128"/>
        <item x="212"/>
        <item x="199"/>
        <item x="6"/>
        <item x="191"/>
        <item x="118"/>
        <item m="1" x="360"/>
        <item x="90"/>
        <item x="205"/>
        <item x="152"/>
        <item x="229"/>
        <item x="201"/>
        <item x="127"/>
        <item x="220"/>
        <item x="176"/>
        <item x="221"/>
        <item x="132"/>
        <item m="1" x="362"/>
        <item x="238"/>
        <item x="54"/>
        <item x="139"/>
        <item x="102"/>
        <item x="133"/>
        <item x="160"/>
        <item x="157"/>
        <item x="39"/>
        <item x="211"/>
        <item x="131"/>
        <item x="170"/>
        <item m="1" x="356"/>
        <item m="1" x="355"/>
        <item x="96"/>
        <item x="36"/>
        <item x="156"/>
        <item x="158"/>
        <item m="1" x="359"/>
        <item x="21"/>
        <item x="65"/>
        <item x="100"/>
        <item x="41"/>
        <item x="38"/>
        <item x="209"/>
        <item x="224"/>
        <item x="47"/>
        <item x="81"/>
        <item x="97"/>
        <item x="232"/>
        <item x="141"/>
        <item x="19"/>
        <item x="161"/>
        <item x="171"/>
        <item x="231"/>
        <item x="66"/>
        <item x="112"/>
        <item x="48"/>
        <item x="16"/>
        <item x="12"/>
        <item x="200"/>
        <item x="234"/>
        <item x="192"/>
        <item x="216"/>
        <item x="116"/>
        <item m="1" x="357"/>
        <item m="1" x="353"/>
        <item x="109"/>
        <item x="228"/>
        <item x="40"/>
        <item x="122"/>
        <item x="225"/>
        <item x="233"/>
        <item x="75"/>
        <item x="210"/>
        <item x="203"/>
        <item x="76"/>
        <item x="114"/>
        <item x="217"/>
        <item x="180"/>
        <item x="52"/>
        <item x="177"/>
        <item x="168"/>
        <item x="92"/>
        <item x="57"/>
        <item x="153"/>
        <item x="204"/>
        <item x="148"/>
        <item x="147"/>
        <item x="144"/>
        <item x="142"/>
        <item x="123"/>
        <item x="91"/>
        <item x="162"/>
        <item x="145"/>
        <item x="236"/>
        <item x="166"/>
        <item x="150"/>
        <item x="58"/>
        <item x="151"/>
        <item x="183"/>
        <item x="239"/>
        <item x="230"/>
        <item x="138"/>
        <item x="206"/>
        <item x="167"/>
        <item x="208"/>
        <item x="149"/>
        <item x="121"/>
        <item x="219"/>
        <item x="146"/>
        <item m="1" x="361"/>
        <item m="1" x="363"/>
        <item m="1" x="364"/>
        <item x="23"/>
        <item x="13"/>
        <item x="20"/>
        <item x="26"/>
        <item x="27"/>
        <item x="28"/>
        <item x="29"/>
        <item x="30"/>
        <item x="31"/>
        <item x="32"/>
        <item x="33"/>
        <item x="37"/>
        <item x="43"/>
        <item x="44"/>
        <item x="45"/>
        <item x="55"/>
        <item x="60"/>
        <item x="61"/>
        <item x="69"/>
        <item x="70"/>
        <item x="72"/>
        <item x="73"/>
        <item x="78"/>
        <item x="79"/>
        <item x="82"/>
        <item x="84"/>
        <item x="85"/>
        <item x="86"/>
        <item x="87"/>
        <item x="93"/>
        <item x="99"/>
        <item x="101"/>
        <item x="119"/>
        <item x="287"/>
        <item x="130"/>
        <item x="140"/>
        <item x="154"/>
        <item x="165"/>
        <item x="175"/>
        <item x="213"/>
        <item x="218"/>
        <item x="240"/>
        <item x="241"/>
        <item x="242"/>
        <item x="243"/>
        <item x="244"/>
        <item x="245"/>
        <item x="246"/>
        <item x="247"/>
        <item x="248"/>
        <item x="249"/>
        <item x="250"/>
        <item x="251"/>
        <item x="252"/>
        <item x="253"/>
        <item x="254"/>
        <item x="255"/>
        <item x="256"/>
        <item x="257"/>
        <item x="258"/>
        <item x="259"/>
        <item x="260"/>
        <item x="261"/>
        <item x="262"/>
        <item x="263"/>
        <item x="264"/>
        <item x="265"/>
        <item x="286"/>
        <item x="267"/>
        <item x="268"/>
        <item x="269"/>
        <item x="270"/>
        <item x="271"/>
        <item x="272"/>
        <item x="273"/>
        <item x="274"/>
        <item x="275"/>
        <item x="276"/>
        <item x="277"/>
        <item x="278"/>
        <item x="279"/>
        <item x="280"/>
        <item x="281"/>
        <item x="282"/>
        <item x="283"/>
        <item x="284"/>
        <item x="285"/>
        <item x="288"/>
        <item x="289"/>
        <item x="290"/>
        <item x="291"/>
        <item x="320"/>
        <item m="1" x="354"/>
        <item x="292"/>
        <item x="293"/>
        <item x="294"/>
        <item x="295"/>
        <item x="296"/>
        <item x="194"/>
        <item x="297"/>
        <item x="298"/>
        <item x="299"/>
        <item x="352"/>
        <item x="300"/>
        <item x="301"/>
        <item x="302"/>
        <item x="126"/>
        <item x="303"/>
        <item x="304"/>
        <item x="305"/>
        <item x="306"/>
        <item x="307"/>
        <item x="308"/>
        <item x="309"/>
        <item x="310"/>
        <item x="311"/>
        <item x="312"/>
        <item x="313"/>
        <item x="315"/>
        <item x="316"/>
        <item x="317"/>
        <item x="318"/>
        <item x="319"/>
        <item x="321"/>
        <item x="322"/>
        <item x="323"/>
        <item x="324"/>
        <item x="325"/>
        <item x="326"/>
        <item x="327"/>
        <item x="328"/>
        <item x="329"/>
        <item x="330"/>
        <item x="331"/>
        <item x="332"/>
        <item x="333"/>
        <item x="334"/>
        <item x="335"/>
        <item x="336"/>
        <item x="337"/>
        <item x="338"/>
        <item x="339"/>
        <item x="340"/>
        <item x="266"/>
        <item x="314"/>
        <item x="341"/>
        <item x="342"/>
        <item x="343"/>
        <item x="344"/>
        <item x="345"/>
        <item x="346"/>
        <item x="347"/>
        <item x="348"/>
        <item x="349"/>
        <item x="350"/>
        <item x="35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Page" compact="0" outline="0" multipleItemSelectionAllowed="1" showAll="0" defaultSubtotal="0">
      <items count="36">
        <item h="1" x="9"/>
        <item h="1" x="7"/>
        <item h="1" x="15"/>
        <item h="1" x="13"/>
        <item h="1" x="16"/>
        <item h="1" x="6"/>
        <item h="1" x="10"/>
        <item x="11"/>
        <item h="1" x="0"/>
        <item h="1" x="4"/>
        <item h="1" x="5"/>
        <item h="1" x="8"/>
        <item h="1" x="20"/>
        <item h="1" x="14"/>
        <item h="1" x="1"/>
        <item h="1" x="12"/>
        <item h="1" x="21"/>
        <item h="1" x="2"/>
        <item h="1" x="19"/>
        <item h="1" x="17"/>
        <item h="1" x="3"/>
        <item h="1" x="18"/>
        <item h="1" x="28"/>
        <item h="1" x="22"/>
        <item h="1" x="23"/>
        <item h="1" x="24"/>
        <item h="1" x="25"/>
        <item h="1" m="1" x="35"/>
        <item h="1" x="26"/>
        <item h="1" x="27"/>
        <item h="1" x="32"/>
        <item h="1" x="29"/>
        <item h="1" x="30"/>
        <item h="1" x="31"/>
        <item h="1" x="33"/>
        <item h="1" x="34"/>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75">
        <item x="35"/>
        <item x="29"/>
        <item x="21"/>
        <item x="47"/>
        <item x="27"/>
        <item x="32"/>
        <item x="5"/>
        <item x="51"/>
        <item x="26"/>
        <item x="49"/>
        <item x="46"/>
        <item x="28"/>
        <item x="41"/>
        <item x="14"/>
        <item x="60"/>
        <item x="58"/>
        <item x="53"/>
        <item x="8"/>
        <item x="17"/>
        <item x="50"/>
        <item x="2"/>
        <item x="52"/>
        <item x="55"/>
        <item x="0"/>
        <item x="48"/>
        <item x="3"/>
        <item m="1" x="74"/>
        <item x="38"/>
        <item x="39"/>
        <item x="10"/>
        <item x="4"/>
        <item x="12"/>
        <item x="15"/>
        <item x="20"/>
        <item x="22"/>
        <item x="33"/>
        <item x="34"/>
        <item x="36"/>
        <item x="37"/>
        <item x="42"/>
        <item x="43"/>
        <item x="44"/>
        <item x="40"/>
        <item x="54"/>
        <item x="62"/>
        <item x="63"/>
        <item x="67"/>
        <item m="1" x="73"/>
        <item x="70"/>
        <item x="24"/>
        <item x="25"/>
        <item x="31"/>
        <item x="61"/>
        <item x="30"/>
        <item x="45"/>
        <item x="1"/>
        <item x="16"/>
        <item x="18"/>
        <item x="23"/>
        <item x="13"/>
        <item x="56"/>
        <item x="57"/>
        <item x="64"/>
        <item x="65"/>
        <item x="66"/>
        <item x="69"/>
        <item x="71"/>
        <item x="72"/>
        <item x="6"/>
        <item x="7"/>
        <item x="9"/>
        <item x="11"/>
        <item x="19"/>
        <item x="59"/>
        <item x="68"/>
      </items>
    </pivotField>
    <pivotField compact="0" outline="0" showAll="0" defaultSubtotal="0"/>
    <pivotField compact="0" outline="0" showAll="0" defaultSubtotal="0"/>
    <pivotField compact="0" outline="0" showAll="0" defaultSubtotal="0"/>
    <pivotField axis="axisPage" compact="0" outline="0" showAll="0" defaultSubtotal="0">
      <items count="5">
        <item x="3"/>
        <item x="0"/>
        <item x="1"/>
        <item m="1" x="4"/>
        <item x="2"/>
      </items>
    </pivotField>
    <pivotField compact="0" outline="0" showAll="0" defaultSubtotal="0"/>
    <pivotField compact="0" outline="0" subtotalTop="0" showAll="0" defaultSubtotal="0"/>
    <pivotField axis="axisCol" compact="0" outline="0" showAll="0" defaultSubtotal="0">
      <items count="14">
        <item sd="0" x="0"/>
        <item sd="0" x="1"/>
        <item sd="0" x="2"/>
        <item sd="0" x="3"/>
        <item sd="0" x="4"/>
        <item sd="0" x="5"/>
        <item sd="0" x="6"/>
        <item sd="0" x="7"/>
        <item sd="0" x="8"/>
        <item sd="0" x="9"/>
        <item sd="0" x="10"/>
        <item sd="0" x="11"/>
        <item sd="0" x="12"/>
        <item sd="0" x="13"/>
      </items>
    </pivotField>
    <pivotField compact="0" outline="0" showAll="0" defaultSubtotal="0">
      <items count="6">
        <item sd="0" x="1"/>
        <item sd="0" x="2"/>
        <item sd="0" x="3"/>
        <item sd="0" x="4"/>
        <item x="0"/>
        <item x="5"/>
      </items>
    </pivotField>
    <pivotField compact="0" outline="0" showAll="0" defaultSubtotal="0">
      <items count="54">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x="1"/>
        <item x="2"/>
        <item x="3"/>
        <item x="4"/>
        <item x="5"/>
        <item x="6"/>
        <item x="7"/>
        <item x="8"/>
        <item x="9"/>
        <item x="10"/>
        <item x="11"/>
        <item x="12"/>
        <item x="13"/>
        <item x="14"/>
        <item x="15"/>
        <item x="16"/>
        <item x="17"/>
        <item x="18"/>
        <item x="19"/>
        <item x="20"/>
        <item x="21"/>
        <item x="22"/>
        <item x="23"/>
        <item x="24"/>
        <item x="25"/>
        <item x="26"/>
        <item x="27"/>
        <item x="0"/>
        <item x="53"/>
      </items>
    </pivotField>
    <pivotField compact="0" outline="0" subtotalTop="0" showAll="0" defaultSubtotal="0">
      <items count="14">
        <item x="0"/>
        <item x="1"/>
        <item x="2"/>
        <item x="3"/>
        <item x="4"/>
        <item x="5"/>
        <item x="6"/>
        <item x="7"/>
        <item x="8"/>
        <item x="9"/>
        <item x="10"/>
        <item x="11"/>
        <item x="12"/>
        <item x="13"/>
      </items>
    </pivotField>
    <pivotField compact="0" outline="0" subtotalTop="0" showAll="0" defaultSubtotal="0">
      <items count="6">
        <item x="1"/>
        <item x="2"/>
        <item x="3"/>
        <item x="4"/>
        <item x="0"/>
        <item x="5"/>
      </items>
    </pivotField>
    <pivotField compact="0" outline="0" subtotalTop="0" showAll="0" defaultSubtotal="0">
      <items count="62">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0"/>
        <item x="61"/>
      </items>
    </pivotField>
    <pivotField compact="0" outline="0" subtotalTop="0" showAll="0" defaultSubtotal="0">
      <items count="14">
        <item x="0"/>
        <item x="1"/>
        <item x="2"/>
        <item x="3"/>
        <item x="4"/>
        <item x="5"/>
        <item x="6"/>
        <item x="7"/>
        <item x="8"/>
        <item x="9"/>
        <item x="10"/>
        <item x="11"/>
        <item x="12"/>
        <item x="13"/>
      </items>
    </pivotField>
    <pivotField compact="0" outline="0" subtotalTop="0" showAll="0" defaultSubtotal="0">
      <items count="6">
        <item x="1"/>
        <item x="2"/>
        <item x="3"/>
        <item x="4"/>
        <item x="0"/>
        <item x="5"/>
      </items>
    </pivotField>
    <pivotField compact="0" outline="0" subtotalTop="0" showAll="0" defaultSubtotal="0">
      <items count="4">
        <item x="1"/>
        <item x="2"/>
        <item x="0"/>
        <item x="3"/>
      </items>
    </pivotField>
  </pivotFields>
  <rowFields count="1">
    <field x="1"/>
  </rowFields>
  <colFields count="2">
    <field x="48"/>
    <field x="7"/>
  </colFields>
  <pageFields count="2">
    <pageField fld="30" hier="-1"/>
    <pageField fld="45" item="1" hier="-1"/>
  </pageFields>
  <pivotTableStyleInfo name="PivotStyleLight16" showRowHeaders="1" showColHeaders="1" showRowStripes="0" showColStripes="0" showLastColumn="1"/>
  <filters count="1">
    <filter fld="7" type="M3" evalOrder="-1" id="3">
      <autoFilter ref="A1">
        <filterColumn colId="0">
          <dynamicFilter type="M3"/>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ED24081-6F0E-4A7D-962F-FA881AEA0A6D}" name="TablaDinámica19"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178">
  <location ref="V7:W15" firstHeaderRow="1" firstDataRow="1" firstDataCol="1" rowPageCount="2" colPageCount="1"/>
  <pivotFields count="57">
    <pivotField showAll="0"/>
    <pivotField dataField="1" showAll="0"/>
    <pivotField showAll="0"/>
    <pivotField showAll="0"/>
    <pivotField showAll="0"/>
    <pivotField showAll="0"/>
    <pivotField showAll="0"/>
    <pivotField showAll="0">
      <items count="203">
        <item x="0"/>
        <item x="1"/>
        <item x="2"/>
        <item x="3"/>
        <item x="4"/>
        <item x="5"/>
        <item x="6"/>
        <item x="7"/>
        <item x="8"/>
        <item x="9"/>
        <item x="10"/>
        <item x="11"/>
        <item x="12"/>
        <item x="13"/>
        <item x="14"/>
        <item x="15"/>
        <item x="16"/>
        <item x="17"/>
        <item x="18"/>
        <item x="19"/>
        <item x="21"/>
        <item x="22"/>
        <item x="23"/>
        <item x="24"/>
        <item x="25"/>
        <item x="26"/>
        <item x="27"/>
        <item x="28"/>
        <item x="29"/>
        <item x="30"/>
        <item x="31"/>
        <item x="32"/>
        <item x="33"/>
        <item x="34"/>
        <item x="35"/>
        <item x="36"/>
        <item x="37"/>
        <item x="38"/>
        <item x="39"/>
        <item x="40"/>
        <item x="41"/>
        <item x="42"/>
        <item x="20"/>
        <item x="43"/>
        <item x="44"/>
        <item x="45"/>
        <item x="46"/>
        <item x="47"/>
        <item x="48"/>
        <item x="49"/>
        <item m="1" x="201"/>
        <item x="50"/>
        <item x="51"/>
        <item x="52"/>
        <item x="53"/>
        <item x="54"/>
        <item x="55"/>
        <item x="56"/>
        <item x="57"/>
        <item x="58"/>
        <item x="59"/>
        <item x="60"/>
        <item x="61"/>
        <item x="62"/>
        <item x="63"/>
        <item x="64"/>
        <item x="65"/>
        <item x="66"/>
        <item x="67"/>
        <item x="68"/>
        <item x="69"/>
        <item x="70"/>
        <item x="71"/>
        <item x="72"/>
        <item x="73"/>
        <item x="74"/>
        <item x="76"/>
        <item x="77"/>
        <item x="78"/>
        <item x="79"/>
        <item x="80"/>
        <item x="81"/>
        <item x="82"/>
        <item x="83"/>
        <item x="84"/>
        <item x="85"/>
        <item x="86"/>
        <item x="87"/>
        <item x="88"/>
        <item x="89"/>
        <item x="90"/>
        <item x="91"/>
        <item x="92"/>
        <item x="93"/>
        <item x="94"/>
        <item x="95"/>
        <item x="96"/>
        <item x="97"/>
        <item x="98"/>
        <item x="99"/>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00"/>
        <item x="135"/>
        <item x="136"/>
        <item x="166"/>
        <item x="137"/>
        <item x="138"/>
        <item x="139"/>
        <item x="140"/>
        <item x="141"/>
        <item x="142"/>
        <item x="143"/>
        <item x="144"/>
        <item x="145"/>
        <item x="146"/>
        <item x="147"/>
        <item x="148"/>
        <item x="149"/>
        <item x="150"/>
        <item x="151"/>
        <item x="152"/>
        <item x="163"/>
        <item x="154"/>
        <item x="155"/>
        <item x="156"/>
        <item x="157"/>
        <item x="158"/>
        <item x="159"/>
        <item x="160"/>
        <item x="161"/>
        <item x="162"/>
        <item x="165"/>
        <item x="174"/>
        <item x="167"/>
        <item x="168"/>
        <item x="75"/>
        <item x="164"/>
        <item x="169"/>
        <item x="170"/>
        <item x="171"/>
        <item x="172"/>
        <item x="173"/>
        <item m="1" x="200"/>
        <item x="176"/>
        <item x="177"/>
        <item x="178"/>
        <item x="179"/>
        <item x="180"/>
        <item x="181"/>
        <item x="182"/>
        <item x="183"/>
        <item x="184"/>
        <item x="185"/>
        <item x="186"/>
        <item x="187"/>
        <item x="188"/>
        <item x="189"/>
        <item x="153"/>
        <item x="175"/>
        <item x="190"/>
        <item x="191"/>
        <item x="192"/>
        <item x="193"/>
        <item x="194"/>
        <item x="195"/>
        <item x="196"/>
        <item x="197"/>
        <item x="198"/>
        <item x="199"/>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items count="366">
        <item x="107"/>
        <item x="11"/>
        <item x="59"/>
        <item x="115"/>
        <item x="190"/>
        <item x="10"/>
        <item x="2"/>
        <item x="186"/>
        <item x="189"/>
        <item x="195"/>
        <item x="3"/>
        <item x="178"/>
        <item x="227"/>
        <item x="188"/>
        <item x="104"/>
        <item x="182"/>
        <item x="14"/>
        <item x="4"/>
        <item x="35"/>
        <item x="137"/>
        <item x="98"/>
        <item x="62"/>
        <item x="9"/>
        <item x="163"/>
        <item x="0"/>
        <item x="88"/>
        <item x="185"/>
        <item x="184"/>
        <item x="24"/>
        <item x="215"/>
        <item x="187"/>
        <item x="68"/>
        <item x="159"/>
        <item x="83"/>
        <item x="103"/>
        <item x="174"/>
        <item x="108"/>
        <item x="15"/>
        <item x="120"/>
        <item x="49"/>
        <item x="222"/>
        <item x="105"/>
        <item x="179"/>
        <item x="223"/>
        <item x="77"/>
        <item x="172"/>
        <item x="106"/>
        <item x="198"/>
        <item x="7"/>
        <item x="8"/>
        <item x="173"/>
        <item x="134"/>
        <item x="237"/>
        <item x="125"/>
        <item x="17"/>
        <item x="18"/>
        <item x="113"/>
        <item x="143"/>
        <item x="110"/>
        <item x="214"/>
        <item x="67"/>
        <item x="89"/>
        <item x="196"/>
        <item x="164"/>
        <item x="202"/>
        <item x="155"/>
        <item x="25"/>
        <item x="197"/>
        <item x="136"/>
        <item x="5"/>
        <item x="207"/>
        <item x="63"/>
        <item x="71"/>
        <item x="53"/>
        <item x="1"/>
        <item x="64"/>
        <item x="235"/>
        <item x="193"/>
        <item x="181"/>
        <item x="95"/>
        <item x="34"/>
        <item x="22"/>
        <item x="111"/>
        <item x="50"/>
        <item x="42"/>
        <item x="74"/>
        <item x="135"/>
        <item x="129"/>
        <item m="1" x="358"/>
        <item x="226"/>
        <item x="56"/>
        <item x="80"/>
        <item x="46"/>
        <item x="169"/>
        <item x="124"/>
        <item x="117"/>
        <item x="94"/>
        <item x="51"/>
        <item x="128"/>
        <item x="212"/>
        <item x="199"/>
        <item x="6"/>
        <item x="191"/>
        <item x="118"/>
        <item m="1" x="360"/>
        <item x="90"/>
        <item x="205"/>
        <item x="152"/>
        <item x="229"/>
        <item x="201"/>
        <item x="127"/>
        <item x="220"/>
        <item x="176"/>
        <item x="221"/>
        <item x="132"/>
        <item m="1" x="362"/>
        <item x="238"/>
        <item x="54"/>
        <item x="139"/>
        <item x="102"/>
        <item x="133"/>
        <item x="160"/>
        <item x="157"/>
        <item x="39"/>
        <item x="211"/>
        <item x="131"/>
        <item x="170"/>
        <item m="1" x="356"/>
        <item m="1" x="355"/>
        <item x="96"/>
        <item x="36"/>
        <item x="156"/>
        <item x="158"/>
        <item m="1" x="359"/>
        <item x="21"/>
        <item x="65"/>
        <item x="100"/>
        <item x="41"/>
        <item x="38"/>
        <item x="209"/>
        <item x="224"/>
        <item x="47"/>
        <item x="81"/>
        <item x="97"/>
        <item x="232"/>
        <item x="141"/>
        <item x="19"/>
        <item x="161"/>
        <item x="171"/>
        <item x="231"/>
        <item x="66"/>
        <item x="112"/>
        <item x="48"/>
        <item x="16"/>
        <item x="12"/>
        <item x="200"/>
        <item x="234"/>
        <item x="192"/>
        <item x="216"/>
        <item x="116"/>
        <item m="1" x="357"/>
        <item m="1" x="353"/>
        <item x="109"/>
        <item x="228"/>
        <item x="40"/>
        <item x="122"/>
        <item x="225"/>
        <item x="233"/>
        <item x="75"/>
        <item x="210"/>
        <item x="203"/>
        <item x="76"/>
        <item x="114"/>
        <item x="217"/>
        <item x="180"/>
        <item x="52"/>
        <item x="177"/>
        <item x="168"/>
        <item x="92"/>
        <item x="57"/>
        <item x="153"/>
        <item x="204"/>
        <item x="148"/>
        <item x="147"/>
        <item x="144"/>
        <item x="142"/>
        <item x="123"/>
        <item x="91"/>
        <item x="162"/>
        <item x="145"/>
        <item x="236"/>
        <item x="166"/>
        <item x="150"/>
        <item x="58"/>
        <item x="151"/>
        <item x="183"/>
        <item x="239"/>
        <item x="230"/>
        <item x="138"/>
        <item x="206"/>
        <item x="167"/>
        <item x="208"/>
        <item x="149"/>
        <item x="121"/>
        <item x="219"/>
        <item x="146"/>
        <item m="1" x="361"/>
        <item m="1" x="363"/>
        <item m="1" x="364"/>
        <item x="23"/>
        <item x="13"/>
        <item x="20"/>
        <item x="26"/>
        <item x="27"/>
        <item x="28"/>
        <item x="29"/>
        <item x="30"/>
        <item x="31"/>
        <item x="32"/>
        <item x="33"/>
        <item x="37"/>
        <item x="43"/>
        <item x="44"/>
        <item x="45"/>
        <item x="55"/>
        <item x="60"/>
        <item x="61"/>
        <item x="69"/>
        <item x="70"/>
        <item x="72"/>
        <item x="73"/>
        <item x="78"/>
        <item x="79"/>
        <item x="82"/>
        <item x="84"/>
        <item x="85"/>
        <item x="86"/>
        <item x="87"/>
        <item x="93"/>
        <item x="99"/>
        <item x="101"/>
        <item x="119"/>
        <item x="287"/>
        <item x="130"/>
        <item x="140"/>
        <item x="154"/>
        <item x="165"/>
        <item x="175"/>
        <item x="213"/>
        <item x="218"/>
        <item x="240"/>
        <item x="241"/>
        <item x="242"/>
        <item x="243"/>
        <item x="244"/>
        <item x="245"/>
        <item x="246"/>
        <item x="247"/>
        <item x="248"/>
        <item x="249"/>
        <item x="250"/>
        <item x="251"/>
        <item x="252"/>
        <item x="253"/>
        <item x="254"/>
        <item x="255"/>
        <item x="256"/>
        <item x="257"/>
        <item x="258"/>
        <item x="259"/>
        <item x="260"/>
        <item x="261"/>
        <item x="262"/>
        <item x="263"/>
        <item x="264"/>
        <item x="265"/>
        <item x="286"/>
        <item x="267"/>
        <item x="268"/>
        <item x="269"/>
        <item x="270"/>
        <item x="271"/>
        <item x="272"/>
        <item x="273"/>
        <item x="274"/>
        <item x="275"/>
        <item x="276"/>
        <item x="277"/>
        <item x="278"/>
        <item x="279"/>
        <item x="280"/>
        <item x="281"/>
        <item x="282"/>
        <item x="283"/>
        <item x="284"/>
        <item x="285"/>
        <item x="288"/>
        <item x="289"/>
        <item x="290"/>
        <item x="291"/>
        <item x="320"/>
        <item m="1" x="354"/>
        <item x="292"/>
        <item x="293"/>
        <item x="294"/>
        <item x="295"/>
        <item x="296"/>
        <item x="194"/>
        <item x="297"/>
        <item x="298"/>
        <item x="299"/>
        <item x="352"/>
        <item x="300"/>
        <item x="301"/>
        <item x="302"/>
        <item x="126"/>
        <item x="303"/>
        <item x="304"/>
        <item x="305"/>
        <item x="306"/>
        <item x="307"/>
        <item x="308"/>
        <item x="309"/>
        <item x="310"/>
        <item x="311"/>
        <item x="312"/>
        <item x="313"/>
        <item x="315"/>
        <item x="316"/>
        <item x="317"/>
        <item x="318"/>
        <item x="319"/>
        <item x="321"/>
        <item x="322"/>
        <item x="323"/>
        <item x="324"/>
        <item x="325"/>
        <item x="326"/>
        <item x="327"/>
        <item x="328"/>
        <item x="329"/>
        <item x="330"/>
        <item x="331"/>
        <item x="332"/>
        <item x="333"/>
        <item x="334"/>
        <item x="335"/>
        <item x="336"/>
        <item x="337"/>
        <item x="338"/>
        <item x="339"/>
        <item x="340"/>
        <item x="266"/>
        <item x="314"/>
        <item x="341"/>
        <item x="342"/>
        <item x="343"/>
        <item x="344"/>
        <item x="345"/>
        <item x="346"/>
        <item x="347"/>
        <item x="348"/>
        <item x="349"/>
        <item x="350"/>
        <item x="351"/>
        <item t="default"/>
      </items>
    </pivotField>
    <pivotField showAll="0"/>
    <pivotField showAll="0"/>
    <pivotField showAll="0"/>
    <pivotField showAll="0"/>
    <pivotField axis="axisRow" showAll="0" measureFilter="1">
      <items count="152">
        <item x="82"/>
        <item x="46"/>
        <item x="22"/>
        <item m="1" x="144"/>
        <item x="28"/>
        <item m="1" x="145"/>
        <item x="65"/>
        <item x="64"/>
        <item x="52"/>
        <item x="67"/>
        <item x="89"/>
        <item x="81"/>
        <item x="95"/>
        <item m="1" x="146"/>
        <item x="31"/>
        <item m="1" x="147"/>
        <item x="44"/>
        <item x="19"/>
        <item x="23"/>
        <item x="61"/>
        <item x="83"/>
        <item x="39"/>
        <item x="35"/>
        <item x="51"/>
        <item x="56"/>
        <item x="88"/>
        <item x="84"/>
        <item x="3"/>
        <item m="1" x="148"/>
        <item x="4"/>
        <item x="20"/>
        <item x="14"/>
        <item x="10"/>
        <item x="45"/>
        <item x="43"/>
        <item x="18"/>
        <item x="53"/>
        <item x="21"/>
        <item x="40"/>
        <item x="60"/>
        <item x="78"/>
        <item x="15"/>
        <item x="26"/>
        <item x="16"/>
        <item x="49"/>
        <item x="41"/>
        <item x="72"/>
        <item x="9"/>
        <item x="11"/>
        <item x="0"/>
        <item x="27"/>
        <item x="32"/>
        <item x="37"/>
        <item x="86"/>
        <item m="1" x="149"/>
        <item x="8"/>
        <item x="57"/>
        <item x="59"/>
        <item x="25"/>
        <item x="1"/>
        <item x="30"/>
        <item x="94"/>
        <item m="1" x="142"/>
        <item x="29"/>
        <item x="47"/>
        <item x="69"/>
        <item x="17"/>
        <item x="2"/>
        <item x="76"/>
        <item x="77"/>
        <item x="90"/>
        <item x="93"/>
        <item x="6"/>
        <item x="79"/>
        <item x="55"/>
        <item x="42"/>
        <item x="34"/>
        <item m="1" x="150"/>
        <item x="71"/>
        <item x="58"/>
        <item x="92"/>
        <item x="87"/>
        <item x="48"/>
        <item x="5"/>
        <item x="63"/>
        <item x="50"/>
        <item x="33"/>
        <item x="62"/>
        <item x="13"/>
        <item x="74"/>
        <item x="80"/>
        <item x="91"/>
        <item x="7"/>
        <item x="24"/>
        <item x="85"/>
        <item x="70"/>
        <item x="68"/>
        <item x="73"/>
        <item x="75"/>
        <item x="36"/>
        <item x="38"/>
        <item x="66"/>
        <item x="12"/>
        <item x="96"/>
        <item x="97"/>
        <item x="98"/>
        <item x="99"/>
        <item x="100"/>
        <item x="101"/>
        <item x="102"/>
        <item x="103"/>
        <item x="104"/>
        <item m="1" x="143"/>
        <item x="105"/>
        <item x="106"/>
        <item x="107"/>
        <item x="108"/>
        <item x="109"/>
        <item x="110"/>
        <item x="111"/>
        <item x="112"/>
        <item x="113"/>
        <item x="127"/>
        <item x="128"/>
        <item x="114"/>
        <item x="115"/>
        <item x="116"/>
        <item x="117"/>
        <item x="118"/>
        <item x="119"/>
        <item x="120"/>
        <item x="121"/>
        <item x="122"/>
        <item x="123"/>
        <item x="124"/>
        <item x="125"/>
        <item x="126"/>
        <item x="129"/>
        <item x="130"/>
        <item x="131"/>
        <item x="132"/>
        <item x="133"/>
        <item x="134"/>
        <item x="135"/>
        <item x="136"/>
        <item x="54"/>
        <item x="137"/>
        <item x="138"/>
        <item x="139"/>
        <item x="140"/>
        <item x="141"/>
        <item t="default"/>
      </items>
    </pivotField>
    <pivotField showAll="0"/>
    <pivotField showAll="0"/>
    <pivotField showAll="0"/>
    <pivotField showAll="0"/>
    <pivotField axis="axisPage" showAll="0">
      <items count="37">
        <item x="9"/>
        <item x="7"/>
        <item x="15"/>
        <item x="13"/>
        <item x="16"/>
        <item x="6"/>
        <item x="10"/>
        <item x="11"/>
        <item x="0"/>
        <item x="4"/>
        <item x="5"/>
        <item x="8"/>
        <item x="20"/>
        <item x="14"/>
        <item x="1"/>
        <item x="12"/>
        <item x="21"/>
        <item x="2"/>
        <item x="19"/>
        <item x="17"/>
        <item x="3"/>
        <item x="18"/>
        <item x="28"/>
        <item x="22"/>
        <item x="23"/>
        <item x="24"/>
        <item x="25"/>
        <item m="1" x="35"/>
        <item x="26"/>
        <item x="27"/>
        <item x="32"/>
        <item x="29"/>
        <item x="30"/>
        <item x="31"/>
        <item x="33"/>
        <item x="34"/>
        <item t="default"/>
      </items>
    </pivotField>
    <pivotField showAll="0"/>
    <pivotField showAll="0"/>
    <pivotField showAll="0"/>
    <pivotField showAll="0"/>
    <pivotField showAll="0"/>
    <pivotField showAll="0"/>
    <pivotField showAll="0"/>
    <pivotField showAll="0"/>
    <pivotField showAll="0"/>
    <pivotField showAll="0"/>
    <pivotField showAll="0">
      <items count="76">
        <item x="35"/>
        <item x="29"/>
        <item x="21"/>
        <item x="47"/>
        <item x="27"/>
        <item x="32"/>
        <item x="5"/>
        <item x="51"/>
        <item x="26"/>
        <item x="49"/>
        <item x="46"/>
        <item x="28"/>
        <item x="41"/>
        <item x="14"/>
        <item x="60"/>
        <item x="58"/>
        <item x="53"/>
        <item x="8"/>
        <item x="17"/>
        <item x="50"/>
        <item x="2"/>
        <item x="52"/>
        <item x="55"/>
        <item x="0"/>
        <item x="48"/>
        <item x="3"/>
        <item m="1" x="74"/>
        <item x="38"/>
        <item x="39"/>
        <item x="10"/>
        <item x="4"/>
        <item x="12"/>
        <item x="15"/>
        <item x="20"/>
        <item x="22"/>
        <item x="33"/>
        <item x="34"/>
        <item x="36"/>
        <item x="37"/>
        <item x="42"/>
        <item x="43"/>
        <item x="44"/>
        <item x="40"/>
        <item x="54"/>
        <item x="62"/>
        <item x="63"/>
        <item x="67"/>
        <item m="1" x="73"/>
        <item x="70"/>
        <item x="24"/>
        <item x="25"/>
        <item x="31"/>
        <item x="61"/>
        <item x="30"/>
        <item x="45"/>
        <item x="1"/>
        <item x="16"/>
        <item x="18"/>
        <item x="23"/>
        <item x="13"/>
        <item x="56"/>
        <item x="57"/>
        <item x="64"/>
        <item x="65"/>
        <item x="66"/>
        <item x="69"/>
        <item x="71"/>
        <item x="72"/>
        <item x="6"/>
        <item x="7"/>
        <item x="9"/>
        <item x="11"/>
        <item x="19"/>
        <item x="59"/>
        <item x="68"/>
        <item t="default"/>
      </items>
    </pivotField>
    <pivotField showAll="0"/>
    <pivotField showAll="0"/>
    <pivotField showAll="0"/>
    <pivotField axis="axisPage" compact="0" subtotalTop="0" showAll="0">
      <items count="6">
        <item x="0"/>
        <item x="1"/>
        <item x="3"/>
        <item m="1" x="4"/>
        <item x="2"/>
        <item t="default"/>
      </items>
    </pivotField>
    <pivotField showAll="0"/>
    <pivotField showAll="0"/>
    <pivotField showAll="0">
      <items count="15">
        <item x="0"/>
        <item x="1"/>
        <item x="2"/>
        <item x="3"/>
        <item x="4"/>
        <item x="5"/>
        <item x="6"/>
        <item x="7"/>
        <item x="8"/>
        <item x="9"/>
        <item x="10"/>
        <item x="11"/>
        <item x="12"/>
        <item x="13"/>
        <item t="default"/>
      </items>
    </pivotField>
    <pivotField showAll="0">
      <items count="7">
        <item x="1"/>
        <item x="2"/>
        <item x="3"/>
        <item x="4"/>
        <item x="0"/>
        <item x="5"/>
        <item t="default"/>
      </items>
    </pivotField>
    <pivotField showAll="0">
      <items count="55">
        <item x="28"/>
        <item x="29"/>
        <item x="30"/>
        <item x="31"/>
        <item x="32"/>
        <item x="33"/>
        <item x="34"/>
        <item x="35"/>
        <item x="36"/>
        <item x="37"/>
        <item x="38"/>
        <item x="39"/>
        <item x="40"/>
        <item x="41"/>
        <item x="42"/>
        <item x="43"/>
        <item x="44"/>
        <item x="45"/>
        <item x="46"/>
        <item x="47"/>
        <item x="48"/>
        <item x="49"/>
        <item x="50"/>
        <item x="51"/>
        <item x="52"/>
        <item x="1"/>
        <item x="2"/>
        <item x="3"/>
        <item x="4"/>
        <item x="5"/>
        <item x="6"/>
        <item x="7"/>
        <item x="8"/>
        <item x="9"/>
        <item x="10"/>
        <item x="11"/>
        <item x="12"/>
        <item x="13"/>
        <item x="14"/>
        <item x="15"/>
        <item x="16"/>
        <item x="17"/>
        <item x="18"/>
        <item x="19"/>
        <item x="20"/>
        <item x="21"/>
        <item x="22"/>
        <item x="23"/>
        <item x="24"/>
        <item x="25"/>
        <item x="26"/>
        <item x="27"/>
        <item x="0"/>
        <item x="53"/>
        <item t="default"/>
      </items>
    </pivotField>
    <pivotField showAll="0">
      <items count="15">
        <item x="0"/>
        <item x="1"/>
        <item x="2"/>
        <item x="3"/>
        <item x="4"/>
        <item x="5"/>
        <item x="6"/>
        <item x="7"/>
        <item x="8"/>
        <item x="9"/>
        <item x="10"/>
        <item x="11"/>
        <item x="12"/>
        <item x="13"/>
        <item t="default"/>
      </items>
    </pivotField>
    <pivotField showAll="0">
      <items count="7">
        <item x="1"/>
        <item x="2"/>
        <item x="3"/>
        <item x="4"/>
        <item x="0"/>
        <item x="5"/>
        <item t="default"/>
      </items>
    </pivotField>
    <pivotField showAll="0">
      <items count="63">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0"/>
        <item x="61"/>
        <item t="default"/>
      </items>
    </pivotField>
    <pivotField showAll="0">
      <items count="15">
        <item x="0"/>
        <item x="1"/>
        <item x="2"/>
        <item x="3"/>
        <item x="4"/>
        <item x="5"/>
        <item x="6"/>
        <item x="7"/>
        <item x="8"/>
        <item x="9"/>
        <item x="10"/>
        <item x="11"/>
        <item x="12"/>
        <item x="13"/>
        <item t="default"/>
      </items>
    </pivotField>
    <pivotField showAll="0">
      <items count="7">
        <item x="1"/>
        <item x="2"/>
        <item x="3"/>
        <item x="4"/>
        <item x="0"/>
        <item x="5"/>
        <item t="default"/>
      </items>
    </pivotField>
    <pivotField showAll="0">
      <items count="5">
        <item x="1"/>
        <item x="2"/>
        <item x="0"/>
        <item x="3"/>
        <item t="default"/>
      </items>
    </pivotField>
  </pivotFields>
  <rowFields count="1">
    <field x="25"/>
  </rowFields>
  <rowItems count="8">
    <i>
      <x v="9"/>
    </i>
    <i>
      <x v="32"/>
    </i>
    <i>
      <x v="87"/>
    </i>
    <i>
      <x v="106"/>
    </i>
    <i>
      <x v="124"/>
    </i>
    <i>
      <x v="144"/>
    </i>
    <i>
      <x v="146"/>
    </i>
    <i t="grand">
      <x/>
    </i>
  </rowItems>
  <colItems count="1">
    <i/>
  </colItems>
  <pageFields count="2">
    <pageField fld="30" item="4" hier="-1"/>
    <pageField fld="45" item="0" hier="-1"/>
  </pageFields>
  <dataFields count="1">
    <dataField name="Cuenta de Nombre*" fld="1" subtotal="count" baseField="25" baseItem="59"/>
  </dataFields>
  <formats count="3">
    <format dxfId="81">
      <pivotArea grandRow="1" outline="0" collapsedLevelsAreSubtotals="1" fieldPosition="0"/>
    </format>
    <format dxfId="80">
      <pivotArea collapsedLevelsAreSubtotals="1" fieldPosition="0">
        <references count="1">
          <reference field="25" count="1">
            <x v="40"/>
          </reference>
        </references>
      </pivotArea>
    </format>
    <format dxfId="79">
      <pivotArea dataOnly="0" labelOnly="1" fieldPosition="0">
        <references count="1">
          <reference field="25" count="1">
            <x v="40"/>
          </reference>
        </references>
      </pivotArea>
    </format>
  </formats>
  <chartFormats count="56">
    <chartFormat chart="0" format="1" series="1">
      <pivotArea type="data" outline="0" fieldPosition="0">
        <references count="1">
          <reference field="4294967294" count="1" selected="0">
            <x v="0"/>
          </reference>
        </references>
      </pivotArea>
    </chartFormat>
    <chartFormat chart="0" format="2">
      <pivotArea type="data" outline="0" fieldPosition="0">
        <references count="2">
          <reference field="4294967294" count="1" selected="0">
            <x v="0"/>
          </reference>
          <reference field="25" count="1" selected="0">
            <x v="15"/>
          </reference>
        </references>
      </pivotArea>
    </chartFormat>
    <chartFormat chart="0" format="3">
      <pivotArea type="data" outline="0" fieldPosition="0">
        <references count="2">
          <reference field="4294967294" count="1" selected="0">
            <x v="0"/>
          </reference>
          <reference field="25" count="1" selected="0">
            <x v="52"/>
          </reference>
        </references>
      </pivotArea>
    </chartFormat>
    <chartFormat chart="0" format="4">
      <pivotArea type="data" outline="0" fieldPosition="0">
        <references count="2">
          <reference field="4294967294" count="1" selected="0">
            <x v="0"/>
          </reference>
          <reference field="25" count="1" selected="0">
            <x v="28"/>
          </reference>
        </references>
      </pivotArea>
    </chartFormat>
    <chartFormat chart="0" format="5">
      <pivotArea type="data" outline="0" fieldPosition="0">
        <references count="2">
          <reference field="4294967294" count="1" selected="0">
            <x v="0"/>
          </reference>
          <reference field="25" count="1" selected="0">
            <x v="40"/>
          </reference>
        </references>
      </pivotArea>
    </chartFormat>
    <chartFormat chart="0" format="6">
      <pivotArea type="data" outline="0" fieldPosition="0">
        <references count="2">
          <reference field="4294967294" count="1" selected="0">
            <x v="0"/>
          </reference>
          <reference field="25" count="1" selected="0">
            <x v="85"/>
          </reference>
        </references>
      </pivotArea>
    </chartFormat>
    <chartFormat chart="0" format="7">
      <pivotArea type="data" outline="0" fieldPosition="0">
        <references count="2">
          <reference field="4294967294" count="1" selected="0">
            <x v="0"/>
          </reference>
          <reference field="25" count="1" selected="0">
            <x v="27"/>
          </reference>
        </references>
      </pivotArea>
    </chartFormat>
    <chartFormat chart="0" format="11">
      <pivotArea type="data" outline="0" fieldPosition="0">
        <references count="2">
          <reference field="4294967294" count="1" selected="0">
            <x v="0"/>
          </reference>
          <reference field="25" count="1" selected="0">
            <x v="78"/>
          </reference>
        </references>
      </pivotArea>
    </chartFormat>
    <chartFormat chart="0" format="12">
      <pivotArea type="data" outline="0" fieldPosition="0">
        <references count="2">
          <reference field="4294967294" count="1" selected="0">
            <x v="0"/>
          </reference>
          <reference field="25" count="1" selected="0">
            <x v="33"/>
          </reference>
        </references>
      </pivotArea>
    </chartFormat>
    <chartFormat chart="0" format="13">
      <pivotArea type="data" outline="0" fieldPosition="0">
        <references count="2">
          <reference field="4294967294" count="1" selected="0">
            <x v="0"/>
          </reference>
          <reference field="25" count="1" selected="0">
            <x v="97"/>
          </reference>
        </references>
      </pivotArea>
    </chartFormat>
    <chartFormat chart="0" format="14">
      <pivotArea type="data" outline="0" fieldPosition="0">
        <references count="2">
          <reference field="4294967294" count="1" selected="0">
            <x v="0"/>
          </reference>
          <reference field="25" count="1" selected="0">
            <x v="14"/>
          </reference>
        </references>
      </pivotArea>
    </chartFormat>
    <chartFormat chart="0" format="15">
      <pivotArea type="data" outline="0" fieldPosition="0">
        <references count="2">
          <reference field="4294967294" count="1" selected="0">
            <x v="0"/>
          </reference>
          <reference field="25" count="1" selected="0">
            <x v="76"/>
          </reference>
        </references>
      </pivotArea>
    </chartFormat>
    <chartFormat chart="0" format="16">
      <pivotArea type="data" outline="0" fieldPosition="0">
        <references count="2">
          <reference field="4294967294" count="1" selected="0">
            <x v="0"/>
          </reference>
          <reference field="25" count="1" selected="0">
            <x v="63"/>
          </reference>
        </references>
      </pivotArea>
    </chartFormat>
    <chartFormat chart="0" format="17">
      <pivotArea type="data" outline="0" fieldPosition="0">
        <references count="2">
          <reference field="4294967294" count="1" selected="0">
            <x v="0"/>
          </reference>
          <reference field="25" count="1" selected="0">
            <x v="51"/>
          </reference>
        </references>
      </pivotArea>
    </chartFormat>
    <chartFormat chart="0" format="18">
      <pivotArea type="data" outline="0" fieldPosition="0">
        <references count="2">
          <reference field="4294967294" count="1" selected="0">
            <x v="0"/>
          </reference>
          <reference field="25" count="1" selected="0">
            <x v="77"/>
          </reference>
        </references>
      </pivotArea>
    </chartFormat>
    <chartFormat chart="0" format="19">
      <pivotArea type="data" outline="0" fieldPosition="0">
        <references count="2">
          <reference field="4294967294" count="1" selected="0">
            <x v="0"/>
          </reference>
          <reference field="25" count="1" selected="0">
            <x v="44"/>
          </reference>
        </references>
      </pivotArea>
    </chartFormat>
    <chartFormat chart="0" format="20">
      <pivotArea type="data" outline="0" fieldPosition="0">
        <references count="2">
          <reference field="4294967294" count="1" selected="0">
            <x v="0"/>
          </reference>
          <reference field="25" count="1" selected="0">
            <x v="5"/>
          </reference>
        </references>
      </pivotArea>
    </chartFormat>
    <chartFormat chart="0" format="21">
      <pivotArea type="data" outline="0" fieldPosition="0">
        <references count="2">
          <reference field="4294967294" count="1" selected="0">
            <x v="0"/>
          </reference>
          <reference field="25" count="1" selected="0">
            <x v="60"/>
          </reference>
        </references>
      </pivotArea>
    </chartFormat>
    <chartFormat chart="0" format="22">
      <pivotArea type="data" outline="0" fieldPosition="0">
        <references count="2">
          <reference field="4294967294" count="1" selected="0">
            <x v="0"/>
          </reference>
          <reference field="25" count="1" selected="0">
            <x v="62"/>
          </reference>
        </references>
      </pivotArea>
    </chartFormat>
    <chartFormat chart="0" format="23">
      <pivotArea type="data" outline="0" fieldPosition="0">
        <references count="2">
          <reference field="4294967294" count="1" selected="0">
            <x v="0"/>
          </reference>
          <reference field="25" count="1" selected="0">
            <x v="118"/>
          </reference>
        </references>
      </pivotArea>
    </chartFormat>
    <chartFormat chart="0" format="24">
      <pivotArea type="data" outline="0" fieldPosition="0">
        <references count="2">
          <reference field="4294967294" count="1" selected="0">
            <x v="0"/>
          </reference>
          <reference field="25" count="1" selected="0">
            <x v="116"/>
          </reference>
        </references>
      </pivotArea>
    </chartFormat>
    <chartFormat chart="0" format="25">
      <pivotArea type="data" outline="0" fieldPosition="0">
        <references count="2">
          <reference field="4294967294" count="1" selected="0">
            <x v="0"/>
          </reference>
          <reference field="25" count="1" selected="0">
            <x v="72"/>
          </reference>
        </references>
      </pivotArea>
    </chartFormat>
    <chartFormat chart="0" format="26">
      <pivotArea type="data" outline="0" fieldPosition="0">
        <references count="2">
          <reference field="4294967294" count="1" selected="0">
            <x v="0"/>
          </reference>
          <reference field="25" count="1" selected="0">
            <x v="91"/>
          </reference>
        </references>
      </pivotArea>
    </chartFormat>
    <chartFormat chart="0" format="27">
      <pivotArea type="data" outline="0" fieldPosition="0">
        <references count="2">
          <reference field="4294967294" count="1" selected="0">
            <x v="0"/>
          </reference>
          <reference field="25" count="1" selected="0">
            <x v="117"/>
          </reference>
        </references>
      </pivotArea>
    </chartFormat>
    <chartFormat chart="0" format="28">
      <pivotArea type="data" outline="0" fieldPosition="0">
        <references count="2">
          <reference field="4294967294" count="1" selected="0">
            <x v="0"/>
          </reference>
          <reference field="25" count="1" selected="0">
            <x v="95"/>
          </reference>
        </references>
      </pivotArea>
    </chartFormat>
    <chartFormat chart="0" format="29">
      <pivotArea type="data" outline="0" fieldPosition="0">
        <references count="2">
          <reference field="4294967294" count="1" selected="0">
            <x v="0"/>
          </reference>
          <reference field="25" count="1" selected="0">
            <x v="119"/>
          </reference>
        </references>
      </pivotArea>
    </chartFormat>
    <chartFormat chart="0" format="30">
      <pivotArea type="data" outline="0" fieldPosition="0">
        <references count="2">
          <reference field="4294967294" count="1" selected="0">
            <x v="0"/>
          </reference>
          <reference field="25" count="1" selected="0">
            <x v="98"/>
          </reference>
        </references>
      </pivotArea>
    </chartFormat>
    <chartFormat chart="0" format="31">
      <pivotArea type="data" outline="0" fieldPosition="0">
        <references count="2">
          <reference field="4294967294" count="1" selected="0">
            <x v="0"/>
          </reference>
          <reference field="25" count="1" selected="0">
            <x v="115"/>
          </reference>
        </references>
      </pivotArea>
    </chartFormat>
    <chartFormat chart="0" format="32">
      <pivotArea type="data" outline="0" fieldPosition="0">
        <references count="2">
          <reference field="4294967294" count="1" selected="0">
            <x v="0"/>
          </reference>
          <reference field="25" count="1" selected="0">
            <x v="96"/>
          </reference>
        </references>
      </pivotArea>
    </chartFormat>
    <chartFormat chart="0" format="33">
      <pivotArea type="data" outline="0" fieldPosition="0">
        <references count="2">
          <reference field="4294967294" count="1" selected="0">
            <x v="0"/>
          </reference>
          <reference field="25" count="1" selected="0">
            <x v="114"/>
          </reference>
        </references>
      </pivotArea>
    </chartFormat>
    <chartFormat chart="0" format="34">
      <pivotArea type="data" outline="0" fieldPosition="0">
        <references count="2">
          <reference field="4294967294" count="1" selected="0">
            <x v="0"/>
          </reference>
          <reference field="25" count="1" selected="0">
            <x v="7"/>
          </reference>
        </references>
      </pivotArea>
    </chartFormat>
    <chartFormat chart="0" format="35">
      <pivotArea type="data" outline="0" fieldPosition="0">
        <references count="2">
          <reference field="4294967294" count="1" selected="0">
            <x v="0"/>
          </reference>
          <reference field="25" count="1" selected="0">
            <x v="50"/>
          </reference>
        </references>
      </pivotArea>
    </chartFormat>
    <chartFormat chart="0" format="36">
      <pivotArea type="data" outline="0" fieldPosition="0">
        <references count="2">
          <reference field="4294967294" count="1" selected="0">
            <x v="0"/>
          </reference>
          <reference field="25" count="1" selected="0">
            <x v="74"/>
          </reference>
        </references>
      </pivotArea>
    </chartFormat>
    <chartFormat chart="0" format="37">
      <pivotArea type="data" outline="0" fieldPosition="0">
        <references count="2">
          <reference field="4294967294" count="1" selected="0">
            <x v="0"/>
          </reference>
          <reference field="25" count="1" selected="0">
            <x v="73"/>
          </reference>
        </references>
      </pivotArea>
    </chartFormat>
    <chartFormat chart="0" format="38">
      <pivotArea type="data" outline="0" fieldPosition="0">
        <references count="2">
          <reference field="4294967294" count="1" selected="0">
            <x v="0"/>
          </reference>
          <reference field="25" count="1" selected="0">
            <x v="8"/>
          </reference>
        </references>
      </pivotArea>
    </chartFormat>
    <chartFormat chart="0" format="39">
      <pivotArea type="data" outline="0" fieldPosition="0">
        <references count="2">
          <reference field="4294967294" count="1" selected="0">
            <x v="0"/>
          </reference>
          <reference field="25" count="1" selected="0">
            <x v="82"/>
          </reference>
        </references>
      </pivotArea>
    </chartFormat>
    <chartFormat chart="0" format="40">
      <pivotArea type="data" outline="0" fieldPosition="0">
        <references count="2">
          <reference field="4294967294" count="1" selected="0">
            <x v="0"/>
          </reference>
          <reference field="25" count="1" selected="0">
            <x v="38"/>
          </reference>
        </references>
      </pivotArea>
    </chartFormat>
    <chartFormat chart="0" format="41">
      <pivotArea type="data" outline="0" fieldPosition="0">
        <references count="2">
          <reference field="4294967294" count="1" selected="0">
            <x v="0"/>
          </reference>
          <reference field="25" count="1" selected="0">
            <x v="79"/>
          </reference>
        </references>
      </pivotArea>
    </chartFormat>
    <chartFormat chart="0" format="42">
      <pivotArea type="data" outline="0" fieldPosition="0">
        <references count="2">
          <reference field="4294967294" count="1" selected="0">
            <x v="0"/>
          </reference>
          <reference field="25" count="1" selected="0">
            <x v="42"/>
          </reference>
        </references>
      </pivotArea>
    </chartFormat>
    <chartFormat chart="0" format="43">
      <pivotArea type="data" outline="0" fieldPosition="0">
        <references count="2">
          <reference field="4294967294" count="1" selected="0">
            <x v="0"/>
          </reference>
          <reference field="25" count="1" selected="0">
            <x v="58"/>
          </reference>
        </references>
      </pivotArea>
    </chartFormat>
    <chartFormat chart="0" format="44">
      <pivotArea type="data" outline="0" fieldPosition="0">
        <references count="2">
          <reference field="4294967294" count="1" selected="0">
            <x v="0"/>
          </reference>
          <reference field="25" count="1" selected="0">
            <x v="19"/>
          </reference>
        </references>
      </pivotArea>
    </chartFormat>
    <chartFormat chart="0" format="45">
      <pivotArea type="data" outline="0" fieldPosition="0">
        <references count="2">
          <reference field="4294967294" count="1" selected="0">
            <x v="0"/>
          </reference>
          <reference field="25" count="1" selected="0">
            <x v="105"/>
          </reference>
        </references>
      </pivotArea>
    </chartFormat>
    <chartFormat chart="0" format="46">
      <pivotArea type="data" outline="0" fieldPosition="0">
        <references count="2">
          <reference field="4294967294" count="1" selected="0">
            <x v="0"/>
          </reference>
          <reference field="25" count="1" selected="0">
            <x v="104"/>
          </reference>
        </references>
      </pivotArea>
    </chartFormat>
    <chartFormat chart="0" format="47">
      <pivotArea type="data" outline="0" fieldPosition="0">
        <references count="2">
          <reference field="4294967294" count="1" selected="0">
            <x v="0"/>
          </reference>
          <reference field="25" count="1" selected="0">
            <x v="101"/>
          </reference>
        </references>
      </pivotArea>
    </chartFormat>
    <chartFormat chart="0" format="48">
      <pivotArea type="data" outline="0" fieldPosition="0">
        <references count="2">
          <reference field="4294967294" count="1" selected="0">
            <x v="0"/>
          </reference>
          <reference field="25" count="1" selected="0">
            <x v="140"/>
          </reference>
        </references>
      </pivotArea>
    </chartFormat>
    <chartFormat chart="0" format="49">
      <pivotArea type="data" outline="0" fieldPosition="0">
        <references count="2">
          <reference field="4294967294" count="1" selected="0">
            <x v="0"/>
          </reference>
          <reference field="25" count="1" selected="0">
            <x v="147"/>
          </reference>
        </references>
      </pivotArea>
    </chartFormat>
    <chartFormat chart="0" format="52">
      <pivotArea type="data" outline="0" fieldPosition="0">
        <references count="2">
          <reference field="4294967294" count="1" selected="0">
            <x v="0"/>
          </reference>
          <reference field="25" count="1" selected="0">
            <x v="0"/>
          </reference>
        </references>
      </pivotArea>
    </chartFormat>
    <chartFormat chart="0" format="53">
      <pivotArea type="data" outline="0" fieldPosition="0">
        <references count="2">
          <reference field="4294967294" count="1" selected="0">
            <x v="0"/>
          </reference>
          <reference field="25" count="1" selected="0">
            <x v="25"/>
          </reference>
        </references>
      </pivotArea>
    </chartFormat>
    <chartFormat chart="0" format="54">
      <pivotArea type="data" outline="0" fieldPosition="0">
        <references count="2">
          <reference field="4294967294" count="1" selected="0">
            <x v="0"/>
          </reference>
          <reference field="25" count="1" selected="0">
            <x v="64"/>
          </reference>
        </references>
      </pivotArea>
    </chartFormat>
    <chartFormat chart="0" format="55">
      <pivotArea type="data" outline="0" fieldPosition="0">
        <references count="2">
          <reference field="4294967294" count="1" selected="0">
            <x v="0"/>
          </reference>
          <reference field="25" count="1" selected="0">
            <x v="9"/>
          </reference>
        </references>
      </pivotArea>
    </chartFormat>
    <chartFormat chart="0" format="56">
      <pivotArea type="data" outline="0" fieldPosition="0">
        <references count="2">
          <reference field="4294967294" count="1" selected="0">
            <x v="0"/>
          </reference>
          <reference field="25" count="1" selected="0">
            <x v="32"/>
          </reference>
        </references>
      </pivotArea>
    </chartFormat>
    <chartFormat chart="0" format="57">
      <pivotArea type="data" outline="0" fieldPosition="0">
        <references count="2">
          <reference field="4294967294" count="1" selected="0">
            <x v="0"/>
          </reference>
          <reference field="25" count="1" selected="0">
            <x v="87"/>
          </reference>
        </references>
      </pivotArea>
    </chartFormat>
    <chartFormat chart="0" format="58">
      <pivotArea type="data" outline="0" fieldPosition="0">
        <references count="2">
          <reference field="4294967294" count="1" selected="0">
            <x v="0"/>
          </reference>
          <reference field="25" count="1" selected="0">
            <x v="106"/>
          </reference>
        </references>
      </pivotArea>
    </chartFormat>
    <chartFormat chart="0" format="59">
      <pivotArea type="data" outline="0" fieldPosition="0">
        <references count="2">
          <reference field="4294967294" count="1" selected="0">
            <x v="0"/>
          </reference>
          <reference field="25" count="1" selected="0">
            <x v="124"/>
          </reference>
        </references>
      </pivotArea>
    </chartFormat>
    <chartFormat chart="0" format="60">
      <pivotArea type="data" outline="0" fieldPosition="0">
        <references count="2">
          <reference field="4294967294" count="1" selected="0">
            <x v="0"/>
          </reference>
          <reference field="25" count="1" selected="0">
            <x v="144"/>
          </reference>
        </references>
      </pivotArea>
    </chartFormat>
    <chartFormat chart="0" format="61">
      <pivotArea type="data" outline="0" fieldPosition="0">
        <references count="2">
          <reference field="4294967294" count="1" selected="0">
            <x v="0"/>
          </reference>
          <reference field="25" count="1" selected="0">
            <x v="146"/>
          </reference>
        </references>
      </pivotArea>
    </chartFormat>
  </chartFormats>
  <pivotTableStyleInfo name="PivotStyleLight16" showRowHeaders="1" showColHeaders="1" showRowStripes="0" showColStripes="0" showLastColumn="1"/>
  <filters count="1">
    <filter fld="25"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953A913-6F4A-4C79-9052-900AEF453133}" name="TablaDinámica22" cacheId="0" applyNumberFormats="0" applyBorderFormats="0" applyFontFormats="0" applyPatternFormats="0" applyAlignmentFormats="0" applyWidthHeightFormats="1" dataCaption="Valores" updatedVersion="8" minRefreshableVersion="3" useAutoFormatting="1" rowGrandTotals="0" colGrandTotals="0" itemPrintTitles="1" createdVersion="8" indent="0" compact="0" compactData="0" multipleFieldFilters="0">
  <location ref="Y7:Z8" firstHeaderRow="1" firstDataRow="2" firstDataCol="1" rowPageCount="2" colPageCount="1"/>
  <pivotFields count="57">
    <pivotField compact="0" outline="0" showAll="0" defaultSubtotal="0"/>
    <pivotField axis="axisRow" compact="0" outline="0" showAll="0" defaultSubtotal="0">
      <items count="357">
        <item h="1" x="46"/>
        <item h="1" x="101"/>
        <item h="1" x="4"/>
        <item x="55"/>
        <item h="1" x="84"/>
        <item h="1" x="222"/>
        <item h="1" x="217"/>
        <item h="1" x="143"/>
        <item h="1" x="197"/>
        <item h="1" x="221"/>
        <item h="1" x="154"/>
        <item h="1" x="87"/>
        <item h="1" x="232"/>
        <item h="1" x="141"/>
        <item h="1" x="56"/>
        <item h="1" x="111"/>
        <item h="1" x="189"/>
        <item h="1" x="48"/>
        <item h="1" x="57"/>
        <item h="1" x="89"/>
        <item h="1" x="105"/>
        <item h="1" x="43"/>
        <item h="1" x="47"/>
        <item h="1" x="173"/>
        <item h="1" x="122"/>
        <item h="1" x="155"/>
        <item h="1" x="71"/>
        <item h="1" x="192"/>
        <item h="1" x="65"/>
        <item h="1" x="156"/>
        <item h="1" x="157"/>
        <item h="1" x="130"/>
        <item h="1" x="139"/>
        <item h="1" x="220"/>
        <item h="1" x="2"/>
        <item h="1" x="93"/>
        <item h="1" x="21"/>
        <item h="1" x="38"/>
        <item h="1" x="191"/>
        <item h="1" x="22"/>
        <item h="1" x="25"/>
        <item h="1" x="242"/>
        <item h="1" x="211"/>
        <item h="1" x="64"/>
        <item h="1" x="123"/>
        <item h="1" x="74"/>
        <item h="1" x="90"/>
        <item h="1" x="196"/>
        <item h="1" x="145"/>
        <item h="1" x="115"/>
        <item h="1" x="106"/>
        <item h="1" x="234"/>
        <item h="1" x="158"/>
        <item h="1" x="218"/>
        <item h="1" x="40"/>
        <item h="1" x="92"/>
        <item h="1" x="174"/>
        <item h="1" x="159"/>
        <item h="1" x="70"/>
        <item h="1" x="27"/>
        <item h="1" x="35"/>
        <item h="1" x="15"/>
        <item h="1" x="151"/>
        <item h="1" x="241"/>
        <item h="1" x="85"/>
        <item h="1" x="243"/>
        <item h="1" x="107"/>
        <item h="1" x="199"/>
        <item h="1" x="142"/>
        <item h="1" x="121"/>
        <item h="1" x="203"/>
        <item h="1" x="160"/>
        <item h="1" x="175"/>
        <item h="1" x="94"/>
        <item h="1" x="184"/>
        <item h="1" x="183"/>
        <item h="1" x="82"/>
        <item h="1" x="58"/>
        <item h="1" x="59"/>
        <item h="1" x="204"/>
        <item h="1" x="37"/>
        <item h="1" x="103"/>
        <item h="1" x="185"/>
        <item h="1" x="187"/>
        <item h="1" x="129"/>
        <item h="1" x="131"/>
        <item h="1" x="124"/>
        <item h="1" x="99"/>
        <item h="1" x="45"/>
        <item h="1" x="249"/>
        <item h="1" x="213"/>
        <item h="1" x="112"/>
        <item h="1" x="146"/>
        <item h="1" x="91"/>
        <item h="1" x="98"/>
        <item h="1" x="172"/>
        <item h="1" x="205"/>
        <item h="1" x="182"/>
        <item h="1" x="7"/>
        <item h="1" x="181"/>
        <item h="1" x="152"/>
        <item h="1" x="132"/>
        <item h="1" x="177"/>
        <item h="1" x="238"/>
        <item h="1" x="147"/>
        <item h="1" x="225"/>
        <item h="1" x="49"/>
        <item h="1" x="117"/>
        <item h="1" x="244"/>
        <item h="1" x="179"/>
        <item h="1" x="14"/>
        <item h="1" x="226"/>
        <item h="1" x="23"/>
        <item h="1" x="8"/>
        <item h="1" x="60"/>
        <item h="1" x="149"/>
        <item h="1" x="161"/>
        <item h="1" x="206"/>
        <item h="1" x="28"/>
        <item h="1" x="247"/>
        <item h="1" x="125"/>
        <item h="1" x="61"/>
        <item h="1" x="114"/>
        <item h="1" x="148"/>
        <item h="1" x="9"/>
        <item h="1" x="10"/>
        <item h="1" x="194"/>
        <item h="1" x="102"/>
        <item h="1" x="229"/>
        <item h="1" x="212"/>
        <item h="1" x="33"/>
        <item h="1" x="162"/>
        <item h="1" x="69"/>
        <item h="1" x="79"/>
        <item h="1" x="163"/>
        <item h="1" x="41"/>
        <item h="1" x="36"/>
        <item h="1" x="80"/>
        <item h="1" x="164"/>
        <item h="1" x="126"/>
        <item h="1" x="165"/>
        <item h="1" x="20"/>
        <item h="1" x="227"/>
        <item h="1" x="150"/>
        <item h="1" x="3"/>
        <item h="1" x="119"/>
        <item h="1" x="136"/>
        <item h="1" x="137"/>
        <item h="1" x="166"/>
        <item h="1" x="44"/>
        <item h="1" x="53"/>
        <item h="1" x="240"/>
        <item h="1" x="108"/>
        <item h="1" x="233"/>
        <item h="1" x="39"/>
        <item h="1" x="42"/>
        <item h="1" x="0"/>
        <item h="1" x="66"/>
        <item h="1" x="100"/>
        <item h="1" x="245"/>
        <item h="1" x="19"/>
        <item h="1" x="120"/>
        <item h="1" x="11"/>
        <item h="1" x="72"/>
        <item h="1" x="16"/>
        <item h="1" x="200"/>
        <item h="1" x="167"/>
        <item h="1" x="5"/>
        <item h="1" x="201"/>
        <item h="1" x="207"/>
        <item h="1" x="140"/>
        <item h="1" x="168"/>
        <item h="1" x="104"/>
        <item h="1" x="13"/>
        <item h="1" x="88"/>
        <item h="1" x="17"/>
        <item h="1" x="216"/>
        <item h="1" x="76"/>
        <item h="1" x="188"/>
        <item h="1" x="195"/>
        <item h="1" x="198"/>
        <item h="1" x="86"/>
        <item h="1" x="30"/>
        <item h="1" x="62"/>
        <item h="1" x="67"/>
        <item h="1" x="230"/>
        <item h="1" x="239"/>
        <item h="1" x="153"/>
        <item h="1" x="193"/>
        <item h="1" x="32"/>
        <item h="1" x="127"/>
        <item h="1" x="134"/>
        <item h="1" x="210"/>
        <item h="1" x="219"/>
        <item h="1" x="18"/>
        <item h="1" x="50"/>
        <item h="1" x="178"/>
        <item h="1" x="135"/>
        <item h="1" x="231"/>
        <item h="1" x="26"/>
        <item h="1" x="176"/>
        <item h="1" x="169"/>
        <item h="1" x="118"/>
        <item h="1" x="236"/>
        <item h="1" x="29"/>
        <item h="1" x="95"/>
        <item h="1" x="144"/>
        <item h="1" x="6"/>
        <item h="1" x="24"/>
        <item h="1" x="96"/>
        <item h="1" x="78"/>
        <item h="1" x="110"/>
        <item h="1" x="228"/>
        <item h="1" x="75"/>
        <item h="1" x="63"/>
        <item h="1" x="237"/>
        <item h="1" x="113"/>
        <item h="1" x="116"/>
        <item h="1" x="214"/>
        <item h="1" x="171"/>
        <item h="1" x="54"/>
        <item h="1" x="51"/>
        <item h="1" x="73"/>
        <item h="1" x="12"/>
        <item h="1" x="246"/>
        <item h="1" x="180"/>
        <item h="1" x="224"/>
        <item h="1" x="1"/>
        <item h="1" x="190"/>
        <item h="1" x="34"/>
        <item h="1" x="223"/>
        <item h="1" x="138"/>
        <item h="1" x="31"/>
        <item h="1" x="215"/>
        <item h="1" x="128"/>
        <item h="1" x="209"/>
        <item h="1" x="77"/>
        <item h="1" x="170"/>
        <item h="1" x="208"/>
        <item h="1" x="186"/>
        <item h="1" x="68"/>
        <item h="1" x="83"/>
        <item h="1" x="52"/>
        <item h="1" x="109"/>
        <item h="1" x="133"/>
        <item h="1" x="81"/>
        <item h="1" x="248"/>
        <item h="1" x="97"/>
        <item h="1" x="202"/>
        <item h="1" x="235"/>
        <item h="1" x="353"/>
        <item h="1" x="250"/>
        <item h="1" x="251"/>
        <item h="1" x="252"/>
        <item h="1" x="253"/>
        <item h="1" x="254"/>
        <item h="1" x="255"/>
        <item h="1" x="256"/>
        <item h="1" x="257"/>
        <item h="1" x="258"/>
        <item h="1" x="259"/>
        <item h="1" x="260"/>
        <item h="1" x="261"/>
        <item h="1" x="262"/>
        <item h="1" x="263"/>
        <item h="1" x="264"/>
        <item h="1" x="265"/>
        <item h="1" x="266"/>
        <item h="1" x="267"/>
        <item h="1" x="268"/>
        <item h="1" x="269"/>
        <item h="1" x="270"/>
        <item h="1" x="271"/>
        <item h="1" x="272"/>
        <item h="1" m="1" x="356"/>
        <item h="1" x="274"/>
        <item h="1" x="275"/>
        <item h="1" x="276"/>
        <item h="1" x="277"/>
        <item h="1" x="278"/>
        <item h="1" x="279"/>
        <item h="1" x="280"/>
        <item h="1" x="281"/>
        <item h="1" x="282"/>
        <item h="1" m="1" x="355"/>
        <item h="1" x="283"/>
        <item h="1" x="284"/>
        <item h="1" x="285"/>
        <item h="1" x="286"/>
        <item h="1" x="287"/>
        <item h="1" x="288"/>
        <item h="1" x="289"/>
        <item h="1" x="290"/>
        <item h="1" x="291"/>
        <item h="1" x="292"/>
        <item h="1" x="293"/>
        <item h="1" x="294"/>
        <item h="1" x="295"/>
        <item h="1" x="296"/>
        <item h="1" x="324"/>
        <item h="1" x="297"/>
        <item h="1" x="298"/>
        <item h="1" x="299"/>
        <item h="1" x="300"/>
        <item h="1" x="301"/>
        <item h="1" x="302"/>
        <item h="1" x="303"/>
        <item h="1" x="354"/>
        <item h="1" x="304"/>
        <item h="1" x="305"/>
        <item h="1" x="306"/>
        <item h="1" x="307"/>
        <item h="1" x="308"/>
        <item h="1" x="309"/>
        <item h="1" x="310"/>
        <item h="1" x="311"/>
        <item h="1" x="312"/>
        <item h="1" x="313"/>
        <item h="1" x="314"/>
        <item h="1" x="315"/>
        <item h="1" x="316"/>
        <item h="1" x="317"/>
        <item h="1" x="318"/>
        <item h="1" x="319"/>
        <item h="1" x="320"/>
        <item h="1" x="321"/>
        <item h="1" x="322"/>
        <item h="1" x="323"/>
        <item h="1" x="325"/>
        <item h="1" x="326"/>
        <item h="1" x="327"/>
        <item h="1" x="328"/>
        <item h="1" x="329"/>
        <item h="1" x="330"/>
        <item h="1" x="331"/>
        <item h="1" x="332"/>
        <item h="1" x="333"/>
        <item h="1" x="334"/>
        <item h="1" x="335"/>
        <item h="1" x="336"/>
        <item h="1" x="337"/>
        <item h="1" x="338"/>
        <item h="1" x="339"/>
        <item h="1" x="340"/>
        <item h="1" x="341"/>
        <item h="1" x="342"/>
        <item h="1" x="343"/>
        <item h="1" x="273"/>
        <item h="1" x="344"/>
        <item h="1" x="345"/>
        <item h="1" x="346"/>
        <item h="1" x="347"/>
        <item h="1" x="348"/>
        <item h="1" x="349"/>
        <item h="1" x="350"/>
        <item h="1" x="351"/>
        <item h="1" x="35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202">
        <item x="0"/>
        <item x="1"/>
        <item x="2"/>
        <item x="3"/>
        <item x="4"/>
        <item x="5"/>
        <item x="6"/>
        <item x="7"/>
        <item x="8"/>
        <item x="9"/>
        <item x="10"/>
        <item x="11"/>
        <item x="12"/>
        <item x="13"/>
        <item x="14"/>
        <item x="15"/>
        <item x="16"/>
        <item x="17"/>
        <item x="18"/>
        <item x="19"/>
        <item x="21"/>
        <item x="22"/>
        <item x="23"/>
        <item x="24"/>
        <item x="25"/>
        <item x="26"/>
        <item x="27"/>
        <item x="28"/>
        <item x="29"/>
        <item x="30"/>
        <item x="31"/>
        <item x="32"/>
        <item x="33"/>
        <item x="34"/>
        <item x="35"/>
        <item x="36"/>
        <item x="37"/>
        <item x="38"/>
        <item x="39"/>
        <item x="40"/>
        <item x="41"/>
        <item x="42"/>
        <item x="20"/>
        <item x="43"/>
        <item x="44"/>
        <item x="45"/>
        <item x="46"/>
        <item x="47"/>
        <item x="48"/>
        <item x="49"/>
        <item m="1" x="201"/>
        <item x="50"/>
        <item x="51"/>
        <item x="52"/>
        <item x="53"/>
        <item x="54"/>
        <item x="55"/>
        <item x="56"/>
        <item x="57"/>
        <item x="58"/>
        <item x="59"/>
        <item x="60"/>
        <item x="61"/>
        <item x="62"/>
        <item x="63"/>
        <item x="64"/>
        <item x="65"/>
        <item x="66"/>
        <item x="67"/>
        <item x="68"/>
        <item x="69"/>
        <item x="70"/>
        <item x="71"/>
        <item x="72"/>
        <item x="73"/>
        <item x="74"/>
        <item x="76"/>
        <item x="77"/>
        <item x="78"/>
        <item x="79"/>
        <item x="80"/>
        <item x="81"/>
        <item x="82"/>
        <item x="83"/>
        <item x="84"/>
        <item x="85"/>
        <item x="86"/>
        <item x="87"/>
        <item x="88"/>
        <item x="89"/>
        <item x="90"/>
        <item x="91"/>
        <item x="92"/>
        <item x="93"/>
        <item x="94"/>
        <item x="95"/>
        <item x="96"/>
        <item x="97"/>
        <item x="98"/>
        <item x="99"/>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00"/>
        <item x="135"/>
        <item x="136"/>
        <item x="166"/>
        <item x="137"/>
        <item x="138"/>
        <item x="139"/>
        <item x="140"/>
        <item x="141"/>
        <item x="142"/>
        <item x="143"/>
        <item x="144"/>
        <item x="145"/>
        <item x="146"/>
        <item x="147"/>
        <item x="148"/>
        <item x="149"/>
        <item x="150"/>
        <item x="151"/>
        <item x="152"/>
        <item x="163"/>
        <item x="154"/>
        <item x="155"/>
        <item x="156"/>
        <item x="157"/>
        <item x="158"/>
        <item x="159"/>
        <item x="160"/>
        <item x="161"/>
        <item x="162"/>
        <item x="165"/>
        <item x="174"/>
        <item x="167"/>
        <item x="168"/>
        <item x="75"/>
        <item x="164"/>
        <item x="169"/>
        <item x="170"/>
        <item x="171"/>
        <item x="172"/>
        <item x="173"/>
        <item m="1" x="200"/>
        <item x="176"/>
        <item x="177"/>
        <item x="178"/>
        <item x="179"/>
        <item x="180"/>
        <item x="181"/>
        <item x="182"/>
        <item x="183"/>
        <item x="184"/>
        <item x="185"/>
        <item x="186"/>
        <item x="187"/>
        <item x="188"/>
        <item x="189"/>
        <item x="153"/>
        <item x="175"/>
        <item x="190"/>
        <item x="191"/>
        <item x="192"/>
        <item x="193"/>
        <item x="194"/>
        <item x="195"/>
        <item x="196"/>
        <item x="197"/>
        <item x="198"/>
        <item x="199"/>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multipleItemSelectionAllowed="1" showAll="0" defaultSubtotal="0">
      <items count="365">
        <item x="107"/>
        <item x="11"/>
        <item x="59"/>
        <item x="115"/>
        <item x="190"/>
        <item x="10"/>
        <item x="2"/>
        <item x="186"/>
        <item x="189"/>
        <item x="195"/>
        <item x="3"/>
        <item x="178"/>
        <item x="227"/>
        <item x="188"/>
        <item x="104"/>
        <item x="182"/>
        <item x="14"/>
        <item x="4"/>
        <item x="35"/>
        <item x="137"/>
        <item x="98"/>
        <item x="62"/>
        <item x="9"/>
        <item x="163"/>
        <item x="0"/>
        <item x="88"/>
        <item x="185"/>
        <item x="184"/>
        <item x="24"/>
        <item x="215"/>
        <item x="187"/>
        <item x="68"/>
        <item x="159"/>
        <item x="83"/>
        <item x="103"/>
        <item x="174"/>
        <item x="108"/>
        <item x="15"/>
        <item x="120"/>
        <item x="49"/>
        <item x="222"/>
        <item x="105"/>
        <item x="179"/>
        <item x="223"/>
        <item x="77"/>
        <item x="172"/>
        <item x="106"/>
        <item x="198"/>
        <item x="7"/>
        <item x="8"/>
        <item x="173"/>
        <item x="134"/>
        <item x="237"/>
        <item x="125"/>
        <item x="17"/>
        <item x="18"/>
        <item x="113"/>
        <item x="143"/>
        <item x="110"/>
        <item x="214"/>
        <item x="67"/>
        <item x="89"/>
        <item x="196"/>
        <item x="164"/>
        <item x="202"/>
        <item x="155"/>
        <item x="25"/>
        <item x="197"/>
        <item x="136"/>
        <item x="5"/>
        <item x="207"/>
        <item x="63"/>
        <item x="71"/>
        <item x="53"/>
        <item x="1"/>
        <item x="64"/>
        <item x="235"/>
        <item x="193"/>
        <item x="181"/>
        <item x="95"/>
        <item x="34"/>
        <item x="22"/>
        <item x="111"/>
        <item x="50"/>
        <item x="42"/>
        <item x="74"/>
        <item x="135"/>
        <item x="129"/>
        <item m="1" x="358"/>
        <item x="226"/>
        <item x="56"/>
        <item x="80"/>
        <item x="46"/>
        <item x="169"/>
        <item x="124"/>
        <item x="117"/>
        <item x="94"/>
        <item x="51"/>
        <item x="128"/>
        <item x="212"/>
        <item x="199"/>
        <item x="6"/>
        <item x="191"/>
        <item x="118"/>
        <item m="1" x="360"/>
        <item x="90"/>
        <item x="205"/>
        <item x="152"/>
        <item x="229"/>
        <item x="201"/>
        <item x="127"/>
        <item x="220"/>
        <item x="176"/>
        <item x="221"/>
        <item x="132"/>
        <item m="1" x="362"/>
        <item x="238"/>
        <item x="54"/>
        <item x="139"/>
        <item x="102"/>
        <item x="133"/>
        <item x="160"/>
        <item x="157"/>
        <item x="39"/>
        <item x="211"/>
        <item x="131"/>
        <item x="170"/>
        <item m="1" x="356"/>
        <item m="1" x="355"/>
        <item x="96"/>
        <item x="36"/>
        <item x="156"/>
        <item x="158"/>
        <item m="1" x="359"/>
        <item x="21"/>
        <item x="65"/>
        <item x="100"/>
        <item x="41"/>
        <item x="38"/>
        <item x="209"/>
        <item x="224"/>
        <item x="47"/>
        <item x="81"/>
        <item x="97"/>
        <item x="232"/>
        <item x="141"/>
        <item x="19"/>
        <item x="161"/>
        <item x="171"/>
        <item x="231"/>
        <item x="66"/>
        <item x="112"/>
        <item x="48"/>
        <item x="16"/>
        <item x="12"/>
        <item x="200"/>
        <item x="234"/>
        <item x="192"/>
        <item x="216"/>
        <item x="116"/>
        <item m="1" x="357"/>
        <item m="1" x="353"/>
        <item x="109"/>
        <item x="228"/>
        <item x="40"/>
        <item x="122"/>
        <item x="225"/>
        <item x="233"/>
        <item x="75"/>
        <item x="210"/>
        <item x="203"/>
        <item x="76"/>
        <item x="114"/>
        <item x="217"/>
        <item x="180"/>
        <item x="52"/>
        <item x="177"/>
        <item x="168"/>
        <item x="92"/>
        <item x="57"/>
        <item x="153"/>
        <item x="204"/>
        <item x="148"/>
        <item x="147"/>
        <item x="144"/>
        <item x="142"/>
        <item x="123"/>
        <item x="91"/>
        <item x="162"/>
        <item x="145"/>
        <item x="236"/>
        <item x="166"/>
        <item x="150"/>
        <item x="58"/>
        <item x="151"/>
        <item x="183"/>
        <item x="239"/>
        <item x="230"/>
        <item x="138"/>
        <item x="206"/>
        <item x="167"/>
        <item x="208"/>
        <item x="149"/>
        <item x="121"/>
        <item x="219"/>
        <item x="146"/>
        <item m="1" x="361"/>
        <item m="1" x="363"/>
        <item m="1" x="364"/>
        <item x="23"/>
        <item x="13"/>
        <item x="20"/>
        <item x="26"/>
        <item x="27"/>
        <item x="28"/>
        <item x="29"/>
        <item x="30"/>
        <item x="31"/>
        <item x="32"/>
        <item x="33"/>
        <item x="37"/>
        <item x="43"/>
        <item x="44"/>
        <item x="45"/>
        <item x="55"/>
        <item x="60"/>
        <item x="61"/>
        <item x="69"/>
        <item x="70"/>
        <item x="72"/>
        <item x="73"/>
        <item x="78"/>
        <item x="79"/>
        <item x="82"/>
        <item x="84"/>
        <item x="85"/>
        <item x="86"/>
        <item x="87"/>
        <item x="93"/>
        <item x="99"/>
        <item x="101"/>
        <item x="119"/>
        <item x="287"/>
        <item x="130"/>
        <item x="140"/>
        <item x="154"/>
        <item x="165"/>
        <item x="175"/>
        <item x="213"/>
        <item x="218"/>
        <item x="240"/>
        <item x="241"/>
        <item x="242"/>
        <item x="243"/>
        <item x="244"/>
        <item x="245"/>
        <item x="246"/>
        <item x="247"/>
        <item x="248"/>
        <item x="249"/>
        <item x="250"/>
        <item x="251"/>
        <item x="252"/>
        <item x="253"/>
        <item x="254"/>
        <item x="255"/>
        <item x="256"/>
        <item x="257"/>
        <item x="258"/>
        <item x="259"/>
        <item x="260"/>
        <item x="261"/>
        <item x="262"/>
        <item x="263"/>
        <item x="264"/>
        <item x="265"/>
        <item x="286"/>
        <item x="267"/>
        <item x="268"/>
        <item x="269"/>
        <item x="270"/>
        <item x="271"/>
        <item x="272"/>
        <item x="273"/>
        <item x="274"/>
        <item x="275"/>
        <item x="276"/>
        <item x="277"/>
        <item x="278"/>
        <item x="279"/>
        <item x="280"/>
        <item x="281"/>
        <item x="282"/>
        <item x="283"/>
        <item x="284"/>
        <item x="285"/>
        <item x="288"/>
        <item x="289"/>
        <item x="290"/>
        <item x="291"/>
        <item x="320"/>
        <item m="1" x="354"/>
        <item x="292"/>
        <item x="293"/>
        <item x="294"/>
        <item x="295"/>
        <item x="296"/>
        <item x="194"/>
        <item x="297"/>
        <item x="298"/>
        <item x="299"/>
        <item x="352"/>
        <item x="300"/>
        <item x="301"/>
        <item x="302"/>
        <item x="126"/>
        <item x="303"/>
        <item x="304"/>
        <item x="305"/>
        <item x="306"/>
        <item x="307"/>
        <item x="308"/>
        <item x="309"/>
        <item x="310"/>
        <item x="311"/>
        <item x="312"/>
        <item x="313"/>
        <item x="315"/>
        <item x="316"/>
        <item x="317"/>
        <item x="318"/>
        <item x="319"/>
        <item x="321"/>
        <item x="322"/>
        <item x="323"/>
        <item x="324"/>
        <item x="325"/>
        <item x="326"/>
        <item x="327"/>
        <item x="328"/>
        <item x="329"/>
        <item x="330"/>
        <item x="331"/>
        <item x="332"/>
        <item x="333"/>
        <item x="334"/>
        <item x="335"/>
        <item x="336"/>
        <item x="337"/>
        <item x="338"/>
        <item x="339"/>
        <item x="340"/>
        <item x="266"/>
        <item x="314"/>
        <item x="341"/>
        <item x="342"/>
        <item x="343"/>
        <item x="344"/>
        <item x="345"/>
        <item x="346"/>
        <item x="347"/>
        <item x="348"/>
        <item x="349"/>
        <item x="350"/>
        <item x="35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Page" compact="0" outline="0" multipleItemSelectionAllowed="1" showAll="0" defaultSubtotal="0">
      <items count="36">
        <item h="1" x="9"/>
        <item h="1" x="7"/>
        <item h="1" x="15"/>
        <item x="13"/>
        <item h="1" x="16"/>
        <item h="1" x="6"/>
        <item h="1" x="10"/>
        <item h="1" x="11"/>
        <item h="1" x="0"/>
        <item h="1" x="4"/>
        <item h="1" x="5"/>
        <item h="1" x="8"/>
        <item h="1" x="20"/>
        <item h="1" x="14"/>
        <item h="1" x="1"/>
        <item h="1" x="12"/>
        <item h="1" x="21"/>
        <item h="1" x="2"/>
        <item h="1" x="19"/>
        <item h="1" x="17"/>
        <item h="1" x="3"/>
        <item h="1" x="18"/>
        <item h="1" x="28"/>
        <item h="1" x="22"/>
        <item h="1" x="23"/>
        <item h="1" x="24"/>
        <item h="1" x="25"/>
        <item h="1" m="1" x="35"/>
        <item h="1" x="26"/>
        <item h="1" x="27"/>
        <item h="1" x="32"/>
        <item h="1" x="29"/>
        <item h="1" x="30"/>
        <item h="1" x="31"/>
        <item h="1" x="33"/>
        <item h="1" x="34"/>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75">
        <item x="35"/>
        <item x="29"/>
        <item x="21"/>
        <item x="47"/>
        <item x="27"/>
        <item x="32"/>
        <item x="5"/>
        <item x="51"/>
        <item x="26"/>
        <item x="49"/>
        <item x="46"/>
        <item x="28"/>
        <item x="41"/>
        <item x="14"/>
        <item x="60"/>
        <item x="58"/>
        <item x="53"/>
        <item x="8"/>
        <item x="17"/>
        <item x="50"/>
        <item x="2"/>
        <item x="52"/>
        <item x="55"/>
        <item x="0"/>
        <item x="48"/>
        <item x="3"/>
        <item m="1" x="74"/>
        <item x="38"/>
        <item x="39"/>
        <item x="10"/>
        <item x="4"/>
        <item x="12"/>
        <item x="15"/>
        <item x="20"/>
        <item x="22"/>
        <item x="33"/>
        <item x="34"/>
        <item x="36"/>
        <item x="37"/>
        <item x="42"/>
        <item x="43"/>
        <item x="44"/>
        <item x="40"/>
        <item x="54"/>
        <item x="62"/>
        <item x="63"/>
        <item x="67"/>
        <item m="1" x="73"/>
        <item x="70"/>
        <item x="24"/>
        <item x="25"/>
        <item x="31"/>
        <item x="61"/>
        <item x="30"/>
        <item x="45"/>
        <item x="1"/>
        <item x="16"/>
        <item x="18"/>
        <item x="23"/>
        <item x="13"/>
        <item x="56"/>
        <item x="57"/>
        <item x="64"/>
        <item x="65"/>
        <item x="66"/>
        <item x="69"/>
        <item x="71"/>
        <item x="72"/>
        <item x="6"/>
        <item x="7"/>
        <item x="9"/>
        <item x="11"/>
        <item x="19"/>
        <item x="59"/>
        <item x="68"/>
      </items>
    </pivotField>
    <pivotField compact="0" outline="0" showAll="0" defaultSubtotal="0"/>
    <pivotField compact="0" outline="0" showAll="0" defaultSubtotal="0"/>
    <pivotField compact="0" outline="0" showAll="0" defaultSubtotal="0"/>
    <pivotField axis="axisPage" compact="0" outline="0" multipleItemSelectionAllowed="1" showAll="0" defaultSubtotal="0">
      <items count="5">
        <item h="1" x="3"/>
        <item x="0"/>
        <item h="1" x="1"/>
        <item h="1" m="1" x="4"/>
        <item h="1" x="2"/>
      </items>
    </pivotField>
    <pivotField compact="0" outline="0" showAll="0" defaultSubtotal="0"/>
    <pivotField compact="0" outline="0" subtotalTop="0" showAll="0" defaultSubtotal="0"/>
    <pivotField compact="0" outline="0" subtotalTop="0" showAll="0" defaultSubtotal="0">
      <items count="14">
        <item x="0"/>
        <item x="1"/>
        <item x="2"/>
        <item x="3"/>
        <item x="4"/>
        <item x="5"/>
        <item x="6"/>
        <item x="7"/>
        <item x="8"/>
        <item x="9"/>
        <item x="10"/>
        <item x="11"/>
        <item x="12"/>
        <item x="13"/>
      </items>
    </pivotField>
    <pivotField compact="0" outline="0" subtotalTop="0" showAll="0" defaultSubtotal="0">
      <items count="6">
        <item x="1"/>
        <item x="2"/>
        <item x="3"/>
        <item x="4"/>
        <item x="0"/>
        <item x="5"/>
      </items>
    </pivotField>
    <pivotField compact="0" outline="0" subtotalTop="0" showAll="0" defaultSubtotal="0">
      <items count="54">
        <item x="28"/>
        <item x="29"/>
        <item x="30"/>
        <item x="31"/>
        <item x="32"/>
        <item x="33"/>
        <item x="34"/>
        <item x="35"/>
        <item x="36"/>
        <item x="37"/>
        <item x="38"/>
        <item x="39"/>
        <item x="40"/>
        <item x="41"/>
        <item x="42"/>
        <item x="43"/>
        <item x="44"/>
        <item x="45"/>
        <item x="46"/>
        <item x="47"/>
        <item x="48"/>
        <item x="49"/>
        <item x="50"/>
        <item x="51"/>
        <item x="52"/>
        <item x="1"/>
        <item x="2"/>
        <item x="3"/>
        <item x="4"/>
        <item x="5"/>
        <item x="6"/>
        <item x="7"/>
        <item x="8"/>
        <item x="9"/>
        <item x="10"/>
        <item x="11"/>
        <item x="12"/>
        <item x="13"/>
        <item x="14"/>
        <item x="15"/>
        <item x="16"/>
        <item x="17"/>
        <item x="18"/>
        <item x="19"/>
        <item x="20"/>
        <item x="21"/>
        <item x="22"/>
        <item x="23"/>
        <item x="24"/>
        <item x="25"/>
        <item x="26"/>
        <item x="27"/>
        <item x="0"/>
        <item x="53"/>
      </items>
    </pivotField>
    <pivotField axis="axisCol" compact="0" outline="0" subtotalTop="0" showAll="0" defaultSubtotal="0">
      <items count="14">
        <item x="0"/>
        <item x="1"/>
        <item x="2"/>
        <item x="3"/>
        <item x="4"/>
        <item x="5"/>
        <item x="6"/>
        <item x="7"/>
        <item x="8"/>
        <item x="9"/>
        <item x="10"/>
        <item x="11"/>
        <item x="12"/>
        <item x="13"/>
      </items>
    </pivotField>
    <pivotField compact="0" outline="0" subtotalTop="0" showAll="0" defaultSubtotal="0">
      <items count="6">
        <item x="1"/>
        <item x="2"/>
        <item x="3"/>
        <item x="4"/>
        <item x="0"/>
        <item x="5"/>
      </items>
    </pivotField>
    <pivotField compact="0" outline="0" subtotalTop="0" showAll="0" defaultSubtotal="0">
      <items count="62">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0"/>
        <item x="61"/>
      </items>
    </pivotField>
    <pivotField compact="0" outline="0" subtotalTop="0" showAll="0" defaultSubtotal="0">
      <items count="14">
        <item x="0"/>
        <item x="1"/>
        <item x="2"/>
        <item x="3"/>
        <item x="4"/>
        <item x="5"/>
        <item x="6"/>
        <item x="7"/>
        <item x="8"/>
        <item x="9"/>
        <item x="10"/>
        <item x="11"/>
        <item x="12"/>
        <item x="13"/>
      </items>
    </pivotField>
    <pivotField compact="0" outline="0" subtotalTop="0" showAll="0" defaultSubtotal="0">
      <items count="6">
        <item x="1"/>
        <item x="2"/>
        <item x="3"/>
        <item x="4"/>
        <item x="0"/>
        <item x="5"/>
      </items>
    </pivotField>
    <pivotField compact="0" outline="0" subtotalTop="0" showAll="0" defaultSubtotal="0">
      <items count="4">
        <item x="1"/>
        <item x="2"/>
        <item x="0"/>
        <item x="3"/>
      </items>
    </pivotField>
  </pivotFields>
  <rowFields count="1">
    <field x="1"/>
  </rowFields>
  <colFields count="1">
    <field x="51"/>
  </colFields>
  <pageFields count="2">
    <pageField fld="30" hier="-1"/>
    <pageField fld="45" hier="-1"/>
  </pageFields>
  <formats count="2">
    <format dxfId="83">
      <pivotArea outline="0" fieldPosition="0">
        <references count="1">
          <reference field="1" count="1" selected="0">
            <x v="70"/>
          </reference>
        </references>
      </pivotArea>
    </format>
    <format dxfId="82">
      <pivotArea dataOnly="0" labelOnly="1" outline="0" fieldPosition="0">
        <references count="1">
          <reference field="1" count="1">
            <x v="70"/>
          </reference>
        </references>
      </pivotArea>
    </format>
  </formats>
  <pivotTableStyleInfo name="PivotStyleLight16" showRowHeaders="1" showColHeaders="1" showRowStripes="1" showColStripes="0" showLastColumn="1"/>
  <filters count="1">
    <filter fld="20" type="M3" evalOrder="-1" id="20">
      <autoFilter ref="A1">
        <filterColumn colId="0">
          <dynamicFilter type="M3"/>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8183848-5AD1-CC4B-9302-9791E1376106}" name="Tabla1" displayName="Tabla1" ref="A2:AV546" totalsRowShown="0" headerRowDxfId="78" dataDxfId="76" headerRowBorderDxfId="77" tableBorderDxfId="75">
  <autoFilter ref="A2:AV546" xr:uid="{F8183848-5AD1-CC4B-9302-9791E1376106}"/>
  <sortState xmlns:xlrd2="http://schemas.microsoft.com/office/spreadsheetml/2017/richdata2" ref="A3:AV544">
    <sortCondition ref="A2:A544"/>
  </sortState>
  <tableColumns count="48">
    <tableColumn id="1" xr3:uid="{F3A2395E-3E22-5A46-A1AB-C156EADC6D00}" name="#" dataDxfId="74"/>
    <tableColumn id="2" xr3:uid="{0E3D2B1D-A4E3-2D4D-A121-3B2DC5A03045}" name="Nombre*" dataDxfId="73"/>
    <tableColumn id="3" xr3:uid="{D6385F41-E204-5D48-8B89-603B159114F1}" name="Apellidos*" dataDxfId="72"/>
    <tableColumn id="4" xr3:uid="{EFE0E4A2-4E36-2843-B11D-30FD0E29FF73}" name="Tipo de documento*" dataDxfId="71"/>
    <tableColumn id="5" xr3:uid="{56D5822E-8DFC-6C4D-BE8E-BF6D392C3DCC}" name="Número documento*" dataDxfId="70" dataCellStyle="Millares"/>
    <tableColumn id="6" xr3:uid="{9D31EE0C-ADAE-6947-9769-D7EC7D7AEF2D}" name="Tipo de Contrato*" dataDxfId="69"/>
    <tableColumn id="7" xr3:uid="{A1D8B452-75A1-044D-916B-E50EB73C3F82}" name="Término del Contrato*" dataDxfId="68">
      <calculatedColumnFormula>VLOOKUP(A3,#REF!,4,FALSE)</calculatedColumnFormula>
    </tableColumn>
    <tableColumn id="8" xr3:uid="{5638702F-D8DD-5A44-AC65-498EA6102455}" name="Fecha de Contratación (dd/mm/yyyy)*" dataDxfId="67">
      <calculatedColumnFormula>VLOOKUP(A3,#REF!,5,FALSE)</calculatedColumnFormula>
    </tableColumn>
    <tableColumn id="9" xr3:uid="{EBCFB7B5-7BB8-4A43-BCBA-F5CFB68BD9F5}" name="Fecha finalización contrato (dd/mm/yyyy)" dataDxfId="66">
      <calculatedColumnFormula>VLOOKUP(A3,#REF!,6,FALSE)</calculatedColumnFormula>
    </tableColumn>
    <tableColumn id="10" xr3:uid="{1F630605-6880-4C4B-8590-C3F32EC1A301}" name="Tipo Salario*" dataDxfId="65">
      <calculatedColumnFormula>VLOOKUP(A3,#REF!,7,FALSE)</calculatedColumnFormula>
    </tableColumn>
    <tableColumn id="11" xr3:uid="{FB48462E-C39F-704C-9B72-45BC14082C0F}" name="Salario/Honorarios mensuales*" dataDxfId="64">
      <calculatedColumnFormula>VLOOKUP(A3,#REF!,8,FALSE)</calculatedColumnFormula>
    </tableColumn>
    <tableColumn id="12" xr3:uid="{4478E3E8-3F0D-8847-AFA7-65218BCEA340}" name="Subsidio de Transporte (SI/NO)*" dataDxfId="63">
      <calculatedColumnFormula>VLOOKUP(A3,#REF!,9,FALSE)</calculatedColumnFormula>
    </tableColumn>
    <tableColumn id="13" xr3:uid="{6A5B2E13-D423-374A-8564-FB666D5CCD8C}" name="Centro de trabajo (Nivel de Riesgo)*" dataDxfId="62"/>
    <tableColumn id="14" xr3:uid="{885DF1D0-72BF-ED4B-92D3-DAAEE8653769}" name="¿Permitir acceso online?" dataDxfId="61"/>
    <tableColumn id="15" xr3:uid="{0F146148-0441-8546-B3C5-5DE508A40C76}" name="Correo electrónico" dataDxfId="60"/>
    <tableColumn id="16" xr3:uid="{7629E868-C621-954C-A738-D071D44ACB2A}" name="¿Días de vacaciones acumulados?" dataDxfId="59"/>
    <tableColumn id="17" xr3:uid="{93ADF282-D715-F044-81F6-B7FD95F6664F}" name="Medio de Pago" dataDxfId="58"/>
    <tableColumn id="18" xr3:uid="{CC2FB8CE-03B1-264F-9EC3-BA4B8A64F47C}" name="Banco" dataDxfId="57"/>
    <tableColumn id="19" xr3:uid="{681A1864-49C6-B148-BAF2-9CE297FF85D4}" name="Tipo de Cuenta" dataDxfId="56"/>
    <tableColumn id="20" xr3:uid="{76EAC692-319C-5F47-B206-4DDBA5523563}" name="Número de cuenta" dataDxfId="55"/>
    <tableColumn id="21" xr3:uid="{83157C91-70A4-1449-B40C-4ED183E8DF7A}" name="Fecha Nacimento (dd/mm/yyyy)" dataDxfId="54"/>
    <tableColumn id="22" xr3:uid="{D4A1C373-D0F6-F04D-ACEA-3181D73F151B}" name="Dirección" dataDxfId="53"/>
    <tableColumn id="23" xr3:uid="{FD74C102-142F-5C48-80BF-B1D285F30016}" name="Celular" dataDxfId="52">
      <calculatedColumnFormula>VLOOKUP(A3,#REF!,10,FALSE)</calculatedColumnFormula>
    </tableColumn>
    <tableColumn id="24" xr3:uid="{4AA50FA1-91EB-5841-AB38-89F1255CF059}" name="Sede" dataDxfId="51"/>
    <tableColumn id="25" xr3:uid="{2ACB9D96-E316-5444-BC7E-BF1359867DDA}" name="Area" dataDxfId="50"/>
    <tableColumn id="26" xr3:uid="{54B49DF7-D346-A844-9438-A104AD8965E0}" name="Cargo" dataDxfId="49">
      <calculatedColumnFormula>VLOOKUP(A3,#REF!,11,FALSE)</calculatedColumnFormula>
    </tableColumn>
    <tableColumn id="27" xr3:uid="{C28913D8-2811-BB43-AFD5-6BC95D055826}" name="Centro de Costos" dataDxfId="48"/>
    <tableColumn id="28" xr3:uid="{C31C900A-2AE6-3449-AAEF-8CC9F2099565}" name="EPS" dataDxfId="47"/>
    <tableColumn id="29" xr3:uid="{3B42DB69-0349-4C4F-BECA-6CE7383C4A47}" name="Pensiones" dataDxfId="46"/>
    <tableColumn id="30" xr3:uid="{5926B0DB-F0F3-5045-B748-9C47BF0046CC}" name="Cesantias" dataDxfId="45"/>
    <tableColumn id="31" xr3:uid="{22EFFEA0-AD1F-6C45-9DAB-37838F0E05AC}" name="Empleador" dataDxfId="44">
      <calculatedColumnFormula>VLOOKUP(A3,#REF!,2,FALSE)</calculatedColumnFormula>
    </tableColumn>
    <tableColumn id="48" xr3:uid="{6E94ACC2-01EA-458B-A25E-17617EEF74F4}" name="Género" dataDxfId="43"/>
    <tableColumn id="32" xr3:uid="{A1B176C4-4B22-C847-883A-42BEBE155712}" name="Clasificación personal" dataDxfId="42"/>
    <tableColumn id="33" xr3:uid="{6B332AFA-552F-9743-9F50-4B6D5857CB74}" name="Auxilio no contitutivo de salario" dataDxfId="41"/>
    <tableColumn id="34" xr3:uid="{384B1A51-8100-CC4E-AF57-9ECAC0E56DA5}" name="Monto auxilio no constitutivo de salario" dataDxfId="40"/>
    <tableColumn id="35" xr3:uid="{B1D9AD6D-E3DC-444E-9BE4-5EC3C5D8010F}" name="Desea afiliar a beneficiarios Si/no" dataDxfId="39"/>
    <tableColumn id="36" xr3:uid="{E038BFB9-99E7-E240-9439-A1DFE3BE5215}" name="Padres,  conyuge o compañero permanente y hijos" dataDxfId="38"/>
    <tableColumn id="37" xr3:uid="{076DA444-2AF9-554F-9C23-92DEDBE97795}" name="Anexos EPS:" dataDxfId="37"/>
    <tableColumn id="38" xr3:uid="{DAF2696D-A8F9-1A4B-B288-3EF025BAFAE9}" name="Desea afiliar a beneficiarios si/no " dataDxfId="36"/>
    <tableColumn id="39" xr3:uid="{A1B70032-B710-CA4E-8EC9-5CCB202E7219}" name="Padres,  conyuge o compañero permanente y hijos2" dataDxfId="35"/>
    <tableColumn id="40" xr3:uid="{D3F24972-EB15-CF4C-81D7-4122A7EBC724}" name="Anexos CCF:" dataDxfId="34"/>
    <tableColumn id="42" xr3:uid="{D19FEB86-96FF-204C-992F-09472B616C63}" name="Fecha de retiro" dataDxfId="33"/>
    <tableColumn id="45" xr3:uid="{B462C50D-61B7-8445-ACD5-CB9365850479}" name="Causal de terminación" dataDxfId="32"/>
    <tableColumn id="43" xr3:uid="{50B2C154-CE02-CE42-99B8-87745D87142D}" name="Motivo de retiro" dataDxfId="31"/>
    <tableColumn id="44" xr3:uid="{3DF918D2-C3B5-3A48-B772-B737C6AE8246}" name="Recomendado" dataDxfId="30"/>
    <tableColumn id="46" xr3:uid="{F8BACE1A-8E9B-416D-A41C-BDFAA567AB73}" name="Status" dataDxfId="29">
      <calculatedColumnFormula>IF(ISBLANK(B3),"",IF(AP3="","Activo","Inactivo"))</calculatedColumnFormula>
    </tableColumn>
    <tableColumn id="47" xr3:uid="{BEC8446E-A4B9-477D-8E38-EA41924742CE}" name="Antigüedad" dataDxfId="28">
      <calculatedColumnFormula array="1">_xlfn.IFS(AT3="","",AT3="Activo",TODAY()-H3,AT3="Inactivo",AP3-H3)</calculatedColumnFormula>
    </tableColumn>
    <tableColumn id="41" xr3:uid="{91D05FD4-72B5-4A99-A843-10D25D428518}" name="Edad" dataDxfId="27">
      <calculatedColumnFormula>IF(ISBLANK(Tabla1[[#This Row],[Fecha Nacimento (dd/mm/yyyy)]]),"",YEARFRAC(Tabla1[[#This Row],[Fecha Nacimento (dd/mm/yyyy)]],TODAY()))</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DDBEEEF-B2B2-460B-AB88-6DECCF3F219E}" name="Tabla4" displayName="Tabla4" ref="B3:N131" totalsRowShown="0" headerRowDxfId="26" dataDxfId="25">
  <autoFilter ref="B3:N131" xr:uid="{9DDBEEEF-B2B2-460B-AB88-6DECCF3F219E}">
    <filterColumn colId="1">
      <customFilters>
        <customFilter operator="notEqual" val=" "/>
      </customFilters>
    </filterColumn>
  </autoFilter>
  <tableColumns count="13">
    <tableColumn id="12" xr3:uid="{7F1D07B2-55C7-49E6-8189-7886B8B0FAE4}" name="No. de proceso" dataDxfId="24"/>
    <tableColumn id="1" xr3:uid="{A48DFD98-AAE2-4DC3-B932-DFE3B189BA62}" name="#" dataDxfId="23"/>
    <tableColumn id="2" xr3:uid="{F2D01575-0C22-4099-A92A-D8BF4E11465E}" name="Nombre*" dataDxfId="22">
      <calculatedColumnFormula>IF(Tabla4[[#This Row],['#]]="","",VLOOKUP(C4,Tabla1[[#All],['#]:[Número documento*]],2,FALSE))</calculatedColumnFormula>
    </tableColumn>
    <tableColumn id="3" xr3:uid="{D0162685-DDAB-4942-B51E-F854E23FEE41}" name="Apellidos*" dataDxfId="21">
      <calculatedColumnFormula>IF(Tabla4[[#This Row],['#]]="","",VLOOKUP(C4,Tabla1[[#All],['#]:[Número documento*]],3,FALSE))</calculatedColumnFormula>
    </tableColumn>
    <tableColumn id="4" xr3:uid="{F677462C-C95D-4AE5-BCE9-8ED50911E854}" name="Tipo de documento*" dataDxfId="20">
      <calculatedColumnFormula>IF(Tabla4[[#This Row],['#]]="","",VLOOKUP(C4,Tabla1[[#All],['#]:[Número documento*]],4,FALSE))</calculatedColumnFormula>
    </tableColumn>
    <tableColumn id="5" xr3:uid="{A530BB37-3D08-4ADE-98E6-AFAACCED2877}" name="Número documento*" dataDxfId="19" dataCellStyle="Millares">
      <calculatedColumnFormula>IF(Tabla4[[#This Row],['#]]="","",VLOOKUP(C4,Tabla1[[#All],['#]:[Número documento*]],5,FALSE))</calculatedColumnFormula>
    </tableColumn>
    <tableColumn id="6" xr3:uid="{4BCE3C6D-36F1-4C33-8DDA-6F0C84F13273}" name="Empleador" dataDxfId="18">
      <calculatedColumnFormula>IF(Tabla4[[#This Row],['#]]="","",VLOOKUP(C4,Tabla1[[#All],['#]:[Empleador]],31,FALSE))</calculatedColumnFormula>
    </tableColumn>
    <tableColumn id="13" xr3:uid="{32385DC3-2D33-48F2-ADD6-64246D954004}" name="Fecha de recepción" dataDxfId="17"/>
    <tableColumn id="8" xr3:uid="{A72582A8-45F0-4AE6-A0D5-87B7D039500D}" name="Falta" dataDxfId="16"/>
    <tableColumn id="7" xr3:uid="{1D9CDB89-1F5C-432F-A30F-2853D326A37B}" name="Fecha recordatorio de funciones" dataDxfId="15"/>
    <tableColumn id="9" xr3:uid="{8DC915FB-096C-4906-A185-4518747B7C75}" name="Fecha diligencia de descargos" dataDxfId="14"/>
    <tableColumn id="10" xr3:uid="{DDAE5157-1D97-4617-98E6-BAAD462B2810}" name="Decisión" dataDxfId="13"/>
    <tableColumn id="16" xr3:uid="{90C6EEE3-C54D-452B-8E8D-B87ACA6D72F0}" name="Días suspensión" dataDxfId="12"/>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18938E5-1755-7A47-9494-78FE2DA88A41}" name="Tabla2" displayName="Tabla2" ref="B2:M55" totalsRowShown="0" headerRowDxfId="9" headerRowBorderDxfId="8">
  <autoFilter ref="B2:M55" xr:uid="{218938E5-1755-7A47-9494-78FE2DA88A41}">
    <filterColumn colId="0">
      <filters>
        <filter val="Valentina Roa"/>
      </filters>
    </filterColumn>
  </autoFilter>
  <sortState xmlns:xlrd2="http://schemas.microsoft.com/office/spreadsheetml/2017/richdata2" ref="B36:L36">
    <sortCondition ref="B2:B55"/>
  </sortState>
  <tableColumns count="12">
    <tableColumn id="1" xr3:uid="{43B5B4CD-8256-134C-AA30-1A2F4246F4B7}" name="Nombre y apellidos/ Razón social:"/>
    <tableColumn id="9" xr3:uid="{42E8FEB3-14E2-F445-90D3-368F0E288DB0}" name="Tipo de documento "/>
    <tableColumn id="2" xr3:uid="{E1940AB3-8836-304D-8B05-6AF65608CB62}" name="Número de documento" dataDxfId="7"/>
    <tableColumn id="3" xr3:uid="{230EF9EE-B795-224D-BE46-F5C3C6E89F34}" name="Representante: "/>
    <tableColumn id="8" xr3:uid="{CB275F3C-8532-634D-BC98-08FCCDD33EA2}" name="Tipo de documento representante:"/>
    <tableColumn id="4" xr3:uid="{823F7B32-56CF-7A4C-96B0-C5378A97A5FB}" name="Identificación Representante: "/>
    <tableColumn id="5" xr3:uid="{9B54FD39-A136-9B4E-A7ED-9AA2A8C8CA23}" name="Teléfono: "/>
    <tableColumn id="6" xr3:uid="{7D447703-D4DD-C14E-8A5F-D5FBDA1313D9}" name="Correo electrónico:"/>
    <tableColumn id="7" xr3:uid="{662AA0A0-37C1-8149-B45B-F60E6F8E7370}" name="Dirección:"/>
    <tableColumn id="10" xr3:uid="{A0805ABD-87FB-A044-BC99-23DCD9BE3150}" name="Ciudad"/>
    <tableColumn id="11" xr3:uid="{5B4E6D30-A17F-4655-8C94-A0B82BAFAA25}" name="Periodicidad de pago"/>
    <tableColumn id="12" xr3:uid="{AEBB26D9-751D-4C02-AF2B-C1CB64A806E0}" name="Columna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04D24A8-71D0-4DBD-97ED-56A14E991072}" name="DATOSDENOMINA" displayName="DATOSDENOMINA" ref="B2:C6" totalsRowShown="0">
  <autoFilter ref="B2:C6" xr:uid="{804D24A8-71D0-4DBD-97ED-56A14E991072}"/>
  <tableColumns count="2">
    <tableColumn id="1" xr3:uid="{B7400898-4F3B-4D99-8622-0A6566586BED}" name="CONCEPTO" dataDxfId="6" dataCellStyle="Normal 2"/>
    <tableColumn id="2" xr3:uid="{EA70B200-4643-48A2-A6AD-3028F90F98DA}" name="VALOR" dataDxfId="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DFC5395-B29F-4567-BC28-F2BE4E8A41CF}" name="Tabla5" displayName="Tabla5" ref="B2:F14" totalsRowShown="0" headerRowDxfId="4">
  <autoFilter ref="B2:F14" xr:uid="{BDFC5395-B29F-4567-BC28-F2BE4E8A41CF}"/>
  <tableColumns count="5">
    <tableColumn id="1" xr3:uid="{B972C110-AFD6-4241-9844-5929678860A0}" name="MES" dataDxfId="3"/>
    <tableColumn id="2" xr3:uid="{D5B711C1-061A-4507-B761-36825F0344CB}" name="Desde" dataDxfId="2"/>
    <tableColumn id="3" xr3:uid="{BD9A8E13-16B8-4885-8267-49B70C7041E4}" name="Hasta" dataDxfId="1"/>
    <tableColumn id="4" xr3:uid="{FAA73CB5-1B31-40EE-A0C5-D5DC692154A5}" name="EVENTO" dataDxfId="0"/>
    <tableColumn id="5" xr3:uid="{1AD3FE9D-C714-4AA1-9F5B-2917F22F2E8D}" name="MES2">
      <calculatedColumnFormula>MONTH(C3)</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Vidrio esmerilado">
      <a:fillStyleLst>
        <a:solidFill>
          <a:schemeClr val="phClr"/>
        </a:solidFill>
        <a:gradFill rotWithShape="1">
          <a:gsLst>
            <a:gs pos="0">
              <a:schemeClr val="phClr">
                <a:tint val="1000"/>
                <a:satMod val="100000"/>
              </a:schemeClr>
            </a:gs>
            <a:gs pos="68000">
              <a:schemeClr val="phClr">
                <a:tint val="77000"/>
                <a:satMod val="100000"/>
              </a:schemeClr>
            </a:gs>
            <a:gs pos="81000">
              <a:schemeClr val="phClr">
                <a:tint val="79000"/>
                <a:satMod val="100000"/>
              </a:schemeClr>
            </a:gs>
            <a:gs pos="86000">
              <a:schemeClr val="phClr">
                <a:tint val="73000"/>
                <a:satMod val="100000"/>
              </a:schemeClr>
            </a:gs>
            <a:gs pos="100000">
              <a:schemeClr val="phClr">
                <a:tint val="35000"/>
                <a:satMod val="100000"/>
              </a:schemeClr>
            </a:gs>
          </a:gsLst>
          <a:lin ang="5400000" scaled="0"/>
        </a:gradFill>
        <a:gradFill rotWithShape="1">
          <a:gsLst>
            <a:gs pos="0">
              <a:schemeClr val="phClr">
                <a:tint val="73000"/>
                <a:shade val="100000"/>
                <a:satMod val="150000"/>
              </a:schemeClr>
            </a:gs>
            <a:gs pos="25000">
              <a:schemeClr val="phClr">
                <a:tint val="96000"/>
                <a:shade val="80000"/>
                <a:satMod val="105000"/>
              </a:schemeClr>
            </a:gs>
            <a:gs pos="38000">
              <a:schemeClr val="phClr">
                <a:tint val="96000"/>
                <a:shade val="59000"/>
                <a:satMod val="120000"/>
              </a:schemeClr>
            </a:gs>
            <a:gs pos="55000">
              <a:schemeClr val="phClr">
                <a:tint val="100000"/>
                <a:shade val="57000"/>
                <a:satMod val="120000"/>
              </a:schemeClr>
            </a:gs>
            <a:gs pos="80000">
              <a:schemeClr val="phClr">
                <a:tint val="100000"/>
                <a:shade val="56000"/>
                <a:satMod val="145000"/>
              </a:schemeClr>
            </a:gs>
            <a:gs pos="88000">
              <a:schemeClr val="phClr">
                <a:tint val="100000"/>
                <a:shade val="63000"/>
                <a:satMod val="160000"/>
              </a:schemeClr>
            </a:gs>
            <a:gs pos="100000">
              <a:schemeClr val="phClr">
                <a:tint val="99000"/>
                <a:shade val="100000"/>
                <a:satMod val="155000"/>
              </a:schemeClr>
            </a:gs>
          </a:gsLst>
          <a:lin ang="54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effectStyle>
        <a:effectStyle>
          <a:effectLst/>
          <a:scene3d>
            <a:camera prst="orthographicFront">
              <a:rot lat="0" lon="0" rev="0"/>
            </a:camera>
            <a:lightRig rig="glow" dir="tl">
              <a:rot lat="0" lon="0" rev="1800000"/>
            </a:lightRig>
          </a:scene3d>
          <a:sp3d contourW="10160" prstMaterial="dkEdge">
            <a:bevelT w="0" h="0" prst="angle"/>
            <a:contourClr>
              <a:schemeClr val="phClr">
                <a:shade val="30000"/>
                <a:satMod val="150000"/>
              </a:schemeClr>
            </a:contourClr>
          </a:sp3d>
        </a:effectStyle>
        <a:effectStyle>
          <a:effectLst>
            <a:glow rad="50800">
              <a:schemeClr val="phClr">
                <a:tint val="68000"/>
                <a:shade val="93000"/>
                <a:alpha val="37000"/>
                <a:satMod val="250000"/>
              </a:schemeClr>
            </a:glow>
          </a:effectLst>
          <a:scene3d>
            <a:camera prst="orthographicFront">
              <a:rot lat="0" lon="0" rev="0"/>
            </a:camera>
            <a:lightRig rig="glow" dir="t">
              <a:rot lat="0" lon="0" rev="1800000"/>
            </a:lightRig>
          </a:scene3d>
          <a:sp3d contourW="10160" prstMaterial="dkEdge">
            <a:bevelT w="20320" h="19050" prst="angle"/>
            <a:contourClr>
              <a:schemeClr val="phClr">
                <a:shade val="30000"/>
                <a:satMod val="150000"/>
              </a:schemeClr>
            </a:contourClr>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drawing" Target="../drawings/drawing2.xm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17" Type="http://schemas.openxmlformats.org/officeDocument/2006/relationships/hyperlink" Target="mailto:muelasnilsa@gmail.com" TargetMode="External"/><Relationship Id="rId299" Type="http://schemas.openxmlformats.org/officeDocument/2006/relationships/hyperlink" Target="mailto:Karoldayana1995@hotmail.com" TargetMode="External"/><Relationship Id="rId21" Type="http://schemas.openxmlformats.org/officeDocument/2006/relationships/hyperlink" Target="mailto:sebastiancobete716@gmail.com" TargetMode="External"/><Relationship Id="rId63" Type="http://schemas.openxmlformats.org/officeDocument/2006/relationships/hyperlink" Target="mailto:Danielandresmunoz64@gmail.com" TargetMode="External"/><Relationship Id="rId159" Type="http://schemas.openxmlformats.org/officeDocument/2006/relationships/hyperlink" Target="mailto:wilmergallegomunoz@gmail.com" TargetMode="External"/><Relationship Id="rId324" Type="http://schemas.openxmlformats.org/officeDocument/2006/relationships/hyperlink" Target="mailto:danielgiraldo99-@hotmail.com" TargetMode="External"/><Relationship Id="rId366" Type="http://schemas.openxmlformats.org/officeDocument/2006/relationships/hyperlink" Target="mailto:Sti69.sil99@gmail.com" TargetMode="External"/><Relationship Id="rId170" Type="http://schemas.openxmlformats.org/officeDocument/2006/relationships/hyperlink" Target="mailto:lopezcorreamariafernanda53@gmail.com" TargetMode="External"/><Relationship Id="rId226" Type="http://schemas.openxmlformats.org/officeDocument/2006/relationships/hyperlink" Target="mailto:restaurante-elsolar@hotmail.com" TargetMode="External"/><Relationship Id="rId268" Type="http://schemas.openxmlformats.org/officeDocument/2006/relationships/hyperlink" Target="mailto:aljames8@gmail.com" TargetMode="External"/><Relationship Id="rId32" Type="http://schemas.openxmlformats.org/officeDocument/2006/relationships/hyperlink" Target="mailto:yancarlossuaza2@gmail.com" TargetMode="External"/><Relationship Id="rId74" Type="http://schemas.openxmlformats.org/officeDocument/2006/relationships/hyperlink" Target="mailto:reysolorzanoesteban@gmail.com" TargetMode="External"/><Relationship Id="rId128" Type="http://schemas.openxmlformats.org/officeDocument/2006/relationships/hyperlink" Target="mailto:leandro.torres93@hotmail.com" TargetMode="External"/><Relationship Id="rId335" Type="http://schemas.openxmlformats.org/officeDocument/2006/relationships/hyperlink" Target="mailto:millerladychavez@gmail.com" TargetMode="External"/><Relationship Id="rId5" Type="http://schemas.openxmlformats.org/officeDocument/2006/relationships/hyperlink" Target="mailto:jhon23@gmail.com" TargetMode="External"/><Relationship Id="rId181" Type="http://schemas.openxmlformats.org/officeDocument/2006/relationships/hyperlink" Target="mailto:mariarincono1166@gmail.com" TargetMode="External"/><Relationship Id="rId237" Type="http://schemas.openxmlformats.org/officeDocument/2006/relationships/hyperlink" Target="mailto:oswaldo23@gmail.com" TargetMode="External"/><Relationship Id="rId279" Type="http://schemas.openxmlformats.org/officeDocument/2006/relationships/hyperlink" Target="mailto:mariaesnerycaicedo@hotmail.com" TargetMode="External"/><Relationship Id="rId43" Type="http://schemas.openxmlformats.org/officeDocument/2006/relationships/hyperlink" Target="mailto:cesar_amartinez37@hotmail.com" TargetMode="External"/><Relationship Id="rId139" Type="http://schemas.openxmlformats.org/officeDocument/2006/relationships/hyperlink" Target="mailto:oscargaleano5681@gmail.com" TargetMode="External"/><Relationship Id="rId290" Type="http://schemas.openxmlformats.org/officeDocument/2006/relationships/hyperlink" Target="mailto:aurism29@hotmail.com" TargetMode="External"/><Relationship Id="rId304" Type="http://schemas.openxmlformats.org/officeDocument/2006/relationships/hyperlink" Target="mailto:mmdaniela1016@gmail.com" TargetMode="External"/><Relationship Id="rId346" Type="http://schemas.openxmlformats.org/officeDocument/2006/relationships/hyperlink" Target="mailto:ezapatavergra@gmail.com" TargetMode="External"/><Relationship Id="rId85" Type="http://schemas.openxmlformats.org/officeDocument/2006/relationships/hyperlink" Target="mailto:jessilievano13@gmail.com" TargetMode="External"/><Relationship Id="rId150" Type="http://schemas.openxmlformats.org/officeDocument/2006/relationships/hyperlink" Target="mailto:jz985357@gmail.com" TargetMode="External"/><Relationship Id="rId192" Type="http://schemas.openxmlformats.org/officeDocument/2006/relationships/hyperlink" Target="mailto:newmanlozada8@gmail.com" TargetMode="External"/><Relationship Id="rId206" Type="http://schemas.openxmlformats.org/officeDocument/2006/relationships/hyperlink" Target="mailto:linamarcelazapatatamayo@gmail.com" TargetMode="External"/><Relationship Id="rId248" Type="http://schemas.openxmlformats.org/officeDocument/2006/relationships/hyperlink" Target="mailto:joselondonlainez@gmail.com" TargetMode="External"/><Relationship Id="rId12" Type="http://schemas.openxmlformats.org/officeDocument/2006/relationships/hyperlink" Target="mailto:parraquinterodavid9@gmail.com" TargetMode="External"/><Relationship Id="rId108" Type="http://schemas.openxmlformats.org/officeDocument/2006/relationships/hyperlink" Target="mailto:paty-1977@hotmail.com" TargetMode="External"/><Relationship Id="rId315" Type="http://schemas.openxmlformats.org/officeDocument/2006/relationships/hyperlink" Target="mailto:yohanaaleans123@gmail.com" TargetMode="External"/><Relationship Id="rId357" Type="http://schemas.openxmlformats.org/officeDocument/2006/relationships/hyperlink" Target="mailto:fabionelsongonzalez563@gmail.com" TargetMode="External"/><Relationship Id="rId54" Type="http://schemas.openxmlformats.org/officeDocument/2006/relationships/hyperlink" Target="mailto:armandoandrademe@gmail.com" TargetMode="External"/><Relationship Id="rId96" Type="http://schemas.openxmlformats.org/officeDocument/2006/relationships/hyperlink" Target="mailto:vialtoes75@hotmail.com" TargetMode="External"/><Relationship Id="rId161" Type="http://schemas.openxmlformats.org/officeDocument/2006/relationships/hyperlink" Target="mailto:101182@hotmail.com" TargetMode="External"/><Relationship Id="rId217" Type="http://schemas.openxmlformats.org/officeDocument/2006/relationships/hyperlink" Target="mailto:aleja.2185@hotmail.com" TargetMode="External"/><Relationship Id="rId259" Type="http://schemas.openxmlformats.org/officeDocument/2006/relationships/hyperlink" Target="mailto:chillin1009@gmail.com" TargetMode="External"/><Relationship Id="rId23" Type="http://schemas.openxmlformats.org/officeDocument/2006/relationships/hyperlink" Target="mailto:juanda15garcia@hotmail.com" TargetMode="External"/><Relationship Id="rId119" Type="http://schemas.openxmlformats.org/officeDocument/2006/relationships/hyperlink" Target="mailto:juancardona23@gmail.com" TargetMode="External"/><Relationship Id="rId270" Type="http://schemas.openxmlformats.org/officeDocument/2006/relationships/hyperlink" Target="mailto:lilianabrito04@gmail.com" TargetMode="External"/><Relationship Id="rId326" Type="http://schemas.openxmlformats.org/officeDocument/2006/relationships/hyperlink" Target="mailto:lady.johanna.salazar@hotmail.com" TargetMode="External"/><Relationship Id="rId65" Type="http://schemas.openxmlformats.org/officeDocument/2006/relationships/hyperlink" Target="mailto:jabeto007@gmail.com" TargetMode="External"/><Relationship Id="rId130" Type="http://schemas.openxmlformats.org/officeDocument/2006/relationships/hyperlink" Target="mailto:quinterogarciajesusbernardo@gmail.com" TargetMode="External"/><Relationship Id="rId368" Type="http://schemas.openxmlformats.org/officeDocument/2006/relationships/drawing" Target="../drawings/drawing3.xml"/><Relationship Id="rId172" Type="http://schemas.openxmlformats.org/officeDocument/2006/relationships/hyperlink" Target="mailto:andreagonzalezcortez@gmail.com" TargetMode="External"/><Relationship Id="rId228" Type="http://schemas.openxmlformats.org/officeDocument/2006/relationships/hyperlink" Target="mailto:doralilialopez@gmail.com" TargetMode="External"/><Relationship Id="rId281" Type="http://schemas.openxmlformats.org/officeDocument/2006/relationships/hyperlink" Target="mailto:rubianosofia21@gmail.com" TargetMode="External"/><Relationship Id="rId337" Type="http://schemas.openxmlformats.org/officeDocument/2006/relationships/hyperlink" Target="mailto:capazruben123@gmail.com" TargetMode="External"/><Relationship Id="rId34" Type="http://schemas.openxmlformats.org/officeDocument/2006/relationships/hyperlink" Target="mailto:Nellynuqui2013@gmail.com" TargetMode="External"/><Relationship Id="rId76" Type="http://schemas.openxmlformats.org/officeDocument/2006/relationships/hyperlink" Target="mailto:hernandarios2@gmail.com" TargetMode="External"/><Relationship Id="rId141" Type="http://schemas.openxmlformats.org/officeDocument/2006/relationships/hyperlink" Target="mailto:jgonsalesleg@gmail.com" TargetMode="External"/><Relationship Id="rId7" Type="http://schemas.openxmlformats.org/officeDocument/2006/relationships/hyperlink" Target="mailto:vrincon822525@cue.edu.co" TargetMode="External"/><Relationship Id="rId183" Type="http://schemas.openxmlformats.org/officeDocument/2006/relationships/hyperlink" Target="mailto:marinfabio.500@gmail.com" TargetMode="External"/><Relationship Id="rId239" Type="http://schemas.openxmlformats.org/officeDocument/2006/relationships/hyperlink" Target="mailto:vimco711@gmail.com" TargetMode="External"/><Relationship Id="rId250" Type="http://schemas.openxmlformats.org/officeDocument/2006/relationships/hyperlink" Target="mailto:propero@gmail.com" TargetMode="External"/><Relationship Id="rId292" Type="http://schemas.openxmlformats.org/officeDocument/2006/relationships/hyperlink" Target="mailto:claudiarubenchopepa@gmail.com" TargetMode="External"/><Relationship Id="rId306" Type="http://schemas.openxmlformats.org/officeDocument/2006/relationships/hyperlink" Target="mailto:aljago@gmail.com" TargetMode="External"/><Relationship Id="rId45" Type="http://schemas.openxmlformats.org/officeDocument/2006/relationships/hyperlink" Target="mailto:lhernandezfr@gmail.com" TargetMode="External"/><Relationship Id="rId87" Type="http://schemas.openxmlformats.org/officeDocument/2006/relationships/hyperlink" Target="mailto:ferneyalvarez@gmail.com" TargetMode="External"/><Relationship Id="rId110" Type="http://schemas.openxmlformats.org/officeDocument/2006/relationships/hyperlink" Target="mailto:amontoyafayad@hotmail.com" TargetMode="External"/><Relationship Id="rId348" Type="http://schemas.openxmlformats.org/officeDocument/2006/relationships/hyperlink" Target="mailto:cardonamiguelangel864@gmail.com" TargetMode="External"/><Relationship Id="rId152" Type="http://schemas.openxmlformats.org/officeDocument/2006/relationships/hyperlink" Target="mailto:edisonromerogarzon@gmail.com" TargetMode="External"/><Relationship Id="rId194" Type="http://schemas.openxmlformats.org/officeDocument/2006/relationships/hyperlink" Target="mailto:ingridyohana993@gmail.com" TargetMode="External"/><Relationship Id="rId208" Type="http://schemas.openxmlformats.org/officeDocument/2006/relationships/hyperlink" Target="mailto:mafecitarojas.2001@gmail.com" TargetMode="External"/><Relationship Id="rId261" Type="http://schemas.openxmlformats.org/officeDocument/2006/relationships/hyperlink" Target="mailto:jessi.ore.16@hotmail.com" TargetMode="External"/><Relationship Id="rId14" Type="http://schemas.openxmlformats.org/officeDocument/2006/relationships/hyperlink" Target="mailto:linamena1983@hotmail.com" TargetMode="External"/><Relationship Id="rId56" Type="http://schemas.openxmlformats.org/officeDocument/2006/relationships/hyperlink" Target="mailto:Vickymartinez5253@gmail.com" TargetMode="External"/><Relationship Id="rId317" Type="http://schemas.openxmlformats.org/officeDocument/2006/relationships/hyperlink" Target="mailto:luceromarher@gmail.com" TargetMode="External"/><Relationship Id="rId359" Type="http://schemas.openxmlformats.org/officeDocument/2006/relationships/hyperlink" Target="mailto:Ospinajaiver04@gmail.com" TargetMode="External"/><Relationship Id="rId98" Type="http://schemas.openxmlformats.org/officeDocument/2006/relationships/hyperlink" Target="mailto:jcrivera646@gmail.com" TargetMode="External"/><Relationship Id="rId121" Type="http://schemas.openxmlformats.org/officeDocument/2006/relationships/hyperlink" Target="mailto:linisquiroz@hotmail.com" TargetMode="External"/><Relationship Id="rId163" Type="http://schemas.openxmlformats.org/officeDocument/2006/relationships/hyperlink" Target="mailto:carlosjgomezgiraldo3@gmail.com" TargetMode="External"/><Relationship Id="rId219" Type="http://schemas.openxmlformats.org/officeDocument/2006/relationships/hyperlink" Target="mailto:sandrabarreto0844@gmail.com" TargetMode="External"/><Relationship Id="rId230" Type="http://schemas.openxmlformats.org/officeDocument/2006/relationships/hyperlink" Target="mailto:joselondonolainez@gmail.com" TargetMode="External"/><Relationship Id="rId25" Type="http://schemas.openxmlformats.org/officeDocument/2006/relationships/hyperlink" Target="mailto:kathabocan407@gmail.com" TargetMode="External"/><Relationship Id="rId67" Type="http://schemas.openxmlformats.org/officeDocument/2006/relationships/hyperlink" Target="mailto:anarubeliagiraldoduque@gmail.com" TargetMode="External"/><Relationship Id="rId272" Type="http://schemas.openxmlformats.org/officeDocument/2006/relationships/hyperlink" Target="mailto:muchachitasuarez31@gmail.com" TargetMode="External"/><Relationship Id="rId328" Type="http://schemas.openxmlformats.org/officeDocument/2006/relationships/hyperlink" Target="mailto:juridicosbaena@gmail.com" TargetMode="External"/><Relationship Id="rId132" Type="http://schemas.openxmlformats.org/officeDocument/2006/relationships/hyperlink" Target="mailto:yuliana.314591@gmail.com" TargetMode="External"/><Relationship Id="rId174" Type="http://schemas.openxmlformats.org/officeDocument/2006/relationships/hyperlink" Target="mailto:pachocalde03@gmail.com" TargetMode="External"/><Relationship Id="rId241" Type="http://schemas.openxmlformats.org/officeDocument/2006/relationships/hyperlink" Target="mailto:germanariasarcos@yahoo.es" TargetMode="External"/><Relationship Id="rId15" Type="http://schemas.openxmlformats.org/officeDocument/2006/relationships/hyperlink" Target="mailto:jhoanarestrepo331@gmail.com" TargetMode="External"/><Relationship Id="rId36" Type="http://schemas.openxmlformats.org/officeDocument/2006/relationships/hyperlink" Target="mailto:orduweysanchezmartinez@gmail.com" TargetMode="External"/><Relationship Id="rId57" Type="http://schemas.openxmlformats.org/officeDocument/2006/relationships/hyperlink" Target="mailto:viandrea333.vq@gmail.com" TargetMode="External"/><Relationship Id="rId262" Type="http://schemas.openxmlformats.org/officeDocument/2006/relationships/hyperlink" Target="mailto:maria@gomezvalencia.com" TargetMode="External"/><Relationship Id="rId283" Type="http://schemas.openxmlformats.org/officeDocument/2006/relationships/hyperlink" Target="mailto:sotocardenashenry@gmail.com" TargetMode="External"/><Relationship Id="rId318" Type="http://schemas.openxmlformats.org/officeDocument/2006/relationships/hyperlink" Target="mailto:emilialopezgiraldo@gmail.com" TargetMode="External"/><Relationship Id="rId339" Type="http://schemas.openxmlformats.org/officeDocument/2006/relationships/hyperlink" Target="mailto:andrea.londono.silva@gmail.com" TargetMode="External"/><Relationship Id="rId78" Type="http://schemas.openxmlformats.org/officeDocument/2006/relationships/hyperlink" Target="mailto:rodrigoamayaperez65@gmail.com" TargetMode="External"/><Relationship Id="rId99" Type="http://schemas.openxmlformats.org/officeDocument/2006/relationships/hyperlink" Target="mailto:alice.roxette@gmail.com" TargetMode="External"/><Relationship Id="rId101" Type="http://schemas.openxmlformats.org/officeDocument/2006/relationships/hyperlink" Target="mailto:rodriguezkrloss@gmail.com" TargetMode="External"/><Relationship Id="rId122" Type="http://schemas.openxmlformats.org/officeDocument/2006/relationships/hyperlink" Target="mailto:mstevencaceres@gmail.com" TargetMode="External"/><Relationship Id="rId143" Type="http://schemas.openxmlformats.org/officeDocument/2006/relationships/hyperlink" Target="mailto:cal0519@hotmail.com" TargetMode="External"/><Relationship Id="rId164" Type="http://schemas.openxmlformats.org/officeDocument/2006/relationships/hyperlink" Target="mailto:ppmolinaf@uqvirtual.edu.co" TargetMode="External"/><Relationship Id="rId185" Type="http://schemas.openxmlformats.org/officeDocument/2006/relationships/hyperlink" Target="mailto:cal0519@hotmail.com" TargetMode="External"/><Relationship Id="rId350" Type="http://schemas.openxmlformats.org/officeDocument/2006/relationships/hyperlink" Target="mailto:rodriguezkrloss@gmail.com" TargetMode="External"/><Relationship Id="rId9" Type="http://schemas.openxmlformats.org/officeDocument/2006/relationships/hyperlink" Target="mailto:luzmorales2@gmail.com" TargetMode="External"/><Relationship Id="rId210" Type="http://schemas.openxmlformats.org/officeDocument/2006/relationships/hyperlink" Target="mailto:luisfernandorestrepo623@gmail.com" TargetMode="External"/><Relationship Id="rId26" Type="http://schemas.openxmlformats.org/officeDocument/2006/relationships/hyperlink" Target="mailto:camilapaezr@gmail.com" TargetMode="External"/><Relationship Id="rId231" Type="http://schemas.openxmlformats.org/officeDocument/2006/relationships/hyperlink" Target="mailto:fabio1818mo@gmail.com" TargetMode="External"/><Relationship Id="rId252" Type="http://schemas.openxmlformats.org/officeDocument/2006/relationships/hyperlink" Target="mailto:loreangelbetanco@gmail.com" TargetMode="External"/><Relationship Id="rId273" Type="http://schemas.openxmlformats.org/officeDocument/2006/relationships/hyperlink" Target="mailto:soleykris@gmail.com" TargetMode="External"/><Relationship Id="rId294" Type="http://schemas.openxmlformats.org/officeDocument/2006/relationships/hyperlink" Target="mailto:yenyduran59@gmail.com" TargetMode="External"/><Relationship Id="rId308" Type="http://schemas.openxmlformats.org/officeDocument/2006/relationships/hyperlink" Target="mailto:vargasmoralesaydee18@gmail.com" TargetMode="External"/><Relationship Id="rId329" Type="http://schemas.openxmlformats.org/officeDocument/2006/relationships/hyperlink" Target="mailto:vl454339@gmail.com" TargetMode="External"/><Relationship Id="rId47" Type="http://schemas.openxmlformats.org/officeDocument/2006/relationships/hyperlink" Target="mailto:Trejos.92@hotmail.com" TargetMode="External"/><Relationship Id="rId68" Type="http://schemas.openxmlformats.org/officeDocument/2006/relationships/hyperlink" Target="mailto:amedinad1@ucentral.edu.co" TargetMode="External"/><Relationship Id="rId89" Type="http://schemas.openxmlformats.org/officeDocument/2006/relationships/hyperlink" Target="mailto:jhonbri&#241;ez@gmail.com" TargetMode="External"/><Relationship Id="rId112" Type="http://schemas.openxmlformats.org/officeDocument/2006/relationships/hyperlink" Target="mailto:angierojas020413@gmail.com" TargetMode="External"/><Relationship Id="rId133" Type="http://schemas.openxmlformats.org/officeDocument/2006/relationships/hyperlink" Target="mailto:hugor8958@gmail.com" TargetMode="External"/><Relationship Id="rId154" Type="http://schemas.openxmlformats.org/officeDocument/2006/relationships/hyperlink" Target="mailto:cejsa@hotmail.com" TargetMode="External"/><Relationship Id="rId175" Type="http://schemas.openxmlformats.org/officeDocument/2006/relationships/hyperlink" Target="mailto:dayanc1614@hotmail.com" TargetMode="External"/><Relationship Id="rId340" Type="http://schemas.openxmlformats.org/officeDocument/2006/relationships/hyperlink" Target="mailto:gatofelix796@gmail.com" TargetMode="External"/><Relationship Id="rId361" Type="http://schemas.openxmlformats.org/officeDocument/2006/relationships/hyperlink" Target="mailto:alvamontora1970@gmail.com" TargetMode="External"/><Relationship Id="rId196" Type="http://schemas.openxmlformats.org/officeDocument/2006/relationships/hyperlink" Target="mailto:angelicamariaariza@gmail.com" TargetMode="External"/><Relationship Id="rId200" Type="http://schemas.openxmlformats.org/officeDocument/2006/relationships/hyperlink" Target="mailto:luigarcialon1905@gmail.com" TargetMode="External"/><Relationship Id="rId16" Type="http://schemas.openxmlformats.org/officeDocument/2006/relationships/hyperlink" Target="mailto:arcequiceno@hotmail.com" TargetMode="External"/><Relationship Id="rId221" Type="http://schemas.openxmlformats.org/officeDocument/2006/relationships/hyperlink" Target="mailto:groriaigarcia@hotmail.com" TargetMode="External"/><Relationship Id="rId242" Type="http://schemas.openxmlformats.org/officeDocument/2006/relationships/hyperlink" Target="mailto:mariobask12@hotmail.com" TargetMode="External"/><Relationship Id="rId263" Type="http://schemas.openxmlformats.org/officeDocument/2006/relationships/hyperlink" Target="mailto:santiago@gomezvalencia.com" TargetMode="External"/><Relationship Id="rId284" Type="http://schemas.openxmlformats.org/officeDocument/2006/relationships/hyperlink" Target="mailto:cgomez@ng-zf.com" TargetMode="External"/><Relationship Id="rId319" Type="http://schemas.openxmlformats.org/officeDocument/2006/relationships/hyperlink" Target="mailto:natalialatorre47@gmail.com" TargetMode="External"/><Relationship Id="rId37" Type="http://schemas.openxmlformats.org/officeDocument/2006/relationships/hyperlink" Target="mailto:alejandra.pardo1190@gmail.com" TargetMode="External"/><Relationship Id="rId58" Type="http://schemas.openxmlformats.org/officeDocument/2006/relationships/hyperlink" Target="mailto:juankgll@hotmail.com" TargetMode="External"/><Relationship Id="rId79" Type="http://schemas.openxmlformats.org/officeDocument/2006/relationships/hyperlink" Target="mailto:trujillojhonatan017@gmail.com" TargetMode="External"/><Relationship Id="rId102" Type="http://schemas.openxmlformats.org/officeDocument/2006/relationships/hyperlink" Target="mailto:mariaalejandragranados1997@gmail.com" TargetMode="External"/><Relationship Id="rId123" Type="http://schemas.openxmlformats.org/officeDocument/2006/relationships/hyperlink" Target="mailto:pandre1998@hotmail.com" TargetMode="External"/><Relationship Id="rId144" Type="http://schemas.openxmlformats.org/officeDocument/2006/relationships/hyperlink" Target="mailto:auramarianarios824@gmail.com" TargetMode="External"/><Relationship Id="rId330" Type="http://schemas.openxmlformats.org/officeDocument/2006/relationships/hyperlink" Target="mailto:jdat2013@hotmail.com" TargetMode="External"/><Relationship Id="rId90" Type="http://schemas.openxmlformats.org/officeDocument/2006/relationships/hyperlink" Target="mailto:efrain23@gmail.com" TargetMode="External"/><Relationship Id="rId165" Type="http://schemas.openxmlformats.org/officeDocument/2006/relationships/hyperlink" Target="mailto:minitrufa02@gmail.com" TargetMode="External"/><Relationship Id="rId186" Type="http://schemas.openxmlformats.org/officeDocument/2006/relationships/hyperlink" Target="mailto:marcela_santa@hotmail.com" TargetMode="External"/><Relationship Id="rId351" Type="http://schemas.openxmlformats.org/officeDocument/2006/relationships/hyperlink" Target="mailto:danielabonilla.periodista@gmail.com" TargetMode="External"/><Relationship Id="rId211" Type="http://schemas.openxmlformats.org/officeDocument/2006/relationships/hyperlink" Target="mailto:jefferbimbo@hotmail.com" TargetMode="External"/><Relationship Id="rId232" Type="http://schemas.openxmlformats.org/officeDocument/2006/relationships/hyperlink" Target="mailto:carmonacarmonaaleiro@gmail.com" TargetMode="External"/><Relationship Id="rId253" Type="http://schemas.openxmlformats.org/officeDocument/2006/relationships/hyperlink" Target="mailto:1313jesustorres@gmail.com" TargetMode="External"/><Relationship Id="rId274" Type="http://schemas.openxmlformats.org/officeDocument/2006/relationships/hyperlink" Target="mailto:jamesurrego73@hotmail.com" TargetMode="External"/><Relationship Id="rId295" Type="http://schemas.openxmlformats.org/officeDocument/2006/relationships/hyperlink" Target="mailto:ana23@gmail.com" TargetMode="External"/><Relationship Id="rId309" Type="http://schemas.openxmlformats.org/officeDocument/2006/relationships/hyperlink" Target="mailto:beatrizescobartrujillo@hotmail.com" TargetMode="External"/><Relationship Id="rId27" Type="http://schemas.openxmlformats.org/officeDocument/2006/relationships/hyperlink" Target="mailto:cardenads17@gmail.com" TargetMode="External"/><Relationship Id="rId48" Type="http://schemas.openxmlformats.org/officeDocument/2006/relationships/hyperlink" Target="mailto:Alejoprado_23@hotmail.com" TargetMode="External"/><Relationship Id="rId69" Type="http://schemas.openxmlformats.org/officeDocument/2006/relationships/hyperlink" Target="mailto:luiipoveda08@gmail.com" TargetMode="External"/><Relationship Id="rId113" Type="http://schemas.openxmlformats.org/officeDocument/2006/relationships/hyperlink" Target="mailto:angiexblanco@gmail.com" TargetMode="External"/><Relationship Id="rId134" Type="http://schemas.openxmlformats.org/officeDocument/2006/relationships/hyperlink" Target="mailto:camilocaseres43iewjsj@gmail.com" TargetMode="External"/><Relationship Id="rId320" Type="http://schemas.openxmlformats.org/officeDocument/2006/relationships/hyperlink" Target="mailto:cisnerosrojasalexander@outlook.com" TargetMode="External"/><Relationship Id="rId80" Type="http://schemas.openxmlformats.org/officeDocument/2006/relationships/hyperlink" Target="mailto:cluekath@gmail.com" TargetMode="External"/><Relationship Id="rId155" Type="http://schemas.openxmlformats.org/officeDocument/2006/relationships/hyperlink" Target="mailto:mo.nana@hotmail.com" TargetMode="External"/><Relationship Id="rId176" Type="http://schemas.openxmlformats.org/officeDocument/2006/relationships/hyperlink" Target="mailto:riosesneider972@gmail.com" TargetMode="External"/><Relationship Id="rId197" Type="http://schemas.openxmlformats.org/officeDocument/2006/relationships/hyperlink" Target="mailto:paulajulianaleonvera@gmail.com" TargetMode="External"/><Relationship Id="rId341" Type="http://schemas.openxmlformats.org/officeDocument/2006/relationships/hyperlink" Target="mailto:germanariasarcos@yahoo.es" TargetMode="External"/><Relationship Id="rId362" Type="http://schemas.openxmlformats.org/officeDocument/2006/relationships/hyperlink" Target="mailto:Juliocortes63.jccc@gmail.com" TargetMode="External"/><Relationship Id="rId201" Type="http://schemas.openxmlformats.org/officeDocument/2006/relationships/hyperlink" Target="mailto:aarenasrobayo@gmail.com" TargetMode="External"/><Relationship Id="rId222" Type="http://schemas.openxmlformats.org/officeDocument/2006/relationships/hyperlink" Target="mailto:noreya321sabogal@hotmail.com" TargetMode="External"/><Relationship Id="rId243" Type="http://schemas.openxmlformats.org/officeDocument/2006/relationships/hyperlink" Target="mailto:solerandres1086@gmail.com" TargetMode="External"/><Relationship Id="rId264" Type="http://schemas.openxmlformats.org/officeDocument/2006/relationships/hyperlink" Target="mailto:lauraximenaflorezhernandez43@gmail.com" TargetMode="External"/><Relationship Id="rId285" Type="http://schemas.openxmlformats.org/officeDocument/2006/relationships/hyperlink" Target="mailto:vegadorandy@gmail.com" TargetMode="External"/><Relationship Id="rId17" Type="http://schemas.openxmlformats.org/officeDocument/2006/relationships/hyperlink" Target="mailto:echavarriah171@gmail.com" TargetMode="External"/><Relationship Id="rId38" Type="http://schemas.openxmlformats.org/officeDocument/2006/relationships/hyperlink" Target="mailto:robinso0201@gmail.com" TargetMode="External"/><Relationship Id="rId59" Type="http://schemas.openxmlformats.org/officeDocument/2006/relationships/hyperlink" Target="mailto:mal.ue@hotmail.com" TargetMode="External"/><Relationship Id="rId103" Type="http://schemas.openxmlformats.org/officeDocument/2006/relationships/hyperlink" Target="mailto:miltonbaracaldo@gmail.com" TargetMode="External"/><Relationship Id="rId124" Type="http://schemas.openxmlformats.org/officeDocument/2006/relationships/hyperlink" Target="mailto:arboledacifuentesnathalia@gmail.com" TargetMode="External"/><Relationship Id="rId310" Type="http://schemas.openxmlformats.org/officeDocument/2006/relationships/hyperlink" Target="mailto:lineyparra123@hotmail.com" TargetMode="External"/><Relationship Id="rId70" Type="http://schemas.openxmlformats.org/officeDocument/2006/relationships/hyperlink" Target="mailto:yhonospina@hotmail.com" TargetMode="External"/><Relationship Id="rId91" Type="http://schemas.openxmlformats.org/officeDocument/2006/relationships/hyperlink" Target="mailto:Earboledaosorio@gmail.com" TargetMode="External"/><Relationship Id="rId145" Type="http://schemas.openxmlformats.org/officeDocument/2006/relationships/hyperlink" Target="mailto:lizethgarces62@gmail.com" TargetMode="External"/><Relationship Id="rId166" Type="http://schemas.openxmlformats.org/officeDocument/2006/relationships/hyperlink" Target="mailto:sanamo1512@hotmail.com" TargetMode="External"/><Relationship Id="rId187" Type="http://schemas.openxmlformats.org/officeDocument/2006/relationships/hyperlink" Target="mailto:marcela_santa@hotmail.com" TargetMode="External"/><Relationship Id="rId331" Type="http://schemas.openxmlformats.org/officeDocument/2006/relationships/hyperlink" Target="mailto:dahianasele2115@gmail.com" TargetMode="External"/><Relationship Id="rId352" Type="http://schemas.openxmlformats.org/officeDocument/2006/relationships/hyperlink" Target="mailto:cristianrincongiraldo@gmail.com" TargetMode="External"/><Relationship Id="rId1" Type="http://schemas.openxmlformats.org/officeDocument/2006/relationships/hyperlink" Target="mailto:Marloncas24@hotmail.com" TargetMode="External"/><Relationship Id="rId212" Type="http://schemas.openxmlformats.org/officeDocument/2006/relationships/hyperlink" Target="mailto:choconta0401@gmail.com" TargetMode="External"/><Relationship Id="rId233" Type="http://schemas.openxmlformats.org/officeDocument/2006/relationships/hyperlink" Target="mailto:jose2@gmail.com" TargetMode="External"/><Relationship Id="rId254" Type="http://schemas.openxmlformats.org/officeDocument/2006/relationships/hyperlink" Target="mailto:lala2076@hotmail.com" TargetMode="External"/><Relationship Id="rId28" Type="http://schemas.openxmlformats.org/officeDocument/2006/relationships/hyperlink" Target="mailto:zuluagaj391@gmail.com" TargetMode="External"/><Relationship Id="rId49" Type="http://schemas.openxmlformats.org/officeDocument/2006/relationships/hyperlink" Target="mailto:nataligallego57@gmail.com" TargetMode="External"/><Relationship Id="rId114" Type="http://schemas.openxmlformats.org/officeDocument/2006/relationships/hyperlink" Target="mailto:clapago17@hotmail.com" TargetMode="External"/><Relationship Id="rId275" Type="http://schemas.openxmlformats.org/officeDocument/2006/relationships/hyperlink" Target="mailto:aguirretorresluisaalberto1962@gmail.com" TargetMode="External"/><Relationship Id="rId296" Type="http://schemas.openxmlformats.org/officeDocument/2006/relationships/hyperlink" Target="mailto:morenomajo529@gmail.com" TargetMode="External"/><Relationship Id="rId300" Type="http://schemas.openxmlformats.org/officeDocument/2006/relationships/hyperlink" Target="mailto:pospina868@gmail.com" TargetMode="External"/><Relationship Id="rId60" Type="http://schemas.openxmlformats.org/officeDocument/2006/relationships/hyperlink" Target="mailto:taniasierra1994@hotmail.com" TargetMode="External"/><Relationship Id="rId81" Type="http://schemas.openxmlformats.org/officeDocument/2006/relationships/hyperlink" Target="mailto:andrea139704@gmail.com" TargetMode="External"/><Relationship Id="rId135" Type="http://schemas.openxmlformats.org/officeDocument/2006/relationships/hyperlink" Target="mailto:ancisarocampo0@gmail.com" TargetMode="External"/><Relationship Id="rId156" Type="http://schemas.openxmlformats.org/officeDocument/2006/relationships/hyperlink" Target="mailto:rendonyesit@gmail.com" TargetMode="External"/><Relationship Id="rId177" Type="http://schemas.openxmlformats.org/officeDocument/2006/relationships/hyperlink" Target="mailto:yersongamu@gmail.com" TargetMode="External"/><Relationship Id="rId198" Type="http://schemas.openxmlformats.org/officeDocument/2006/relationships/hyperlink" Target="mailto:jonathanmorales555@gmail.com" TargetMode="External"/><Relationship Id="rId321" Type="http://schemas.openxmlformats.org/officeDocument/2006/relationships/hyperlink" Target="mailto:ale.rc-825@hotmail.com" TargetMode="External"/><Relationship Id="rId342" Type="http://schemas.openxmlformats.org/officeDocument/2006/relationships/hyperlink" Target="mailto:robin.hm@hotmail.com" TargetMode="External"/><Relationship Id="rId363" Type="http://schemas.openxmlformats.org/officeDocument/2006/relationships/hyperlink" Target="mailto:gmora57@gmail.com" TargetMode="External"/><Relationship Id="rId202" Type="http://schemas.openxmlformats.org/officeDocument/2006/relationships/hyperlink" Target="mailto:liz_berri_15@hotmail.com" TargetMode="External"/><Relationship Id="rId223" Type="http://schemas.openxmlformats.org/officeDocument/2006/relationships/hyperlink" Target="mailto:dlgh2013@hotmail.com" TargetMode="External"/><Relationship Id="rId244" Type="http://schemas.openxmlformats.org/officeDocument/2006/relationships/hyperlink" Target="mailto:luisfernandogarcia22@hotmail.com" TargetMode="External"/><Relationship Id="rId18" Type="http://schemas.openxmlformats.org/officeDocument/2006/relationships/hyperlink" Target="mailto:julianro1290@gmail.com" TargetMode="External"/><Relationship Id="rId39" Type="http://schemas.openxmlformats.org/officeDocument/2006/relationships/hyperlink" Target="mailto:lunadelmaravilesguevara@gmail.com" TargetMode="External"/><Relationship Id="rId265" Type="http://schemas.openxmlformats.org/officeDocument/2006/relationships/hyperlink" Target="mailto:alexandersepulveda296@hotmail.com" TargetMode="External"/><Relationship Id="rId286" Type="http://schemas.openxmlformats.org/officeDocument/2006/relationships/hyperlink" Target="mailto:carmonajuanpa1329@gmail.com" TargetMode="External"/><Relationship Id="rId50" Type="http://schemas.openxmlformats.org/officeDocument/2006/relationships/hyperlink" Target="mailto:jesuskardenas6@gmail.com" TargetMode="External"/><Relationship Id="rId104" Type="http://schemas.openxmlformats.org/officeDocument/2006/relationships/hyperlink" Target="mailto:marinfabio.500@gmail.com" TargetMode="External"/><Relationship Id="rId125" Type="http://schemas.openxmlformats.org/officeDocument/2006/relationships/hyperlink" Target="mailto:juancarloscruzgonzalez476@gmail.com" TargetMode="External"/><Relationship Id="rId146" Type="http://schemas.openxmlformats.org/officeDocument/2006/relationships/hyperlink" Target="mailto:Bbladimirgallego@icloud.com" TargetMode="External"/><Relationship Id="rId167" Type="http://schemas.openxmlformats.org/officeDocument/2006/relationships/hyperlink" Target="mailto:quiasma29@gmail.com" TargetMode="External"/><Relationship Id="rId188" Type="http://schemas.openxmlformats.org/officeDocument/2006/relationships/hyperlink" Target="mailto:acgarcias@uqvirtual.edu.co" TargetMode="External"/><Relationship Id="rId311" Type="http://schemas.openxmlformats.org/officeDocument/2006/relationships/hyperlink" Target="mailto:enriquecarlosbermudezrojas@gmail.com" TargetMode="External"/><Relationship Id="rId332" Type="http://schemas.openxmlformats.org/officeDocument/2006/relationships/hyperlink" Target="mailto:doralilialopez1213@gmail.com" TargetMode="External"/><Relationship Id="rId353" Type="http://schemas.openxmlformats.org/officeDocument/2006/relationships/hyperlink" Target="mailto:claudiaza-114@hotmail.com" TargetMode="External"/><Relationship Id="rId71" Type="http://schemas.openxmlformats.org/officeDocument/2006/relationships/hyperlink" Target="mailto:luisfernandosud12@gmail.com" TargetMode="External"/><Relationship Id="rId92" Type="http://schemas.openxmlformats.org/officeDocument/2006/relationships/hyperlink" Target="mailto:alejandraam17101995@gmail.com" TargetMode="External"/><Relationship Id="rId213" Type="http://schemas.openxmlformats.org/officeDocument/2006/relationships/hyperlink" Target="mailto:villada23@gmail.com" TargetMode="External"/><Relationship Id="rId234" Type="http://schemas.openxmlformats.org/officeDocument/2006/relationships/hyperlink" Target="mailto:lealgilfabio@gmail.com" TargetMode="External"/><Relationship Id="rId2" Type="http://schemas.openxmlformats.org/officeDocument/2006/relationships/hyperlink" Target="mailto:camilo.alvarez.e@gmail.com" TargetMode="External"/><Relationship Id="rId29" Type="http://schemas.openxmlformats.org/officeDocument/2006/relationships/hyperlink" Target="mailto:norbeyurrego0@gmail.com" TargetMode="External"/><Relationship Id="rId255" Type="http://schemas.openxmlformats.org/officeDocument/2006/relationships/hyperlink" Target="mailto:mo.nana@hotmail.com" TargetMode="External"/><Relationship Id="rId276" Type="http://schemas.openxmlformats.org/officeDocument/2006/relationships/hyperlink" Target="mailto:karlosreyessarria@gmail.com" TargetMode="External"/><Relationship Id="rId297" Type="http://schemas.openxmlformats.org/officeDocument/2006/relationships/hyperlink" Target="mailto:sanchezospinafranky@gmail.com" TargetMode="External"/><Relationship Id="rId40" Type="http://schemas.openxmlformats.org/officeDocument/2006/relationships/hyperlink" Target="mailto:dimasa4025@outlook.com" TargetMode="External"/><Relationship Id="rId115" Type="http://schemas.openxmlformats.org/officeDocument/2006/relationships/hyperlink" Target="mailto:davidhoyos33@gmail.com" TargetMode="External"/><Relationship Id="rId136" Type="http://schemas.openxmlformats.org/officeDocument/2006/relationships/hyperlink" Target="mailto:ortizhernan070@gmail.com" TargetMode="External"/><Relationship Id="rId157" Type="http://schemas.openxmlformats.org/officeDocument/2006/relationships/hyperlink" Target="mailto:joseurleyuseche@gmail.com" TargetMode="External"/><Relationship Id="rId178" Type="http://schemas.openxmlformats.org/officeDocument/2006/relationships/hyperlink" Target="mailto:yersongamu@gmail.com" TargetMode="External"/><Relationship Id="rId301" Type="http://schemas.openxmlformats.org/officeDocument/2006/relationships/hyperlink" Target="mailto:luisahenao044@gmail.com" TargetMode="External"/><Relationship Id="rId322" Type="http://schemas.openxmlformats.org/officeDocument/2006/relationships/hyperlink" Target="mailto:ladari@hotmail.com" TargetMode="External"/><Relationship Id="rId343" Type="http://schemas.openxmlformats.org/officeDocument/2006/relationships/hyperlink" Target="mailto:maybland20@gmail.com" TargetMode="External"/><Relationship Id="rId364" Type="http://schemas.openxmlformats.org/officeDocument/2006/relationships/hyperlink" Target="mailto:bedoyamauricio436@gmail.com" TargetMode="External"/><Relationship Id="rId61" Type="http://schemas.openxmlformats.org/officeDocument/2006/relationships/hyperlink" Target="mailto:velezjuanhernesto@gmail.com" TargetMode="External"/><Relationship Id="rId82" Type="http://schemas.openxmlformats.org/officeDocument/2006/relationships/hyperlink" Target="mailto:lauradimian05@gmail.com" TargetMode="External"/><Relationship Id="rId199" Type="http://schemas.openxmlformats.org/officeDocument/2006/relationships/hyperlink" Target="mailto:malegarcia-19@hotmail.com" TargetMode="External"/><Relationship Id="rId203" Type="http://schemas.openxmlformats.org/officeDocument/2006/relationships/hyperlink" Target="mailto:paula05cadena@hotmail.com" TargetMode="External"/><Relationship Id="rId19" Type="http://schemas.openxmlformats.org/officeDocument/2006/relationships/hyperlink" Target="mailto:bejarano.s.m@hotmail.com" TargetMode="External"/><Relationship Id="rId224" Type="http://schemas.openxmlformats.org/officeDocument/2006/relationships/hyperlink" Target="mailto:bettyrodellogarcia@hotmail.com" TargetMode="External"/><Relationship Id="rId245" Type="http://schemas.openxmlformats.org/officeDocument/2006/relationships/hyperlink" Target="mailto:martinezjosemanuel519@gmail.com" TargetMode="External"/><Relationship Id="rId266" Type="http://schemas.openxmlformats.org/officeDocument/2006/relationships/hyperlink" Target="mailto:carlosidarraga58@gmail.com" TargetMode="External"/><Relationship Id="rId287" Type="http://schemas.openxmlformats.org/officeDocument/2006/relationships/hyperlink" Target="mailto:nata941108@hotmail.com" TargetMode="External"/><Relationship Id="rId30" Type="http://schemas.openxmlformats.org/officeDocument/2006/relationships/hyperlink" Target="mailto:nana_maria123@hotmail.com" TargetMode="External"/><Relationship Id="rId105" Type="http://schemas.openxmlformats.org/officeDocument/2006/relationships/hyperlink" Target="mailto:sebitas.salazarm@gmail.com" TargetMode="External"/><Relationship Id="rId126" Type="http://schemas.openxmlformats.org/officeDocument/2006/relationships/hyperlink" Target="mailto:tatis0102.2015@gmail.com" TargetMode="External"/><Relationship Id="rId147" Type="http://schemas.openxmlformats.org/officeDocument/2006/relationships/hyperlink" Target="mailto:Jesusantomendoza1997@gmail.com" TargetMode="External"/><Relationship Id="rId168" Type="http://schemas.openxmlformats.org/officeDocument/2006/relationships/hyperlink" Target="mailto:lonacaramirez1@gmail.com" TargetMode="External"/><Relationship Id="rId312" Type="http://schemas.openxmlformats.org/officeDocument/2006/relationships/hyperlink" Target="mailto:hooverhg@gmail.com" TargetMode="External"/><Relationship Id="rId333" Type="http://schemas.openxmlformats.org/officeDocument/2006/relationships/hyperlink" Target="mailto:Luzstellav1@gmail.com" TargetMode="External"/><Relationship Id="rId354" Type="http://schemas.openxmlformats.org/officeDocument/2006/relationships/hyperlink" Target="mailto:luciafer2022@gmail.com" TargetMode="External"/><Relationship Id="rId51" Type="http://schemas.openxmlformats.org/officeDocument/2006/relationships/hyperlink" Target="mailto:soldadomuriel@hotmail.com" TargetMode="External"/><Relationship Id="rId72" Type="http://schemas.openxmlformats.org/officeDocument/2006/relationships/hyperlink" Target="mailto:cristian12@gmail.com" TargetMode="External"/><Relationship Id="rId93" Type="http://schemas.openxmlformats.org/officeDocument/2006/relationships/hyperlink" Target="mailto:yessi.urbano147@gmail.com" TargetMode="External"/><Relationship Id="rId189" Type="http://schemas.openxmlformats.org/officeDocument/2006/relationships/hyperlink" Target="mailto:heydaygroupcpa@gmail.com" TargetMode="External"/><Relationship Id="rId3" Type="http://schemas.openxmlformats.org/officeDocument/2006/relationships/hyperlink" Target="mailto:natalia180387@gmail.com" TargetMode="External"/><Relationship Id="rId214" Type="http://schemas.openxmlformats.org/officeDocument/2006/relationships/hyperlink" Target="mailto:julioriosgarcia1964@gmail.com" TargetMode="External"/><Relationship Id="rId235" Type="http://schemas.openxmlformats.org/officeDocument/2006/relationships/hyperlink" Target="mailto:monikrobo@hotmail.com" TargetMode="External"/><Relationship Id="rId256" Type="http://schemas.openxmlformats.org/officeDocument/2006/relationships/hyperlink" Target="mailto:cejsa@hotmail.com" TargetMode="External"/><Relationship Id="rId277" Type="http://schemas.openxmlformats.org/officeDocument/2006/relationships/hyperlink" Target="mailto:margoth.melendezm@gmail.com" TargetMode="External"/><Relationship Id="rId298" Type="http://schemas.openxmlformats.org/officeDocument/2006/relationships/hyperlink" Target="mailto:andrearamirezc@gmail.com" TargetMode="External"/><Relationship Id="rId116" Type="http://schemas.openxmlformats.org/officeDocument/2006/relationships/hyperlink" Target="mailto:edelmiravelezcorrea2@gmail.com" TargetMode="External"/><Relationship Id="rId137" Type="http://schemas.openxmlformats.org/officeDocument/2006/relationships/hyperlink" Target="mailto:lorena101182@hotmail.com" TargetMode="External"/><Relationship Id="rId158" Type="http://schemas.openxmlformats.org/officeDocument/2006/relationships/hyperlink" Target="mailto:gussy30000@gmail.com" TargetMode="External"/><Relationship Id="rId302" Type="http://schemas.openxmlformats.org/officeDocument/2006/relationships/hyperlink" Target="mailto:paolacorreaquiroga@gmail.com" TargetMode="External"/><Relationship Id="rId323" Type="http://schemas.openxmlformats.org/officeDocument/2006/relationships/hyperlink" Target="mailto:luistaborda2000@hotmail.com" TargetMode="External"/><Relationship Id="rId344" Type="http://schemas.openxmlformats.org/officeDocument/2006/relationships/hyperlink" Target="mailto:Danielandresmunoz64@gmail.com" TargetMode="External"/><Relationship Id="rId20" Type="http://schemas.openxmlformats.org/officeDocument/2006/relationships/hyperlink" Target="mailto:anderbetancourt.2123@gmail.com" TargetMode="External"/><Relationship Id="rId41" Type="http://schemas.openxmlformats.org/officeDocument/2006/relationships/hyperlink" Target="mailto:isuazavanegas@gmail.com" TargetMode="External"/><Relationship Id="rId62" Type="http://schemas.openxmlformats.org/officeDocument/2006/relationships/hyperlink" Target="mailto:katalinagallego596@gmail.com" TargetMode="External"/><Relationship Id="rId83" Type="http://schemas.openxmlformats.org/officeDocument/2006/relationships/hyperlink" Target="mailto:hernandezgiraldom@gmail.com" TargetMode="External"/><Relationship Id="rId179" Type="http://schemas.openxmlformats.org/officeDocument/2006/relationships/hyperlink" Target="mailto:reysolorzanoesteban@gmail.com" TargetMode="External"/><Relationship Id="rId365" Type="http://schemas.openxmlformats.org/officeDocument/2006/relationships/hyperlink" Target="mailto:degelarr@gmail.com" TargetMode="External"/><Relationship Id="rId190" Type="http://schemas.openxmlformats.org/officeDocument/2006/relationships/hyperlink" Target="mailto:alexmarinsofi@gmail.com" TargetMode="External"/><Relationship Id="rId204" Type="http://schemas.openxmlformats.org/officeDocument/2006/relationships/hyperlink" Target="mailto:grey329@hotmail.com" TargetMode="External"/><Relationship Id="rId225" Type="http://schemas.openxmlformats.org/officeDocument/2006/relationships/hyperlink" Target="mailto:gemelitas0519@hotmail.com" TargetMode="External"/><Relationship Id="rId246" Type="http://schemas.openxmlformats.org/officeDocument/2006/relationships/hyperlink" Target="mailto:gcaliche587@gmail.com" TargetMode="External"/><Relationship Id="rId267" Type="http://schemas.openxmlformats.org/officeDocument/2006/relationships/hyperlink" Target="mailto:carolinalederer@gmail.com" TargetMode="External"/><Relationship Id="rId288" Type="http://schemas.openxmlformats.org/officeDocument/2006/relationships/hyperlink" Target="mailto:daniadlc003@gmail.com" TargetMode="External"/><Relationship Id="rId106" Type="http://schemas.openxmlformats.org/officeDocument/2006/relationships/hyperlink" Target="mailto:valentinaasanchez271@gmail.com" TargetMode="External"/><Relationship Id="rId127" Type="http://schemas.openxmlformats.org/officeDocument/2006/relationships/hyperlink" Target="mailto:sofiareinaclaros@gmail.com" TargetMode="External"/><Relationship Id="rId313" Type="http://schemas.openxmlformats.org/officeDocument/2006/relationships/hyperlink" Target="mailto:jhr20041986@gmail.com" TargetMode="External"/><Relationship Id="rId10" Type="http://schemas.openxmlformats.org/officeDocument/2006/relationships/hyperlink" Target="mailto:andresnacional41@hotmail.com" TargetMode="External"/><Relationship Id="rId31" Type="http://schemas.openxmlformats.org/officeDocument/2006/relationships/hyperlink" Target="mailto:gonzalezg34@gmail.com" TargetMode="External"/><Relationship Id="rId52" Type="http://schemas.openxmlformats.org/officeDocument/2006/relationships/hyperlink" Target="mailto:juanda132@hotmail.com" TargetMode="External"/><Relationship Id="rId73" Type="http://schemas.openxmlformats.org/officeDocument/2006/relationships/hyperlink" Target="mailto:cristian23@gmail.com" TargetMode="External"/><Relationship Id="rId94" Type="http://schemas.openxmlformats.org/officeDocument/2006/relationships/hyperlink" Target="mailto:monicas-02@hotmail.com" TargetMode="External"/><Relationship Id="rId148" Type="http://schemas.openxmlformats.org/officeDocument/2006/relationships/hyperlink" Target="mailto:santiagoriostorres2002@gmail.com" TargetMode="External"/><Relationship Id="rId169" Type="http://schemas.openxmlformats.org/officeDocument/2006/relationships/hyperlink" Target="mailto:juanda132@hotmail.com" TargetMode="External"/><Relationship Id="rId334" Type="http://schemas.openxmlformats.org/officeDocument/2006/relationships/hyperlink" Target="mailto:aristizabalsandra445@gmail.com" TargetMode="External"/><Relationship Id="rId355" Type="http://schemas.openxmlformats.org/officeDocument/2006/relationships/hyperlink" Target="mailto:harlenpsalazar1@gmail.com" TargetMode="External"/><Relationship Id="rId4" Type="http://schemas.openxmlformats.org/officeDocument/2006/relationships/hyperlink" Target="mailto:km5381421@gmail.com" TargetMode="External"/><Relationship Id="rId180" Type="http://schemas.openxmlformats.org/officeDocument/2006/relationships/hyperlink" Target="mailto:reyessarriayuliana@gmail.com" TargetMode="External"/><Relationship Id="rId215" Type="http://schemas.openxmlformats.org/officeDocument/2006/relationships/hyperlink" Target="mailto:olga3@gmail.com" TargetMode="External"/><Relationship Id="rId236" Type="http://schemas.openxmlformats.org/officeDocument/2006/relationships/hyperlink" Target="mailto:servimaquinasjaramilloycarvajal@hotmail.com" TargetMode="External"/><Relationship Id="rId257" Type="http://schemas.openxmlformats.org/officeDocument/2006/relationships/hyperlink" Target="mailto:gananlida3@gmail.com" TargetMode="External"/><Relationship Id="rId278" Type="http://schemas.openxmlformats.org/officeDocument/2006/relationships/hyperlink" Target="mailto:acevedomariae11@gmail.com" TargetMode="External"/><Relationship Id="rId303" Type="http://schemas.openxmlformats.org/officeDocument/2006/relationships/hyperlink" Target="mailto:jeny04sandoval@gmail.com" TargetMode="External"/><Relationship Id="rId42" Type="http://schemas.openxmlformats.org/officeDocument/2006/relationships/hyperlink" Target="mailto:Pinabeltranerikajohana@gmail.com" TargetMode="External"/><Relationship Id="rId84" Type="http://schemas.openxmlformats.org/officeDocument/2006/relationships/hyperlink" Target="mailto:ruben88arias@gmail.com" TargetMode="External"/><Relationship Id="rId138" Type="http://schemas.openxmlformats.org/officeDocument/2006/relationships/hyperlink" Target="mailto:cristiancamilolopezzapata5@gmail.com" TargetMode="External"/><Relationship Id="rId345" Type="http://schemas.openxmlformats.org/officeDocument/2006/relationships/hyperlink" Target="mailto:veroniicacastro04@gmail.com" TargetMode="External"/><Relationship Id="rId191" Type="http://schemas.openxmlformats.org/officeDocument/2006/relationships/hyperlink" Target="mailto:edison23@gmail.com" TargetMode="External"/><Relationship Id="rId205" Type="http://schemas.openxmlformats.org/officeDocument/2006/relationships/hyperlink" Target="mailto:cortes.0795@gmail.com" TargetMode="External"/><Relationship Id="rId247" Type="http://schemas.openxmlformats.org/officeDocument/2006/relationships/hyperlink" Target="mailto:jgval@hotmail.com" TargetMode="External"/><Relationship Id="rId107" Type="http://schemas.openxmlformats.org/officeDocument/2006/relationships/hyperlink" Target="mailto:juancholenis123@hotmail.com" TargetMode="External"/><Relationship Id="rId289" Type="http://schemas.openxmlformats.org/officeDocument/2006/relationships/hyperlink" Target="mailto:villamizaryorleni@gmail.com" TargetMode="External"/><Relationship Id="rId11" Type="http://schemas.openxmlformats.org/officeDocument/2006/relationships/hyperlink" Target="mailto:anamilenacaicedocontadora@gmail.com" TargetMode="External"/><Relationship Id="rId53" Type="http://schemas.openxmlformats.org/officeDocument/2006/relationships/hyperlink" Target="mailto:cmario.cmum@gmail.com" TargetMode="External"/><Relationship Id="rId149" Type="http://schemas.openxmlformats.org/officeDocument/2006/relationships/hyperlink" Target="mailto:diegousuga312@gmail.com" TargetMode="External"/><Relationship Id="rId314" Type="http://schemas.openxmlformats.org/officeDocument/2006/relationships/hyperlink" Target="mailto:leidyleuro4@gmail.com" TargetMode="External"/><Relationship Id="rId356" Type="http://schemas.openxmlformats.org/officeDocument/2006/relationships/hyperlink" Target="mailto:andres.naranjo.419@gmail.com" TargetMode="External"/><Relationship Id="rId95" Type="http://schemas.openxmlformats.org/officeDocument/2006/relationships/hyperlink" Target="mailto:carito_gut@hotmail.com" TargetMode="External"/><Relationship Id="rId160" Type="http://schemas.openxmlformats.org/officeDocument/2006/relationships/hyperlink" Target="mailto:barbosalennin@gmail.com" TargetMode="External"/><Relationship Id="rId216" Type="http://schemas.openxmlformats.org/officeDocument/2006/relationships/hyperlink" Target="mailto:cosaandoval@hotmail.com" TargetMode="External"/><Relationship Id="rId258" Type="http://schemas.openxmlformats.org/officeDocument/2006/relationships/hyperlink" Target="mailto:deisychavez098@gmail.com" TargetMode="External"/><Relationship Id="rId22" Type="http://schemas.openxmlformats.org/officeDocument/2006/relationships/hyperlink" Target="mailto:estidrojas@gmail.com" TargetMode="External"/><Relationship Id="rId64" Type="http://schemas.openxmlformats.org/officeDocument/2006/relationships/hyperlink" Target="mailto:janner.cdlm@gmail.com" TargetMode="External"/><Relationship Id="rId118" Type="http://schemas.openxmlformats.org/officeDocument/2006/relationships/hyperlink" Target="mailto:gaguirre20@hotmail.com" TargetMode="External"/><Relationship Id="rId325" Type="http://schemas.openxmlformats.org/officeDocument/2006/relationships/hyperlink" Target="mailto:catalerca@hotmail.com" TargetMode="External"/><Relationship Id="rId367" Type="http://schemas.openxmlformats.org/officeDocument/2006/relationships/printerSettings" Target="../printerSettings/printerSettings3.bin"/><Relationship Id="rId171" Type="http://schemas.openxmlformats.org/officeDocument/2006/relationships/hyperlink" Target="mailto:jarbin23@gmail.com" TargetMode="External"/><Relationship Id="rId227" Type="http://schemas.openxmlformats.org/officeDocument/2006/relationships/hyperlink" Target="mailto:lilianalealgil81@gmail.com" TargetMode="External"/><Relationship Id="rId269" Type="http://schemas.openxmlformats.org/officeDocument/2006/relationships/hyperlink" Target="mailto:klaus@lederer-group.org" TargetMode="External"/><Relationship Id="rId33" Type="http://schemas.openxmlformats.org/officeDocument/2006/relationships/hyperlink" Target="mailto:kerlyalejandracordoba@gmail.com" TargetMode="External"/><Relationship Id="rId129" Type="http://schemas.openxmlformats.org/officeDocument/2006/relationships/hyperlink" Target="mailto:sossamarta71@gmail.com" TargetMode="External"/><Relationship Id="rId280" Type="http://schemas.openxmlformats.org/officeDocument/2006/relationships/hyperlink" Target="mailto:nandarojas15@gmail.com" TargetMode="External"/><Relationship Id="rId336" Type="http://schemas.openxmlformats.org/officeDocument/2006/relationships/hyperlink" Target="mailto:edinsonbrsfc@gmail.com" TargetMode="External"/><Relationship Id="rId75" Type="http://schemas.openxmlformats.org/officeDocument/2006/relationships/hyperlink" Target="mailto:velezjuanhernesto@gmail.com" TargetMode="External"/><Relationship Id="rId140" Type="http://schemas.openxmlformats.org/officeDocument/2006/relationships/hyperlink" Target="mailto:romerouban123@gmail.com" TargetMode="External"/><Relationship Id="rId182" Type="http://schemas.openxmlformats.org/officeDocument/2006/relationships/hyperlink" Target="mailto:bladimir2022@gmail.com" TargetMode="External"/><Relationship Id="rId6" Type="http://schemas.openxmlformats.org/officeDocument/2006/relationships/hyperlink" Target="mailto:kelly-v2@outlook.com" TargetMode="External"/><Relationship Id="rId238" Type="http://schemas.openxmlformats.org/officeDocument/2006/relationships/hyperlink" Target="mailto:mateo.8@hotmail.com" TargetMode="External"/><Relationship Id="rId291" Type="http://schemas.openxmlformats.org/officeDocument/2006/relationships/hyperlink" Target="mailto:diwaoo@hotmail.es" TargetMode="External"/><Relationship Id="rId305" Type="http://schemas.openxmlformats.org/officeDocument/2006/relationships/hyperlink" Target="mailto:ycguty@gmail.com" TargetMode="External"/><Relationship Id="rId347" Type="http://schemas.openxmlformats.org/officeDocument/2006/relationships/hyperlink" Target="mailto:estefaniaduque14@gmail.com" TargetMode="External"/><Relationship Id="rId44" Type="http://schemas.openxmlformats.org/officeDocument/2006/relationships/hyperlink" Target="mailto:luispetri92@gmail.com" TargetMode="External"/><Relationship Id="rId86" Type="http://schemas.openxmlformats.org/officeDocument/2006/relationships/hyperlink" Target="mailto:carloshtapasco@gmail.com" TargetMode="External"/><Relationship Id="rId151" Type="http://schemas.openxmlformats.org/officeDocument/2006/relationships/hyperlink" Target="mailto:riosesneider2@gmail.com" TargetMode="External"/><Relationship Id="rId193" Type="http://schemas.openxmlformats.org/officeDocument/2006/relationships/hyperlink" Target="mailto:claratataguti@gmail.com" TargetMode="External"/><Relationship Id="rId207" Type="http://schemas.openxmlformats.org/officeDocument/2006/relationships/hyperlink" Target="mailto:malejo19999@gmail.com" TargetMode="External"/><Relationship Id="rId249" Type="http://schemas.openxmlformats.org/officeDocument/2006/relationships/hyperlink" Target="mailto:angelpirela2701@gmail.com" TargetMode="External"/><Relationship Id="rId13" Type="http://schemas.openxmlformats.org/officeDocument/2006/relationships/hyperlink" Target="mailto:dani.081997@hotmail.com" TargetMode="External"/><Relationship Id="rId109" Type="http://schemas.openxmlformats.org/officeDocument/2006/relationships/hyperlink" Target="mailto:villamizarmarlyn@gmail.com" TargetMode="External"/><Relationship Id="rId260" Type="http://schemas.openxmlformats.org/officeDocument/2006/relationships/hyperlink" Target="mailto:ramirezdaniela1228@gmail.com" TargetMode="External"/><Relationship Id="rId316" Type="http://schemas.openxmlformats.org/officeDocument/2006/relationships/hyperlink" Target="mailto:marucha-76.06@hotmail.com" TargetMode="External"/><Relationship Id="rId55" Type="http://schemas.openxmlformats.org/officeDocument/2006/relationships/hyperlink" Target="mailto:florzsarai3@gmail.com" TargetMode="External"/><Relationship Id="rId97" Type="http://schemas.openxmlformats.org/officeDocument/2006/relationships/hyperlink" Target="mailto:luisafersuasa@gmail.com" TargetMode="External"/><Relationship Id="rId120" Type="http://schemas.openxmlformats.org/officeDocument/2006/relationships/hyperlink" Target="mailto:tati.cardenaslopez@gmail.com" TargetMode="External"/><Relationship Id="rId358" Type="http://schemas.openxmlformats.org/officeDocument/2006/relationships/hyperlink" Target="mailto:Josegonzalez751@gmail.com" TargetMode="External"/><Relationship Id="rId162" Type="http://schemas.openxmlformats.org/officeDocument/2006/relationships/hyperlink" Target="mailto:carlosj.gomez@hotmail.com" TargetMode="External"/><Relationship Id="rId218" Type="http://schemas.openxmlformats.org/officeDocument/2006/relationships/hyperlink" Target="mailto:adrianabucuru79@gmail.com" TargetMode="External"/><Relationship Id="rId271" Type="http://schemas.openxmlformats.org/officeDocument/2006/relationships/hyperlink" Target="mailto:mije8910@gmail.com" TargetMode="External"/><Relationship Id="rId24" Type="http://schemas.openxmlformats.org/officeDocument/2006/relationships/hyperlink" Target="mailto:Nordeiguz@hotmail.com" TargetMode="External"/><Relationship Id="rId66" Type="http://schemas.openxmlformats.org/officeDocument/2006/relationships/hyperlink" Target="mailto:carmona-osorio13@hotmail.com" TargetMode="External"/><Relationship Id="rId131" Type="http://schemas.openxmlformats.org/officeDocument/2006/relationships/hyperlink" Target="mailto:caorzoo_81@hotmail.com" TargetMode="External"/><Relationship Id="rId327" Type="http://schemas.openxmlformats.org/officeDocument/2006/relationships/hyperlink" Target="mailto:jenniferobregonhenao@gmail.com" TargetMode="External"/><Relationship Id="rId369" Type="http://schemas.openxmlformats.org/officeDocument/2006/relationships/table" Target="../tables/table1.xml"/><Relationship Id="rId173" Type="http://schemas.openxmlformats.org/officeDocument/2006/relationships/hyperlink" Target="mailto:mariapaulaherreram10@gmail.com" TargetMode="External"/><Relationship Id="rId229" Type="http://schemas.openxmlformats.org/officeDocument/2006/relationships/hyperlink" Target="mailto:sandramilenabuitragociro4@gmail.com" TargetMode="External"/><Relationship Id="rId240" Type="http://schemas.openxmlformats.org/officeDocument/2006/relationships/hyperlink" Target="mailto:mauriciowalteros258@gmail.com" TargetMode="External"/><Relationship Id="rId35" Type="http://schemas.openxmlformats.org/officeDocument/2006/relationships/hyperlink" Target="mailto:yoneider1@gmail.com" TargetMode="External"/><Relationship Id="rId77" Type="http://schemas.openxmlformats.org/officeDocument/2006/relationships/hyperlink" Target="mailto:barbosalennin@gmail.com" TargetMode="External"/><Relationship Id="rId100" Type="http://schemas.openxmlformats.org/officeDocument/2006/relationships/hyperlink" Target="mailto:mosquera.sofi2004@gmail.com" TargetMode="External"/><Relationship Id="rId282" Type="http://schemas.openxmlformats.org/officeDocument/2006/relationships/hyperlink" Target="mailto:jonathancarmonamurillo142@gmail.com" TargetMode="External"/><Relationship Id="rId338" Type="http://schemas.openxmlformats.org/officeDocument/2006/relationships/hyperlink" Target="mailto:dayanadvillegasn@gmail.com" TargetMode="External"/><Relationship Id="rId8" Type="http://schemas.openxmlformats.org/officeDocument/2006/relationships/hyperlink" Target="mailto:carlosperez040785@gmail.com" TargetMode="External"/><Relationship Id="rId142" Type="http://schemas.openxmlformats.org/officeDocument/2006/relationships/hyperlink" Target="mailto:menesesjoserubiel@gmail.com" TargetMode="External"/><Relationship Id="rId184" Type="http://schemas.openxmlformats.org/officeDocument/2006/relationships/hyperlink" Target="mailto:bibianasarria6@gmail.com" TargetMode="External"/><Relationship Id="rId251" Type="http://schemas.openxmlformats.org/officeDocument/2006/relationships/hyperlink" Target="mailto:infante21@outlook.com" TargetMode="External"/><Relationship Id="rId46" Type="http://schemas.openxmlformats.org/officeDocument/2006/relationships/hyperlink" Target="mailto:yanethguerrero90@gmail.com" TargetMode="External"/><Relationship Id="rId293" Type="http://schemas.openxmlformats.org/officeDocument/2006/relationships/hyperlink" Target="mailto:chachan812009@hotmail.com" TargetMode="External"/><Relationship Id="rId307" Type="http://schemas.openxmlformats.org/officeDocument/2006/relationships/hyperlink" Target="mailto:jmherreraa007@gmail.com" TargetMode="External"/><Relationship Id="rId349" Type="http://schemas.openxmlformats.org/officeDocument/2006/relationships/hyperlink" Target="mailto:vero85vasquez04@gmail.com" TargetMode="External"/><Relationship Id="rId88" Type="http://schemas.openxmlformats.org/officeDocument/2006/relationships/hyperlink" Target="mailto:fabiobermudez762@gmail.com" TargetMode="External"/><Relationship Id="rId111" Type="http://schemas.openxmlformats.org/officeDocument/2006/relationships/hyperlink" Target="mailto:alarmorales05@gmail.com" TargetMode="External"/><Relationship Id="rId153" Type="http://schemas.openxmlformats.org/officeDocument/2006/relationships/hyperlink" Target="mailto:gallego.wilmer@correounivalle.edu.co" TargetMode="External"/><Relationship Id="rId195" Type="http://schemas.openxmlformats.org/officeDocument/2006/relationships/hyperlink" Target="mailto:arley23@gmail.com" TargetMode="External"/><Relationship Id="rId209" Type="http://schemas.openxmlformats.org/officeDocument/2006/relationships/hyperlink" Target="mailto:posadawilder8@gmail.com" TargetMode="External"/><Relationship Id="rId360" Type="http://schemas.openxmlformats.org/officeDocument/2006/relationships/hyperlink" Target="mailto:w35661937@gmail.com" TargetMode="External"/><Relationship Id="rId220" Type="http://schemas.openxmlformats.org/officeDocument/2006/relationships/hyperlink" Target="mailto:nana1657@hotmail.com"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openxmlformats.org/officeDocument/2006/relationships/hyperlink" Target="mailto:etapaproductivacyt@sena.edu.co" TargetMode="External"/></Relationships>
</file>

<file path=xl/worksheets/_rels/sheet13.xml.rels><?xml version="1.0" encoding="UTF-8" standalone="yes"?>
<Relationships xmlns="http://schemas.openxmlformats.org/package/2006/relationships"><Relationship Id="rId13" Type="http://schemas.openxmlformats.org/officeDocument/2006/relationships/hyperlink" Target="mailto:dianla8078@gmail.com" TargetMode="External"/><Relationship Id="rId18" Type="http://schemas.openxmlformats.org/officeDocument/2006/relationships/hyperlink" Target="mailto:regorio313@hotmail.com" TargetMode="External"/><Relationship Id="rId26" Type="http://schemas.openxmlformats.org/officeDocument/2006/relationships/hyperlink" Target="mailto:mocawaplazaph@gmail.com" TargetMode="External"/><Relationship Id="rId21" Type="http://schemas.openxmlformats.org/officeDocument/2006/relationships/hyperlink" Target="mailto:reservas@paltahotel.com" TargetMode="External"/><Relationship Id="rId34" Type="http://schemas.openxmlformats.org/officeDocument/2006/relationships/hyperlink" Target="mailto:cgomez@ng-zf.com" TargetMode="External"/><Relationship Id="rId7" Type="http://schemas.openxmlformats.org/officeDocument/2006/relationships/hyperlink" Target="mailto:admonmoempa@gmail.com" TargetMode="External"/><Relationship Id="rId12" Type="http://schemas.openxmlformats.org/officeDocument/2006/relationships/hyperlink" Target="mailto:administrative@lederer-group.org" TargetMode="External"/><Relationship Id="rId17" Type="http://schemas.openxmlformats.org/officeDocument/2006/relationships/hyperlink" Target="mailto:amalvarez@garoe.com.co" TargetMode="External"/><Relationship Id="rId25" Type="http://schemas.openxmlformats.org/officeDocument/2006/relationships/hyperlink" Target="mailto:goyoya46@hotmail.com" TargetMode="External"/><Relationship Id="rId33" Type="http://schemas.openxmlformats.org/officeDocument/2006/relationships/hyperlink" Target="mailto:cerralo30@hotmail.com" TargetMode="External"/><Relationship Id="rId2" Type="http://schemas.openxmlformats.org/officeDocument/2006/relationships/hyperlink" Target="mailto:carolina.gutierrez@agenciaalquimia.com" TargetMode="External"/><Relationship Id="rId16" Type="http://schemas.openxmlformats.org/officeDocument/2006/relationships/hyperlink" Target="mailto:valentinagrhsas@gmail.com" TargetMode="External"/><Relationship Id="rId20" Type="http://schemas.openxmlformats.org/officeDocument/2006/relationships/hyperlink" Target="mailto:admonmoempa@gmail.com" TargetMode="External"/><Relationship Id="rId29" Type="http://schemas.openxmlformats.org/officeDocument/2006/relationships/hyperlink" Target="mailto:restaurante-elsolar@hotmail.com" TargetMode="External"/><Relationship Id="rId1" Type="http://schemas.openxmlformats.org/officeDocument/2006/relationships/hyperlink" Target="mailto:cevicheriaelsolar@gmail.com" TargetMode="External"/><Relationship Id="rId6" Type="http://schemas.openxmlformats.org/officeDocument/2006/relationships/hyperlink" Target="mailto:contacto@baronesa.co" TargetMode="External"/><Relationship Id="rId11" Type="http://schemas.openxmlformats.org/officeDocument/2006/relationships/hyperlink" Target="mailto:maria@gomezvalencia.com" TargetMode="External"/><Relationship Id="rId24" Type="http://schemas.openxmlformats.org/officeDocument/2006/relationships/hyperlink" Target="mailto:nataliamontoyam@hotmail.com" TargetMode="External"/><Relationship Id="rId32" Type="http://schemas.openxmlformats.org/officeDocument/2006/relationships/hyperlink" Target="mailto:heydaygroupcpa@gmail.com" TargetMode="External"/><Relationship Id="rId37" Type="http://schemas.openxmlformats.org/officeDocument/2006/relationships/table" Target="../tables/table3.xml"/><Relationship Id="rId5" Type="http://schemas.openxmlformats.org/officeDocument/2006/relationships/hyperlink" Target="mailto:gomezvalencia2022@gmail.com" TargetMode="External"/><Relationship Id="rId15" Type="http://schemas.openxmlformats.org/officeDocument/2006/relationships/hyperlink" Target="mailto:supertintasgerencia@gmail.com" TargetMode="External"/><Relationship Id="rId23" Type="http://schemas.openxmlformats.org/officeDocument/2006/relationships/hyperlink" Target="mailto:comercial@cafe1959.com" TargetMode="External"/><Relationship Id="rId28" Type="http://schemas.openxmlformats.org/officeDocument/2006/relationships/hyperlink" Target="mailto:edificioclinicacentralq@gmail.com" TargetMode="External"/><Relationship Id="rId36" Type="http://schemas.openxmlformats.org/officeDocument/2006/relationships/drawing" Target="../drawings/drawing13.xml"/><Relationship Id="rId10" Type="http://schemas.openxmlformats.org/officeDocument/2006/relationships/hyperlink" Target="mailto:maria@gomezvalencia.com" TargetMode="External"/><Relationship Id="rId19" Type="http://schemas.openxmlformats.org/officeDocument/2006/relationships/hyperlink" Target="mailto:ivanguti53@hotmail.com" TargetMode="External"/><Relationship Id="rId31" Type="http://schemas.openxmlformats.org/officeDocument/2006/relationships/hyperlink" Target="mailto:danielasalazar1903@gmail.com" TargetMode="External"/><Relationship Id="rId4" Type="http://schemas.openxmlformats.org/officeDocument/2006/relationships/hyperlink" Target="mailto:familiagomezmontoya07@gmail.ocm" TargetMode="External"/><Relationship Id="rId9" Type="http://schemas.openxmlformats.org/officeDocument/2006/relationships/hyperlink" Target="mailto:notificacionfercementos@gmail.com" TargetMode="External"/><Relationship Id="rId14" Type="http://schemas.openxmlformats.org/officeDocument/2006/relationships/hyperlink" Target="mailto:guairita308@hotmail.com" TargetMode="External"/><Relationship Id="rId22" Type="http://schemas.openxmlformats.org/officeDocument/2006/relationships/hyperlink" Target="mailto:contabilidad@ng-zf.com" TargetMode="External"/><Relationship Id="rId27" Type="http://schemas.openxmlformats.org/officeDocument/2006/relationships/hyperlink" Target="mailto:comercial@cafe1959.com" TargetMode="External"/><Relationship Id="rId30" Type="http://schemas.openxmlformats.org/officeDocument/2006/relationships/hyperlink" Target="mailto:gerencia@lacava.com.co" TargetMode="External"/><Relationship Id="rId35" Type="http://schemas.openxmlformats.org/officeDocument/2006/relationships/printerSettings" Target="../printerSettings/printerSettings12.bin"/><Relationship Id="rId8" Type="http://schemas.openxmlformats.org/officeDocument/2006/relationships/hyperlink" Target="mailto:admonmoempa@gmail.com" TargetMode="External"/><Relationship Id="rId3" Type="http://schemas.openxmlformats.org/officeDocument/2006/relationships/hyperlink" Target="mailto:amontoya@ameragrubs.com" TargetMode="Externa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B8319-BAF1-499E-8C6B-98E0ED646C3D}">
  <sheetPr codeName="Hoja1"/>
  <dimension ref="A1:O21"/>
  <sheetViews>
    <sheetView showGridLines="0" showRowColHeaders="0" zoomScaleNormal="100" workbookViewId="0"/>
  </sheetViews>
  <sheetFormatPr baseColWidth="10" defaultRowHeight="15.75" x14ac:dyDescent="0.25"/>
  <cols>
    <col min="3" max="3" width="11" customWidth="1"/>
  </cols>
  <sheetData>
    <row r="1" spans="1:15" ht="16.5" thickBot="1" x14ac:dyDescent="0.3">
      <c r="A1" s="459"/>
      <c r="B1" s="441"/>
      <c r="C1" s="441"/>
      <c r="D1" s="441"/>
      <c r="E1" s="441"/>
      <c r="F1" s="441"/>
      <c r="G1" s="441"/>
      <c r="H1" s="441"/>
      <c r="I1" s="441"/>
      <c r="J1" s="441"/>
      <c r="K1" s="441"/>
      <c r="L1" s="441"/>
      <c r="M1" s="441"/>
      <c r="N1" s="441"/>
      <c r="O1" s="441"/>
    </row>
    <row r="2" spans="1:15" x14ac:dyDescent="0.25">
      <c r="A2" s="450"/>
      <c r="B2" s="451"/>
      <c r="C2" s="451"/>
      <c r="D2" s="451"/>
      <c r="E2" s="451"/>
      <c r="F2" s="451"/>
      <c r="G2" s="451"/>
      <c r="H2" s="451"/>
      <c r="I2" s="451"/>
      <c r="J2" s="451"/>
      <c r="K2" s="451"/>
      <c r="L2" s="451"/>
      <c r="M2" s="451"/>
      <c r="N2" s="451"/>
      <c r="O2" s="452"/>
    </row>
    <row r="3" spans="1:15" x14ac:dyDescent="0.25">
      <c r="A3" s="453"/>
      <c r="B3" s="454"/>
      <c r="C3" s="454"/>
      <c r="D3" s="454"/>
      <c r="E3" s="454"/>
      <c r="F3" s="454"/>
      <c r="G3" s="454"/>
      <c r="H3" s="454"/>
      <c r="I3" s="454"/>
      <c r="J3" s="454"/>
      <c r="K3" s="454"/>
      <c r="L3" s="454"/>
      <c r="M3" s="454"/>
      <c r="N3" s="454"/>
      <c r="O3" s="455"/>
    </row>
    <row r="4" spans="1:15" x14ac:dyDescent="0.25">
      <c r="A4" s="453"/>
      <c r="B4" s="454"/>
      <c r="C4" s="454"/>
      <c r="D4" s="454"/>
      <c r="E4" s="454"/>
      <c r="F4" s="454"/>
      <c r="G4" s="454"/>
      <c r="H4" s="454"/>
      <c r="I4" s="454"/>
      <c r="J4" s="454"/>
      <c r="K4" s="454"/>
      <c r="L4" s="454"/>
      <c r="M4" s="454"/>
      <c r="N4" s="454"/>
      <c r="O4" s="455"/>
    </row>
    <row r="5" spans="1:15" x14ac:dyDescent="0.25">
      <c r="A5" s="453"/>
      <c r="B5" s="454"/>
      <c r="C5" s="454"/>
      <c r="D5" s="454"/>
      <c r="E5" s="454"/>
      <c r="F5" s="454"/>
      <c r="G5" s="454"/>
      <c r="H5" s="454"/>
      <c r="I5" s="454"/>
      <c r="J5" s="454"/>
      <c r="K5" s="454"/>
      <c r="L5" s="454"/>
      <c r="M5" s="454"/>
      <c r="N5" s="454"/>
      <c r="O5" s="455"/>
    </row>
    <row r="6" spans="1:15" x14ac:dyDescent="0.25">
      <c r="A6" s="453"/>
      <c r="B6" s="454"/>
      <c r="C6" s="454"/>
      <c r="D6" s="454"/>
      <c r="E6" s="454"/>
      <c r="F6" s="454"/>
      <c r="G6" s="454"/>
      <c r="H6" s="454"/>
      <c r="I6" s="454"/>
      <c r="J6" s="454"/>
      <c r="K6" s="454"/>
      <c r="L6" s="454"/>
      <c r="M6" s="454"/>
      <c r="N6" s="454"/>
      <c r="O6" s="455"/>
    </row>
    <row r="7" spans="1:15" x14ac:dyDescent="0.25">
      <c r="A7" s="453"/>
      <c r="B7" s="454"/>
      <c r="C7" s="454"/>
      <c r="D7" s="454"/>
      <c r="E7" s="454"/>
      <c r="F7" s="454"/>
      <c r="G7" s="454"/>
      <c r="H7" s="454"/>
      <c r="I7" s="454"/>
      <c r="J7" s="454"/>
      <c r="K7" s="454"/>
      <c r="L7" s="454"/>
      <c r="M7" s="454"/>
      <c r="N7" s="454"/>
      <c r="O7" s="455"/>
    </row>
    <row r="8" spans="1:15" x14ac:dyDescent="0.25">
      <c r="A8" s="453"/>
      <c r="B8" s="454"/>
      <c r="C8" s="454"/>
      <c r="D8" s="454"/>
      <c r="E8" s="454"/>
      <c r="F8" s="454"/>
      <c r="G8" s="454"/>
      <c r="H8" s="454"/>
      <c r="I8" s="454"/>
      <c r="J8" s="454"/>
      <c r="K8" s="454"/>
      <c r="L8" s="454"/>
      <c r="M8" s="454"/>
      <c r="N8" s="454"/>
      <c r="O8" s="455"/>
    </row>
    <row r="9" spans="1:15" x14ac:dyDescent="0.25">
      <c r="A9" s="453"/>
      <c r="B9" s="454"/>
      <c r="C9" s="454"/>
      <c r="D9" s="454"/>
      <c r="E9" s="454"/>
      <c r="F9" s="454"/>
      <c r="G9" s="454"/>
      <c r="H9" s="454"/>
      <c r="I9" s="454"/>
      <c r="J9" s="454"/>
      <c r="K9" s="454"/>
      <c r="L9" s="454"/>
      <c r="M9" s="454"/>
      <c r="N9" s="454"/>
      <c r="O9" s="455"/>
    </row>
    <row r="10" spans="1:15" x14ac:dyDescent="0.25">
      <c r="A10" s="453"/>
      <c r="B10" s="454"/>
      <c r="C10" s="454"/>
      <c r="D10" s="454"/>
      <c r="E10" s="454"/>
      <c r="F10" s="454"/>
      <c r="G10" s="454"/>
      <c r="H10" s="454"/>
      <c r="I10" s="454"/>
      <c r="J10" s="454"/>
      <c r="K10" s="454"/>
      <c r="L10" s="454"/>
      <c r="M10" s="454"/>
      <c r="N10" s="454"/>
      <c r="O10" s="455"/>
    </row>
    <row r="11" spans="1:15" x14ac:dyDescent="0.25">
      <c r="A11" s="453"/>
      <c r="B11" s="454"/>
      <c r="C11" s="454"/>
      <c r="D11" s="454"/>
      <c r="E11" s="454"/>
      <c r="F11" s="454"/>
      <c r="G11" s="454"/>
      <c r="H11" s="454"/>
      <c r="I11" s="454"/>
      <c r="J11" s="454"/>
      <c r="K11" s="454"/>
      <c r="L11" s="454"/>
      <c r="M11" s="454"/>
      <c r="N11" s="454"/>
      <c r="O11" s="455"/>
    </row>
    <row r="12" spans="1:15" x14ac:dyDescent="0.25">
      <c r="A12" s="453"/>
      <c r="B12" s="454"/>
      <c r="C12" s="454"/>
      <c r="D12" s="454"/>
      <c r="E12" s="454"/>
      <c r="F12" s="454"/>
      <c r="G12" s="454"/>
      <c r="H12" s="454"/>
      <c r="I12" s="454"/>
      <c r="J12" s="454"/>
      <c r="K12" s="454"/>
      <c r="L12" s="454"/>
      <c r="M12" s="454"/>
      <c r="N12" s="454"/>
      <c r="O12" s="455"/>
    </row>
    <row r="13" spans="1:15" x14ac:dyDescent="0.25">
      <c r="A13" s="453"/>
      <c r="B13" s="454"/>
      <c r="C13" s="454"/>
      <c r="D13" s="454"/>
      <c r="E13" s="454"/>
      <c r="F13" s="454"/>
      <c r="G13" s="454"/>
      <c r="H13" s="454"/>
      <c r="I13" s="454"/>
      <c r="J13" s="454"/>
      <c r="K13" s="454"/>
      <c r="L13" s="454"/>
      <c r="M13" s="454"/>
      <c r="N13" s="454"/>
      <c r="O13" s="455"/>
    </row>
    <row r="14" spans="1:15" x14ac:dyDescent="0.25">
      <c r="A14" s="453"/>
      <c r="B14" s="454"/>
      <c r="C14" s="454"/>
      <c r="D14" s="454"/>
      <c r="E14" s="454"/>
      <c r="F14" s="454"/>
      <c r="G14" s="454"/>
      <c r="H14" s="454"/>
      <c r="I14" s="454"/>
      <c r="J14" s="454"/>
      <c r="K14" s="454"/>
      <c r="L14" s="454"/>
      <c r="M14" s="454"/>
      <c r="N14" s="454"/>
      <c r="O14" s="455"/>
    </row>
    <row r="15" spans="1:15" x14ac:dyDescent="0.25">
      <c r="A15" s="453"/>
      <c r="B15" s="454"/>
      <c r="C15" s="454"/>
      <c r="D15" s="454"/>
      <c r="E15" s="454"/>
      <c r="F15" s="454"/>
      <c r="G15" s="454"/>
      <c r="H15" s="454"/>
      <c r="I15" s="454"/>
      <c r="J15" s="454"/>
      <c r="K15" s="454"/>
      <c r="L15" s="454"/>
      <c r="M15" s="454"/>
      <c r="N15" s="454"/>
      <c r="O15" s="455"/>
    </row>
    <row r="16" spans="1:15" x14ac:dyDescent="0.25">
      <c r="A16" s="453"/>
      <c r="B16" s="454"/>
      <c r="C16" s="454"/>
      <c r="D16" s="454"/>
      <c r="E16" s="454"/>
      <c r="F16" s="454"/>
      <c r="G16" s="454"/>
      <c r="H16" s="454"/>
      <c r="I16" s="454"/>
      <c r="J16" s="454"/>
      <c r="K16" s="454"/>
      <c r="L16" s="454"/>
      <c r="M16" s="454"/>
      <c r="N16" s="454"/>
      <c r="O16" s="455"/>
    </row>
    <row r="17" spans="1:15" x14ac:dyDescent="0.25">
      <c r="A17" s="453"/>
      <c r="B17" s="454"/>
      <c r="C17" s="454"/>
      <c r="D17" s="454"/>
      <c r="E17" s="454"/>
      <c r="F17" s="454"/>
      <c r="G17" s="454"/>
      <c r="H17" s="454"/>
      <c r="I17" s="454"/>
      <c r="J17" s="454"/>
      <c r="K17" s="454"/>
      <c r="L17" s="454"/>
      <c r="M17" s="454"/>
      <c r="N17" s="454"/>
      <c r="O17" s="455"/>
    </row>
    <row r="18" spans="1:15" x14ac:dyDescent="0.25">
      <c r="A18" s="453"/>
      <c r="B18" s="454"/>
      <c r="C18" s="454"/>
      <c r="D18" s="454"/>
      <c r="E18" s="454"/>
      <c r="F18" s="454"/>
      <c r="G18" s="454"/>
      <c r="H18" s="454"/>
      <c r="I18" s="454"/>
      <c r="J18" s="454"/>
      <c r="K18" s="454"/>
      <c r="L18" s="454"/>
      <c r="M18" s="454"/>
      <c r="N18" s="454"/>
      <c r="O18" s="455"/>
    </row>
    <row r="19" spans="1:15" x14ac:dyDescent="0.25">
      <c r="A19" s="453"/>
      <c r="B19" s="454"/>
      <c r="C19" s="454"/>
      <c r="D19" s="454"/>
      <c r="E19" s="454"/>
      <c r="F19" s="454"/>
      <c r="G19" s="454"/>
      <c r="H19" s="454"/>
      <c r="I19" s="454"/>
      <c r="J19" s="454"/>
      <c r="K19" s="454"/>
      <c r="L19" s="454"/>
      <c r="M19" s="454"/>
      <c r="N19" s="454"/>
      <c r="O19" s="455"/>
    </row>
    <row r="20" spans="1:15" x14ac:dyDescent="0.25">
      <c r="A20" s="453"/>
      <c r="B20" s="454"/>
      <c r="C20" s="454"/>
      <c r="D20" s="454"/>
      <c r="E20" s="454"/>
      <c r="F20" s="454"/>
      <c r="G20" s="454"/>
      <c r="H20" s="454"/>
      <c r="I20" s="454"/>
      <c r="J20" s="454"/>
      <c r="K20" s="454"/>
      <c r="L20" s="454"/>
      <c r="M20" s="454"/>
      <c r="N20" s="454"/>
      <c r="O20" s="455"/>
    </row>
    <row r="21" spans="1:15" ht="16.5" thickBot="1" x14ac:dyDescent="0.3">
      <c r="A21" s="456"/>
      <c r="B21" s="457"/>
      <c r="C21" s="457"/>
      <c r="D21" s="457"/>
      <c r="E21" s="457"/>
      <c r="F21" s="457"/>
      <c r="G21" s="457"/>
      <c r="H21" s="457"/>
      <c r="I21" s="457"/>
      <c r="J21" s="457"/>
      <c r="K21" s="457"/>
      <c r="L21" s="457"/>
      <c r="M21" s="457"/>
      <c r="N21" s="457"/>
      <c r="O21" s="458"/>
    </row>
  </sheetData>
  <pageMargins left="0" right="0" top="0" bottom="0" header="0" footer="0"/>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B519D-6BEC-4705-B850-1FC579CFC647}">
  <sheetPr codeName="Hoja2"/>
  <dimension ref="A1:AI172"/>
  <sheetViews>
    <sheetView showGridLines="0" zoomScale="55" zoomScaleNormal="55" zoomScalePageLayoutView="10" workbookViewId="0"/>
  </sheetViews>
  <sheetFormatPr baseColWidth="10" defaultColWidth="10" defaultRowHeight="15.75" x14ac:dyDescent="0.25"/>
  <cols>
    <col min="1" max="1" width="9.875" customWidth="1"/>
    <col min="2" max="2" width="3.875" customWidth="1"/>
    <col min="3" max="4" width="30.125" customWidth="1"/>
    <col min="5" max="5" width="2.625" customWidth="1"/>
    <col min="6" max="6" width="15.625" bestFit="1" customWidth="1"/>
    <col min="7" max="7" width="21.625" customWidth="1"/>
    <col min="8" max="8" width="4.125" customWidth="1"/>
    <col min="9" max="9" width="8.375" customWidth="1"/>
    <col min="10" max="10" width="13.875" customWidth="1"/>
    <col min="11" max="11" width="19.5" customWidth="1"/>
    <col min="12" max="12" width="10.125" customWidth="1"/>
    <col min="13" max="13" width="25.125" customWidth="1"/>
    <col min="14" max="14" width="19.5" customWidth="1"/>
    <col min="15" max="15" width="1.625" customWidth="1"/>
    <col min="16" max="16" width="22" customWidth="1"/>
    <col min="17" max="17" width="2.125" customWidth="1"/>
    <col min="18" max="19" width="19.5" customWidth="1"/>
    <col min="20" max="20" width="2.125" customWidth="1"/>
    <col min="21" max="21" width="25.625" customWidth="1"/>
    <col min="22" max="22" width="23.875" bestFit="1" customWidth="1"/>
    <col min="23" max="23" width="27.375" bestFit="1" customWidth="1"/>
    <col min="24" max="24" width="37.125" bestFit="1" customWidth="1"/>
    <col min="25" max="25" width="14.875" bestFit="1" customWidth="1"/>
    <col min="26" max="26" width="51.625" bestFit="1" customWidth="1"/>
    <col min="27" max="27" width="17.875" customWidth="1"/>
    <col min="28" max="28" width="6.375" bestFit="1" customWidth="1"/>
    <col min="29" max="29" width="5.375" bestFit="1" customWidth="1"/>
    <col min="30" max="30" width="4.5" bestFit="1" customWidth="1"/>
    <col min="31" max="31" width="6.125" bestFit="1" customWidth="1"/>
    <col min="32" max="32" width="6" bestFit="1" customWidth="1"/>
    <col min="33" max="33" width="5.5" bestFit="1" customWidth="1"/>
    <col min="34" max="34" width="6" bestFit="1" customWidth="1"/>
    <col min="35" max="35" width="5.375" bestFit="1" customWidth="1"/>
  </cols>
  <sheetData>
    <row r="1" spans="2:35" ht="6.75" customHeight="1" x14ac:dyDescent="0.25"/>
    <row r="2" spans="2:35" ht="74.25" customHeight="1" x14ac:dyDescent="0.25"/>
    <row r="3" spans="2:35" ht="74.25" customHeight="1" x14ac:dyDescent="0.25"/>
    <row r="4" spans="2:35" ht="16.5" thickBot="1" x14ac:dyDescent="0.3">
      <c r="B4" s="34"/>
      <c r="C4" s="34"/>
      <c r="D4" s="34"/>
      <c r="E4" s="34"/>
      <c r="F4" s="34"/>
      <c r="G4" s="34"/>
      <c r="H4" s="34"/>
      <c r="I4" s="34"/>
      <c r="J4" s="34"/>
      <c r="K4" s="34"/>
      <c r="L4" s="34"/>
      <c r="M4" s="34"/>
      <c r="N4" s="34"/>
      <c r="O4" s="34"/>
      <c r="P4" s="34"/>
      <c r="Q4" s="34"/>
      <c r="R4" s="34"/>
      <c r="S4" s="34"/>
      <c r="T4" s="34"/>
      <c r="V4" s="39" t="s">
        <v>0</v>
      </c>
      <c r="W4" t="s">
        <v>1048</v>
      </c>
      <c r="Y4" s="39" t="s">
        <v>0</v>
      </c>
      <c r="Z4" t="s">
        <v>980</v>
      </c>
      <c r="AA4" t="str">
        <f>_xlfn.TEXTJOIN(", ",TRUE,Y9:Z25)</f>
        <v/>
      </c>
      <c r="AE4" s="163"/>
      <c r="AF4" s="153"/>
    </row>
    <row r="5" spans="2:35" ht="58.5" customHeight="1" x14ac:dyDescent="0.25">
      <c r="B5" s="34"/>
      <c r="C5" s="465" t="str">
        <f>W4</f>
        <v>Gómez Valencia S.A.S.</v>
      </c>
      <c r="D5" s="465"/>
      <c r="E5" s="465"/>
      <c r="F5" s="465"/>
      <c r="G5" s="465"/>
      <c r="H5" s="465"/>
      <c r="I5" s="465"/>
      <c r="J5" s="465"/>
      <c r="K5" s="465"/>
      <c r="L5" s="42"/>
      <c r="M5" s="43"/>
      <c r="N5" s="46" t="s">
        <v>2</v>
      </c>
      <c r="O5" s="460" t="s">
        <v>70</v>
      </c>
      <c r="P5" s="460"/>
      <c r="Q5" s="48"/>
      <c r="R5" s="48"/>
      <c r="S5" s="49"/>
      <c r="T5" s="34"/>
      <c r="V5" s="39" t="s">
        <v>4</v>
      </c>
      <c r="W5" t="s">
        <v>5</v>
      </c>
      <c r="Y5" s="39" t="s">
        <v>4</v>
      </c>
      <c r="Z5" t="s">
        <v>5</v>
      </c>
      <c r="AE5" s="162"/>
      <c r="AF5" s="153"/>
    </row>
    <row r="6" spans="2:35" ht="58.5" customHeight="1" thickBot="1" x14ac:dyDescent="0.3">
      <c r="B6" s="34"/>
      <c r="C6" s="465"/>
      <c r="D6" s="465"/>
      <c r="E6" s="465"/>
      <c r="F6" s="465"/>
      <c r="G6" s="465"/>
      <c r="H6" s="465"/>
      <c r="I6" s="465"/>
      <c r="J6" s="465"/>
      <c r="K6" s="465"/>
      <c r="L6" s="44"/>
      <c r="M6" s="45"/>
      <c r="N6" s="47" t="s">
        <v>6</v>
      </c>
      <c r="O6" s="461" t="s">
        <v>70</v>
      </c>
      <c r="P6" s="461"/>
      <c r="Q6" s="50"/>
      <c r="R6" s="50"/>
      <c r="S6" s="51"/>
      <c r="T6" s="34"/>
      <c r="AE6" s="162"/>
      <c r="AF6" s="153"/>
    </row>
    <row r="7" spans="2:35" ht="20.25" customHeight="1" thickBot="1" x14ac:dyDescent="0.3">
      <c r="B7" s="34"/>
      <c r="C7" s="35"/>
      <c r="D7" s="36"/>
      <c r="E7" s="35"/>
      <c r="F7" s="35"/>
      <c r="G7" s="35"/>
      <c r="H7" s="35"/>
      <c r="I7" s="35"/>
      <c r="J7" s="35"/>
      <c r="K7" s="35"/>
      <c r="L7" s="35"/>
      <c r="M7" s="35"/>
      <c r="N7" s="35"/>
      <c r="O7" s="35"/>
      <c r="P7" s="35"/>
      <c r="Q7" s="52"/>
      <c r="R7" s="35"/>
      <c r="S7" s="35"/>
      <c r="T7" s="34"/>
      <c r="V7" s="39" t="s">
        <v>7</v>
      </c>
      <c r="W7" t="s">
        <v>8</v>
      </c>
      <c r="Z7" s="39" t="s">
        <v>9</v>
      </c>
      <c r="AE7" s="162"/>
      <c r="AF7" s="153"/>
    </row>
    <row r="8" spans="2:35" ht="46.5" customHeight="1" x14ac:dyDescent="0.25">
      <c r="B8" s="34"/>
      <c r="C8" s="80" t="s">
        <v>10</v>
      </c>
      <c r="D8" s="81" t="s">
        <v>11</v>
      </c>
      <c r="E8" s="82"/>
      <c r="F8" s="470"/>
      <c r="G8" s="471"/>
      <c r="H8" s="83"/>
      <c r="I8" s="84"/>
      <c r="J8" s="84"/>
      <c r="K8" s="462" t="s">
        <v>12</v>
      </c>
      <c r="L8" s="462"/>
      <c r="M8" s="84"/>
      <c r="N8" s="462" t="s">
        <v>13</v>
      </c>
      <c r="O8" s="462"/>
      <c r="P8" s="85"/>
      <c r="Q8" s="86"/>
      <c r="R8" s="487" t="s">
        <v>14</v>
      </c>
      <c r="S8" s="488"/>
      <c r="T8" s="34"/>
      <c r="V8" s="31" t="s">
        <v>1107</v>
      </c>
      <c r="W8">
        <v>3</v>
      </c>
      <c r="Y8" s="39" t="s">
        <v>16</v>
      </c>
    </row>
    <row r="9" spans="2:35" ht="33.75" x14ac:dyDescent="0.25">
      <c r="B9" s="34"/>
      <c r="C9" s="472">
        <v>5</v>
      </c>
      <c r="D9" s="466">
        <v>5</v>
      </c>
      <c r="E9" s="82"/>
      <c r="F9" s="468"/>
      <c r="G9" s="469"/>
      <c r="H9" s="87"/>
      <c r="I9" s="87"/>
      <c r="J9" s="88"/>
      <c r="K9" s="476" t="e">
        <f ca="1">D64</f>
        <v>#REF!</v>
      </c>
      <c r="L9" s="476"/>
      <c r="M9" s="89"/>
      <c r="N9" s="90">
        <f ca="1">D62</f>
        <v>29.123055555555556</v>
      </c>
      <c r="O9" s="87"/>
      <c r="P9" s="91"/>
      <c r="Q9" s="92"/>
      <c r="R9" s="489"/>
      <c r="S9" s="490"/>
      <c r="T9" s="34"/>
      <c r="V9" s="31" t="s">
        <v>282</v>
      </c>
      <c r="W9">
        <v>1</v>
      </c>
      <c r="AE9" s="153"/>
      <c r="AF9" s="153"/>
    </row>
    <row r="10" spans="2:35" ht="33.75" thickBot="1" x14ac:dyDescent="0.45">
      <c r="B10" s="34"/>
      <c r="C10" s="473"/>
      <c r="D10" s="467"/>
      <c r="E10" s="82"/>
      <c r="F10" s="468"/>
      <c r="G10" s="469"/>
      <c r="H10" s="87"/>
      <c r="I10" s="87"/>
      <c r="J10" s="88"/>
      <c r="K10" s="93"/>
      <c r="L10" s="94"/>
      <c r="M10" s="94"/>
      <c r="N10" s="95"/>
      <c r="O10" s="87"/>
      <c r="P10" s="91"/>
      <c r="Q10" s="92"/>
      <c r="R10" s="491" t="s">
        <v>18</v>
      </c>
      <c r="S10" s="492"/>
      <c r="T10" s="34"/>
      <c r="V10" s="31" t="s">
        <v>1047</v>
      </c>
      <c r="W10">
        <v>2</v>
      </c>
      <c r="AE10" s="153"/>
      <c r="AF10" s="153"/>
    </row>
    <row r="11" spans="2:35" ht="30.75" thickBot="1" x14ac:dyDescent="0.45">
      <c r="B11" s="34"/>
      <c r="C11" s="82"/>
      <c r="D11" s="82"/>
      <c r="E11" s="82"/>
      <c r="F11" s="96"/>
      <c r="G11" s="87"/>
      <c r="H11" s="87"/>
      <c r="I11" s="87"/>
      <c r="J11" s="88"/>
      <c r="K11" s="478" t="s">
        <v>20</v>
      </c>
      <c r="L11" s="478"/>
      <c r="M11" s="94"/>
      <c r="N11" s="87"/>
      <c r="O11" s="87"/>
      <c r="P11" s="97"/>
      <c r="Q11" s="98"/>
      <c r="R11" s="485" t="str">
        <f>AA4</f>
        <v/>
      </c>
      <c r="S11" s="486"/>
      <c r="T11" s="34"/>
      <c r="V11" s="31" t="s">
        <v>1788</v>
      </c>
      <c r="W11">
        <v>1</v>
      </c>
      <c r="X11" s="41"/>
      <c r="AE11" s="153"/>
      <c r="AF11" s="153"/>
    </row>
    <row r="12" spans="2:35" s="41" customFormat="1" ht="21" x14ac:dyDescent="0.35">
      <c r="B12" s="40"/>
      <c r="C12" s="81" t="s">
        <v>22</v>
      </c>
      <c r="D12" s="81" t="s">
        <v>23</v>
      </c>
      <c r="E12" s="101"/>
      <c r="F12" s="102"/>
      <c r="G12" s="103"/>
      <c r="H12" s="103"/>
      <c r="I12" s="103"/>
      <c r="J12" s="104"/>
      <c r="K12" s="478"/>
      <c r="L12" s="478"/>
      <c r="M12" s="103"/>
      <c r="N12" s="103"/>
      <c r="O12" s="105"/>
      <c r="P12" s="106"/>
      <c r="Q12" s="107"/>
      <c r="R12" s="485"/>
      <c r="S12" s="486"/>
      <c r="T12" s="40"/>
      <c r="V12" s="31" t="s">
        <v>2067</v>
      </c>
      <c r="W12">
        <v>1</v>
      </c>
      <c r="X12"/>
      <c r="Y12"/>
      <c r="Z12"/>
      <c r="AA12"/>
      <c r="AB12"/>
      <c r="AC12"/>
      <c r="AD12"/>
      <c r="AE12" s="153"/>
      <c r="AF12" s="153"/>
      <c r="AG12"/>
      <c r="AH12"/>
      <c r="AI12"/>
    </row>
    <row r="13" spans="2:35" x14ac:dyDescent="0.25">
      <c r="B13" s="34"/>
      <c r="C13" s="509">
        <f>COUNTIFS(Tabla1[Empleador],C5, Tabla1[Fecha de Contratación (dd/mm/yyyy)*],"&gt;="&amp;D47,Tabla1[Fecha de Contratación (dd/mm/yyyy)*],"&lt;="&amp;F47)</f>
        <v>1</v>
      </c>
      <c r="D13" s="474" t="str">
        <f>IF(COUNTIFS(Tabla1[Empleador],$C$5, Tabla1[Fecha de retiro],"&gt;="&amp;D47,Tabla1[Fecha de retiro],"&lt;="&amp;F47)=0,"",COUNTIFS(Tabla1[Empleador],$C$5, Tabla1[Fecha de retiro],"&gt;="&amp;D47,Tabla1[Fecha de retiro],"&lt;="&amp;F47))</f>
        <v/>
      </c>
      <c r="E13" s="82"/>
      <c r="F13" s="96"/>
      <c r="G13" s="87"/>
      <c r="H13" s="87"/>
      <c r="I13" s="87"/>
      <c r="J13" s="88"/>
      <c r="K13" s="478"/>
      <c r="L13" s="478"/>
      <c r="M13" s="87"/>
      <c r="N13" s="87"/>
      <c r="O13" s="108"/>
      <c r="P13" s="97"/>
      <c r="Q13" s="98"/>
      <c r="R13" s="485"/>
      <c r="S13" s="486"/>
      <c r="T13" s="34"/>
      <c r="V13" s="31" t="s">
        <v>2297</v>
      </c>
      <c r="W13">
        <v>1</v>
      </c>
      <c r="AE13" s="153"/>
      <c r="AF13" s="153"/>
    </row>
    <row r="14" spans="2:35" ht="26.25" customHeight="1" thickBot="1" x14ac:dyDescent="0.3">
      <c r="B14" s="34"/>
      <c r="C14" s="510"/>
      <c r="D14" s="475"/>
      <c r="E14" s="82"/>
      <c r="F14" s="96"/>
      <c r="G14" s="87"/>
      <c r="H14" s="87"/>
      <c r="I14" s="87"/>
      <c r="J14" s="88"/>
      <c r="K14" s="477">
        <f>D63</f>
        <v>2720000</v>
      </c>
      <c r="L14" s="477"/>
      <c r="M14" s="87"/>
      <c r="N14" s="87"/>
      <c r="O14" s="108"/>
      <c r="P14" s="97"/>
      <c r="Q14" s="98"/>
      <c r="R14" s="485"/>
      <c r="S14" s="486"/>
      <c r="T14" s="34"/>
      <c r="V14" s="31" t="s">
        <v>2314</v>
      </c>
      <c r="W14">
        <v>1</v>
      </c>
      <c r="AE14" s="153"/>
      <c r="AF14" s="153"/>
    </row>
    <row r="15" spans="2:35" ht="21.75" thickBot="1" x14ac:dyDescent="0.4">
      <c r="B15" s="34"/>
      <c r="C15" s="82"/>
      <c r="D15" s="82"/>
      <c r="E15" s="82"/>
      <c r="F15" s="96"/>
      <c r="G15" s="87"/>
      <c r="H15" s="87"/>
      <c r="I15" s="87"/>
      <c r="J15" s="88"/>
      <c r="K15" s="477"/>
      <c r="L15" s="477"/>
      <c r="M15" s="87"/>
      <c r="N15" s="87"/>
      <c r="O15" s="108"/>
      <c r="P15" s="97"/>
      <c r="Q15" s="98"/>
      <c r="R15" s="485"/>
      <c r="S15" s="486"/>
      <c r="T15" s="34"/>
      <c r="V15" s="31" t="s">
        <v>34</v>
      </c>
      <c r="W15" s="38">
        <v>10</v>
      </c>
      <c r="X15" s="41"/>
      <c r="AE15" s="153"/>
      <c r="AF15" s="153"/>
    </row>
    <row r="16" spans="2:35" s="41" customFormat="1" ht="26.25" x14ac:dyDescent="0.35">
      <c r="B16" s="40"/>
      <c r="C16" s="81" t="s">
        <v>28</v>
      </c>
      <c r="D16" s="81" t="s">
        <v>29</v>
      </c>
      <c r="E16" s="101"/>
      <c r="F16" s="102"/>
      <c r="G16" s="103"/>
      <c r="H16" s="103"/>
      <c r="I16" s="103"/>
      <c r="J16" s="104"/>
      <c r="K16" s="477"/>
      <c r="L16" s="477"/>
      <c r="M16" s="103"/>
      <c r="N16" s="103"/>
      <c r="O16" s="105"/>
      <c r="P16" s="106"/>
      <c r="Q16" s="107"/>
      <c r="R16" s="109" t="s">
        <v>30</v>
      </c>
      <c r="S16" s="110"/>
      <c r="T16" s="40"/>
      <c r="V16"/>
      <c r="W16"/>
      <c r="X16"/>
      <c r="Y16"/>
      <c r="Z16"/>
      <c r="AA16"/>
      <c r="AB16"/>
      <c r="AC16"/>
      <c r="AD16"/>
      <c r="AE16" s="153"/>
      <c r="AF16" s="153"/>
      <c r="AG16"/>
      <c r="AH16"/>
      <c r="AI16"/>
    </row>
    <row r="17" spans="1:32" ht="25.5" customHeight="1" x14ac:dyDescent="0.25">
      <c r="B17" s="34"/>
      <c r="C17" s="463">
        <f>COUNTIFS(Tabla1[Empleador],C5,Tabla1[Status],"Activo",Tabla1[Género],"Hombre")/D9</f>
        <v>0.8</v>
      </c>
      <c r="D17" s="463">
        <f>COUNTIFS(Tabla1[Empleador],C5,Tabla1[Status],"Activo",Tabla1[Género],"Mujer")/D9</f>
        <v>1.2</v>
      </c>
      <c r="E17" s="82"/>
      <c r="F17" s="96"/>
      <c r="G17" s="87"/>
      <c r="H17" s="87"/>
      <c r="I17" s="87"/>
      <c r="J17" s="88"/>
      <c r="K17" s="88"/>
      <c r="L17" s="87"/>
      <c r="M17" s="87"/>
      <c r="N17" s="87"/>
      <c r="O17" s="87"/>
      <c r="P17" s="97"/>
      <c r="Q17" s="98"/>
      <c r="R17" s="485" t="str">
        <f>+X25</f>
        <v/>
      </c>
      <c r="S17" s="486"/>
      <c r="T17" s="34"/>
      <c r="AE17" s="153"/>
      <c r="AF17" s="153"/>
    </row>
    <row r="18" spans="1:32" ht="16.5" thickBot="1" x14ac:dyDescent="0.3">
      <c r="B18" s="34"/>
      <c r="C18" s="464"/>
      <c r="D18" s="464"/>
      <c r="E18" s="82"/>
      <c r="F18" s="111"/>
      <c r="G18" s="112"/>
      <c r="H18" s="112"/>
      <c r="I18" s="112"/>
      <c r="J18" s="113"/>
      <c r="K18" s="113"/>
      <c r="L18" s="112"/>
      <c r="M18" s="112"/>
      <c r="N18" s="112"/>
      <c r="O18" s="112"/>
      <c r="P18" s="114"/>
      <c r="Q18" s="98"/>
      <c r="R18" s="485"/>
      <c r="S18" s="486"/>
      <c r="T18" s="34"/>
      <c r="AE18" s="153"/>
      <c r="AF18" s="153"/>
    </row>
    <row r="19" spans="1:32" ht="16.5" thickBot="1" x14ac:dyDescent="0.3">
      <c r="B19" s="34"/>
      <c r="C19" s="82"/>
      <c r="D19" s="82"/>
      <c r="E19" s="82"/>
      <c r="F19" s="82"/>
      <c r="G19" s="82"/>
      <c r="H19" s="82"/>
      <c r="I19" s="82"/>
      <c r="J19" s="82"/>
      <c r="K19" s="82"/>
      <c r="L19" s="82"/>
      <c r="M19" s="82"/>
      <c r="N19" s="82"/>
      <c r="O19" s="82"/>
      <c r="P19" s="82"/>
      <c r="Q19" s="98"/>
      <c r="R19" s="485"/>
      <c r="S19" s="486"/>
      <c r="T19" s="34"/>
      <c r="AE19" s="153"/>
      <c r="AF19" s="153"/>
    </row>
    <row r="20" spans="1:32" ht="23.25" x14ac:dyDescent="0.35">
      <c r="B20" s="34"/>
      <c r="C20" s="521" t="s">
        <v>35</v>
      </c>
      <c r="D20" s="522"/>
      <c r="E20" s="115"/>
      <c r="F20" s="525">
        <f>E37</f>
        <v>12042299</v>
      </c>
      <c r="G20" s="526"/>
      <c r="H20" s="116"/>
      <c r="I20" s="117"/>
      <c r="J20" s="118"/>
      <c r="K20" s="500" t="str">
        <f>M47</f>
        <v>Medidas correctivas / Disciplinarias</v>
      </c>
      <c r="L20" s="500"/>
      <c r="M20" s="494"/>
      <c r="N20" s="494" t="s">
        <v>36</v>
      </c>
      <c r="O20" s="119"/>
      <c r="P20" s="493" t="s">
        <v>37</v>
      </c>
      <c r="Q20" s="98"/>
      <c r="R20" s="485"/>
      <c r="S20" s="486"/>
      <c r="T20" s="34"/>
      <c r="AE20" s="153"/>
      <c r="AF20" s="153"/>
    </row>
    <row r="21" spans="1:32" ht="55.5" customHeight="1" x14ac:dyDescent="0.25">
      <c r="B21" s="34"/>
      <c r="C21" s="523"/>
      <c r="D21" s="524"/>
      <c r="E21" s="120"/>
      <c r="F21" s="527"/>
      <c r="G21" s="527"/>
      <c r="H21" s="88"/>
      <c r="I21" s="121"/>
      <c r="J21" s="122"/>
      <c r="K21" s="501"/>
      <c r="L21" s="501"/>
      <c r="M21" s="495"/>
      <c r="N21" s="495"/>
      <c r="O21" s="123"/>
      <c r="P21" s="478"/>
      <c r="Q21" s="98"/>
      <c r="R21" s="485"/>
      <c r="S21" s="486"/>
      <c r="T21" s="34"/>
      <c r="AE21" s="153"/>
      <c r="AF21" s="153"/>
    </row>
    <row r="22" spans="1:32" ht="33.75" x14ac:dyDescent="0.25">
      <c r="B22" s="34"/>
      <c r="C22" s="96"/>
      <c r="D22" s="87"/>
      <c r="E22" s="87"/>
      <c r="F22" s="87"/>
      <c r="G22" s="87"/>
      <c r="H22" s="88"/>
      <c r="I22" s="124"/>
      <c r="J22" s="125"/>
      <c r="K22" s="502">
        <f>N47</f>
        <v>0</v>
      </c>
      <c r="L22" s="502"/>
      <c r="M22" s="89"/>
      <c r="N22" s="126"/>
      <c r="O22" s="123"/>
      <c r="P22" s="127"/>
      <c r="Q22" s="98"/>
      <c r="R22" s="485"/>
      <c r="S22" s="486"/>
      <c r="T22" s="34"/>
      <c r="AE22" s="153"/>
      <c r="AF22" s="153"/>
    </row>
    <row r="23" spans="1:32" ht="15.75" customHeight="1" x14ac:dyDescent="0.25">
      <c r="B23" s="34"/>
      <c r="C23" s="96"/>
      <c r="D23" s="87"/>
      <c r="E23" s="87"/>
      <c r="F23" s="87"/>
      <c r="G23" s="87"/>
      <c r="H23" s="88"/>
      <c r="I23" s="124"/>
      <c r="J23" s="125"/>
      <c r="K23" s="502"/>
      <c r="L23" s="502"/>
      <c r="M23" s="89"/>
      <c r="N23" s="496" t="str">
        <f>IFERROR(D13/C9,"0%")</f>
        <v>0%</v>
      </c>
      <c r="O23" s="123"/>
      <c r="P23" s="498" t="str">
        <f>IFERROR(AVERAGEIFS(Tabla1[Antigüedad],Tabla1[Empleador],$C$5, Tabla1[Fecha de retiro],"&gt;="&amp;D47,Tabla1[Fecha de retiro],"&lt;="&amp;F47,Tabla1[Status],"Inactivo"),"")</f>
        <v/>
      </c>
      <c r="Q23" s="98"/>
      <c r="R23" s="99"/>
      <c r="S23" s="100"/>
      <c r="T23" s="34"/>
      <c r="V23" s="31"/>
      <c r="AE23" s="153"/>
      <c r="AF23" s="153"/>
    </row>
    <row r="24" spans="1:32" ht="16.5" customHeight="1" thickBot="1" x14ac:dyDescent="0.3">
      <c r="B24" s="34"/>
      <c r="C24" s="96"/>
      <c r="D24" s="87"/>
      <c r="E24" s="87"/>
      <c r="F24" s="87"/>
      <c r="G24" s="87"/>
      <c r="H24" s="88"/>
      <c r="I24" s="124"/>
      <c r="J24" s="128"/>
      <c r="K24" s="503"/>
      <c r="L24" s="503"/>
      <c r="M24" s="112"/>
      <c r="N24" s="497"/>
      <c r="O24" s="129"/>
      <c r="P24" s="499"/>
      <c r="Q24" s="98"/>
      <c r="R24" s="479" t="s">
        <v>38</v>
      </c>
      <c r="S24" s="480"/>
      <c r="T24" s="34"/>
      <c r="V24" s="31"/>
      <c r="AE24" s="153"/>
      <c r="AF24" s="153"/>
    </row>
    <row r="25" spans="1:32" x14ac:dyDescent="0.25">
      <c r="B25" s="34"/>
      <c r="C25" s="96"/>
      <c r="D25" s="87"/>
      <c r="E25" s="87"/>
      <c r="F25" s="87"/>
      <c r="G25" s="87"/>
      <c r="H25" s="88"/>
      <c r="I25" s="130"/>
      <c r="J25" s="87"/>
      <c r="K25" s="87"/>
      <c r="L25" s="87"/>
      <c r="M25" s="87"/>
      <c r="N25" s="87"/>
      <c r="O25" s="87"/>
      <c r="P25" s="87"/>
      <c r="Q25" s="131"/>
      <c r="R25" s="479"/>
      <c r="S25" s="480"/>
      <c r="T25" s="34"/>
      <c r="V25" s="39" t="s">
        <v>0</v>
      </c>
      <c r="W25" t="s">
        <v>732</v>
      </c>
      <c r="X25" t="str">
        <f>_xlfn.TEXTJOIN(", ",TRUE,V33:W56)</f>
        <v/>
      </c>
      <c r="AE25" s="153"/>
      <c r="AF25" s="153"/>
    </row>
    <row r="26" spans="1:32" ht="33" x14ac:dyDescent="0.25">
      <c r="B26" s="34"/>
      <c r="C26" s="96"/>
      <c r="D26" s="87"/>
      <c r="E26" s="87"/>
      <c r="F26" s="87"/>
      <c r="G26" s="87"/>
      <c r="H26" s="88"/>
      <c r="I26" s="130"/>
      <c r="J26" s="87"/>
      <c r="K26" s="87"/>
      <c r="L26" s="87"/>
      <c r="M26" s="87"/>
      <c r="N26" s="87"/>
      <c r="O26" s="87"/>
      <c r="P26" s="87"/>
      <c r="Q26" s="132"/>
      <c r="R26" s="481" t="str">
        <f>CONCATENATE("El ",TEXT(G41,"dd mmmm aaaa")," es la fecha límite para el pago de los aportes al sistema de protección social por un valor de ",TEXT(F38,"$###.##"),CHAR(10),CHAR(10),VLOOKUP(O6,C49:G60,5,FALSE))</f>
        <v xml:space="preserve">El viernes, 
03 mayo 2024 es la fecha límite para el pago de los aportes al sistema de protección social por un valor de $850757.
</v>
      </c>
      <c r="S26" s="482"/>
      <c r="T26" s="34"/>
      <c r="V26" s="39" t="s">
        <v>4</v>
      </c>
      <c r="W26" t="s">
        <v>5</v>
      </c>
      <c r="AE26" s="153"/>
      <c r="AF26" s="153"/>
    </row>
    <row r="27" spans="1:32" ht="33" x14ac:dyDescent="0.25">
      <c r="B27" s="34"/>
      <c r="C27" s="96"/>
      <c r="D27" s="87"/>
      <c r="E27" s="87"/>
      <c r="F27" s="87"/>
      <c r="G27" s="87"/>
      <c r="H27" s="88"/>
      <c r="I27" s="130"/>
      <c r="J27" s="87"/>
      <c r="K27" s="87"/>
      <c r="L27" s="87"/>
      <c r="M27" s="87"/>
      <c r="N27" s="87"/>
      <c r="O27" s="87"/>
      <c r="P27" s="87"/>
      <c r="Q27" s="132"/>
      <c r="R27" s="481"/>
      <c r="S27" s="482"/>
      <c r="T27" s="34"/>
      <c r="AE27" s="153"/>
      <c r="AF27" s="153"/>
    </row>
    <row r="28" spans="1:32" x14ac:dyDescent="0.25">
      <c r="B28" s="34"/>
      <c r="C28" s="96"/>
      <c r="D28" s="87"/>
      <c r="E28" s="87"/>
      <c r="F28" s="87"/>
      <c r="G28" s="87"/>
      <c r="H28" s="88"/>
      <c r="I28" s="130"/>
      <c r="J28" s="87"/>
      <c r="K28" s="87"/>
      <c r="L28" s="87"/>
      <c r="M28" s="87"/>
      <c r="N28" s="87"/>
      <c r="O28" s="87"/>
      <c r="P28" s="87"/>
      <c r="Q28" s="98"/>
      <c r="R28" s="481"/>
      <c r="S28" s="482"/>
      <c r="T28" s="34"/>
      <c r="W28" s="39" t="s">
        <v>39</v>
      </c>
      <c r="X28" s="39" t="s">
        <v>40</v>
      </c>
      <c r="AE28" s="153"/>
      <c r="AF28" s="153"/>
    </row>
    <row r="29" spans="1:32" x14ac:dyDescent="0.25">
      <c r="B29" s="34"/>
      <c r="C29" s="96"/>
      <c r="D29" s="87"/>
      <c r="E29" s="87"/>
      <c r="F29" s="87"/>
      <c r="G29" s="87"/>
      <c r="H29" s="88"/>
      <c r="I29" s="130"/>
      <c r="J29" s="87"/>
      <c r="K29" s="87"/>
      <c r="L29" s="87"/>
      <c r="M29" s="87"/>
      <c r="N29" s="87"/>
      <c r="O29" s="87"/>
      <c r="P29" s="87"/>
      <c r="Q29" s="98"/>
      <c r="R29" s="481"/>
      <c r="S29" s="482"/>
      <c r="T29" s="34"/>
      <c r="AE29" s="153"/>
      <c r="AF29" s="153"/>
    </row>
    <row r="30" spans="1:32" x14ac:dyDescent="0.25">
      <c r="B30" s="34"/>
      <c r="C30" s="96"/>
      <c r="D30" s="87"/>
      <c r="E30" s="87"/>
      <c r="F30" s="87"/>
      <c r="G30" s="87"/>
      <c r="H30" s="88"/>
      <c r="I30" s="130"/>
      <c r="J30" s="87"/>
      <c r="K30" s="87"/>
      <c r="L30" s="87"/>
      <c r="M30" s="87"/>
      <c r="N30" s="87"/>
      <c r="O30" s="87"/>
      <c r="P30" s="87"/>
      <c r="Q30" s="98"/>
      <c r="R30" s="481"/>
      <c r="S30" s="482"/>
      <c r="T30" s="34"/>
      <c r="V30" s="39" t="s">
        <v>16</v>
      </c>
      <c r="AE30" s="153"/>
      <c r="AF30" s="153"/>
    </row>
    <row r="31" spans="1:32" x14ac:dyDescent="0.25">
      <c r="A31" t="s">
        <v>41</v>
      </c>
      <c r="B31" s="34"/>
      <c r="C31" s="96"/>
      <c r="D31" s="87"/>
      <c r="E31" s="87"/>
      <c r="F31" s="87"/>
      <c r="G31" s="87"/>
      <c r="H31" s="88"/>
      <c r="I31" s="130"/>
      <c r="J31" s="87"/>
      <c r="K31" s="87"/>
      <c r="L31" s="87"/>
      <c r="M31" s="87"/>
      <c r="N31" s="87"/>
      <c r="O31" s="87"/>
      <c r="P31" s="87"/>
      <c r="Q31" s="98"/>
      <c r="R31" s="481"/>
      <c r="S31" s="482"/>
      <c r="T31" s="34"/>
      <c r="AE31" s="153"/>
      <c r="AF31" s="153"/>
    </row>
    <row r="32" spans="1:32" ht="20.25" x14ac:dyDescent="0.25">
      <c r="B32" s="34"/>
      <c r="C32" s="96"/>
      <c r="D32" s="87"/>
      <c r="E32" s="87"/>
      <c r="F32" s="506" t="str">
        <f>IF(D41="","","Prestaciones sociales")</f>
        <v/>
      </c>
      <c r="G32" s="506"/>
      <c r="H32" s="88"/>
      <c r="I32" s="130"/>
      <c r="J32" s="87"/>
      <c r="K32" s="87"/>
      <c r="L32" s="87"/>
      <c r="M32" s="87"/>
      <c r="N32" s="87"/>
      <c r="O32" s="87"/>
      <c r="P32" s="87"/>
      <c r="Q32" s="98"/>
      <c r="R32" s="481"/>
      <c r="S32" s="482"/>
      <c r="T32" s="34"/>
      <c r="AE32" s="153"/>
      <c r="AF32" s="153"/>
    </row>
    <row r="33" spans="2:20" x14ac:dyDescent="0.25">
      <c r="B33" s="34"/>
      <c r="C33" s="514"/>
      <c r="D33" s="515"/>
      <c r="E33" s="87"/>
      <c r="F33" s="518" t="str">
        <f>IF(D41="","",D41)</f>
        <v/>
      </c>
      <c r="G33" s="519"/>
      <c r="H33" s="88"/>
      <c r="I33" s="130"/>
      <c r="J33" s="87"/>
      <c r="K33" s="87"/>
      <c r="L33" s="87"/>
      <c r="M33" s="87"/>
      <c r="N33" s="87"/>
      <c r="O33" s="87"/>
      <c r="P33" s="87"/>
      <c r="Q33" s="98"/>
      <c r="R33" s="481"/>
      <c r="S33" s="482"/>
      <c r="T33" s="34"/>
    </row>
    <row r="34" spans="2:20" ht="16.5" thickBot="1" x14ac:dyDescent="0.3">
      <c r="B34" s="34"/>
      <c r="C34" s="516"/>
      <c r="D34" s="517"/>
      <c r="E34" s="112"/>
      <c r="F34" s="520"/>
      <c r="G34" s="520"/>
      <c r="H34" s="113"/>
      <c r="I34" s="133"/>
      <c r="J34" s="87"/>
      <c r="K34" s="87"/>
      <c r="L34" s="87"/>
      <c r="M34" s="87"/>
      <c r="N34" s="87"/>
      <c r="O34" s="87"/>
      <c r="P34" s="87"/>
      <c r="Q34" s="98"/>
      <c r="R34" s="483"/>
      <c r="S34" s="484"/>
      <c r="T34" s="34"/>
    </row>
    <row r="35" spans="2:20" x14ac:dyDescent="0.25">
      <c r="B35" s="34"/>
      <c r="C35" s="34"/>
      <c r="D35" s="34"/>
      <c r="E35" s="34"/>
      <c r="F35" s="34"/>
      <c r="G35" s="34"/>
      <c r="H35" s="34"/>
      <c r="I35" s="34"/>
      <c r="J35" s="34"/>
      <c r="K35" s="34"/>
      <c r="L35" s="34"/>
      <c r="M35" s="34"/>
      <c r="N35" s="34"/>
      <c r="O35" s="34"/>
      <c r="P35" s="34"/>
      <c r="Q35" s="53"/>
      <c r="R35" s="34"/>
      <c r="S35" s="34"/>
      <c r="T35" s="34"/>
    </row>
    <row r="36" spans="2:20" s="153" customFormat="1" ht="16.5" thickBot="1" x14ac:dyDescent="0.3">
      <c r="E36" s="154">
        <f>D36/(C9*B49)</f>
        <v>0</v>
      </c>
    </row>
    <row r="37" spans="2:20" s="153" customFormat="1" x14ac:dyDescent="0.25">
      <c r="B37" s="155" t="s">
        <v>44</v>
      </c>
      <c r="C37" s="156"/>
      <c r="D37" s="157">
        <v>9342715</v>
      </c>
      <c r="E37" s="151">
        <f>D37+D38+D39+D40</f>
        <v>12042299</v>
      </c>
      <c r="F37" s="158" t="s">
        <v>45</v>
      </c>
      <c r="G37" s="159"/>
    </row>
    <row r="38" spans="2:20" s="153" customFormat="1" ht="15.75" customHeight="1" x14ac:dyDescent="0.25">
      <c r="B38" s="155" t="s">
        <v>46</v>
      </c>
      <c r="C38" s="156"/>
      <c r="D38" s="157">
        <v>1117031</v>
      </c>
      <c r="F38" s="512">
        <v>850757</v>
      </c>
      <c r="G38" s="513"/>
    </row>
    <row r="39" spans="2:20" s="153" customFormat="1" ht="15.75" customHeight="1" x14ac:dyDescent="0.25">
      <c r="B39" s="155" t="s">
        <v>47</v>
      </c>
      <c r="C39" s="156"/>
      <c r="D39" s="157">
        <v>1582553</v>
      </c>
      <c r="F39" s="512"/>
      <c r="G39" s="513"/>
    </row>
    <row r="40" spans="2:20" s="153" customFormat="1" ht="26.25" x14ac:dyDescent="0.25">
      <c r="B40" s="155" t="s">
        <v>48</v>
      </c>
      <c r="C40" s="156"/>
      <c r="D40" s="157"/>
      <c r="F40" s="315"/>
      <c r="G40" s="316"/>
    </row>
    <row r="41" spans="2:20" s="153" customFormat="1" x14ac:dyDescent="0.25">
      <c r="B41" s="155" t="s">
        <v>49</v>
      </c>
      <c r="C41" s="156"/>
      <c r="D41" s="157"/>
      <c r="F41" s="507" t="s">
        <v>50</v>
      </c>
      <c r="G41" s="504" t="str">
        <f>TEXT(D43,"dddd, 
dd mmmm yyyy")</f>
        <v>viernes, 
03 mayo 2024</v>
      </c>
    </row>
    <row r="42" spans="2:20" s="153" customFormat="1" x14ac:dyDescent="0.25">
      <c r="B42" s="160"/>
      <c r="C42" s="156"/>
      <c r="D42" s="157"/>
      <c r="F42" s="507"/>
      <c r="G42" s="504"/>
    </row>
    <row r="43" spans="2:20" s="153" customFormat="1" ht="16.5" thickBot="1" x14ac:dyDescent="0.3">
      <c r="B43" s="153" t="s">
        <v>51</v>
      </c>
      <c r="C43" s="156"/>
      <c r="D43" s="161">
        <v>45415</v>
      </c>
      <c r="F43" s="508"/>
      <c r="G43" s="505"/>
    </row>
    <row r="44" spans="2:20" s="153" customFormat="1" x14ac:dyDescent="0.25">
      <c r="E44" s="154"/>
    </row>
    <row r="45" spans="2:20" s="153" customFormat="1" x14ac:dyDescent="0.25">
      <c r="E45" s="154"/>
    </row>
    <row r="46" spans="2:20" s="153" customFormat="1" x14ac:dyDescent="0.25"/>
    <row r="47" spans="2:20" s="153" customFormat="1" x14ac:dyDescent="0.25">
      <c r="D47" s="164">
        <f>VLOOKUP(O5,C49:F60,2,FALSE)</f>
        <v>45383</v>
      </c>
      <c r="F47" s="164">
        <f>VLOOKUP(O6,C49:F60,4,FALSE)</f>
        <v>45412</v>
      </c>
      <c r="I47" s="160" t="s">
        <v>52</v>
      </c>
      <c r="J47" s="153" t="s">
        <v>53</v>
      </c>
      <c r="K47" s="153" t="str">
        <f>IF(COUNTIFS(Tabla1[Empleador],$C$5, Tabla1[Fecha de retiro],"&gt;="&amp;$D$47,Tabla1[Fecha de retiro],"&lt;="&amp;$F$47,Tabla1[Causal de terminación],I47)=0,"",COUNTIFS(Tabla1[Empleador],$C$5, Tabla1[Fecha de retiro],"&gt;="&amp;$D$47,Tabla1[Fecha de retiro],"&lt;="&amp;$F$47,Tabla1[Causal de terminación],I47))</f>
        <v/>
      </c>
      <c r="M47" s="153" t="s">
        <v>54</v>
      </c>
      <c r="N47" s="153">
        <f>N48+N49</f>
        <v>0</v>
      </c>
    </row>
    <row r="48" spans="2:20" s="153" customFormat="1" x14ac:dyDescent="0.25">
      <c r="D48" s="153" t="s">
        <v>2</v>
      </c>
      <c r="F48" s="153" t="s">
        <v>6</v>
      </c>
      <c r="I48" s="160" t="s">
        <v>55</v>
      </c>
      <c r="J48" s="153" t="s">
        <v>56</v>
      </c>
      <c r="K48" s="153" t="str">
        <f>IF(COUNTIFS(Tabla1[Empleador],$C$5, Tabla1[Fecha de retiro],"&gt;="&amp;$D$47,Tabla1[Fecha de retiro],"&lt;="&amp;$F$47,Tabla1[Causal de terminación],I48)=0,"",COUNTIFS(Tabla1[Empleador],$C$5, Tabla1[Fecha de retiro],"&gt;="&amp;$D$47,Tabla1[Fecha de retiro],"&lt;="&amp;$F$47,Tabla1[Causal de terminación],I48))</f>
        <v/>
      </c>
      <c r="M48" s="153" t="s">
        <v>57</v>
      </c>
      <c r="N48" s="153">
        <f>COUNTIFS(Tabla4[Empleador],C5, Tabla4[Fecha recordatorio de funciones],"&gt;="&amp;D47,Tabla4[Fecha recordatorio de funciones],"&lt;="&amp;F47)</f>
        <v>0</v>
      </c>
    </row>
    <row r="49" spans="2:14" s="153" customFormat="1" x14ac:dyDescent="0.25">
      <c r="B49" s="153">
        <f>F47-D47+1</f>
        <v>30</v>
      </c>
      <c r="C49" s="153" t="s">
        <v>58</v>
      </c>
      <c r="D49" s="164">
        <v>45292</v>
      </c>
      <c r="F49" s="164">
        <v>45322</v>
      </c>
      <c r="G49" s="153" t="s">
        <v>59</v>
      </c>
      <c r="I49" s="160" t="s">
        <v>60</v>
      </c>
      <c r="J49" s="153" t="s">
        <v>61</v>
      </c>
      <c r="K49" s="153" t="str">
        <f>IF(COUNTIFS(Tabla1[Empleador],$C$5, Tabla1[Fecha de retiro],"&gt;="&amp;$D$47,Tabla1[Fecha de retiro],"&lt;="&amp;$F$47,Tabla1[Causal de terminación],I49)=0,"",COUNTIFS(Tabla1[Empleador],$C$5, Tabla1[Fecha de retiro],"&gt;="&amp;$D$47,Tabla1[Fecha de retiro],"&lt;="&amp;$F$47,Tabla1[Causal de terminación],I49))</f>
        <v/>
      </c>
      <c r="M49" s="153" t="s">
        <v>62</v>
      </c>
      <c r="N49" s="153">
        <f>COUNTIFS(Tabla4[Empleador],C5, Tabla4[Días suspensión],"&gt;="&amp;D47,Tabla4[Días suspensión],"&lt;="&amp;F47)</f>
        <v>0</v>
      </c>
    </row>
    <row r="50" spans="2:14" s="153" customFormat="1" x14ac:dyDescent="0.25">
      <c r="B50" s="165"/>
      <c r="C50" s="165" t="s">
        <v>63</v>
      </c>
      <c r="D50" s="166">
        <v>45323</v>
      </c>
      <c r="F50" s="166">
        <v>45351</v>
      </c>
      <c r="G50" s="153" t="s">
        <v>64</v>
      </c>
      <c r="I50" s="160" t="s">
        <v>65</v>
      </c>
      <c r="J50" s="153" t="s">
        <v>66</v>
      </c>
      <c r="K50" s="153" t="str">
        <f>IF(COUNTIFS(Tabla1[Empleador],$C$5, Tabla1[Fecha de retiro],"&gt;="&amp;$D$47,Tabla1[Fecha de retiro],"&lt;="&amp;$F$47,Tabla1[Causal de terminación],I50)=0,"",COUNTIFS(Tabla1[Empleador],$C$5, Tabla1[Fecha de retiro],"&gt;="&amp;$D$47,Tabla1[Fecha de retiro],"&lt;="&amp;$F$47,Tabla1[Causal de terminación],I50))</f>
        <v/>
      </c>
    </row>
    <row r="51" spans="2:14" s="153" customFormat="1" x14ac:dyDescent="0.25">
      <c r="C51" s="153" t="s">
        <v>3</v>
      </c>
      <c r="D51" s="164">
        <v>45352</v>
      </c>
      <c r="F51" s="164">
        <v>45382</v>
      </c>
      <c r="G51" s="153" t="s">
        <v>67</v>
      </c>
      <c r="I51" s="160" t="s">
        <v>68</v>
      </c>
      <c r="J51" s="153" t="s">
        <v>69</v>
      </c>
      <c r="K51" s="153" t="str">
        <f>IF(COUNTIFS(Tabla1[Empleador],$C$5, Tabla1[Fecha de retiro],"&gt;="&amp;$D$47,Tabla1[Fecha de retiro],"&lt;="&amp;$F$47,Tabla1[Causal de terminación],I51)=0,"",COUNTIFS(Tabla1[Empleador],$C$5, Tabla1[Fecha de retiro],"&gt;="&amp;$D$47,Tabla1[Fecha de retiro],"&lt;="&amp;$F$47,Tabla1[Causal de terminación],I51))</f>
        <v/>
      </c>
    </row>
    <row r="52" spans="2:14" s="153" customFormat="1" x14ac:dyDescent="0.25">
      <c r="C52" s="153" t="s">
        <v>70</v>
      </c>
      <c r="D52" s="164">
        <v>45383</v>
      </c>
      <c r="F52" s="164">
        <v>45412</v>
      </c>
    </row>
    <row r="53" spans="2:14" s="153" customFormat="1" x14ac:dyDescent="0.25">
      <c r="C53" s="153" t="s">
        <v>71</v>
      </c>
      <c r="D53" s="164">
        <v>45413</v>
      </c>
      <c r="F53" s="164">
        <v>45443</v>
      </c>
      <c r="G53" s="153" t="s">
        <v>72</v>
      </c>
      <c r="I53" s="153" t="s">
        <v>35</v>
      </c>
      <c r="L53" s="151"/>
    </row>
    <row r="54" spans="2:14" s="153" customFormat="1" x14ac:dyDescent="0.25">
      <c r="C54" s="153" t="s">
        <v>73</v>
      </c>
      <c r="D54" s="164">
        <v>45444</v>
      </c>
      <c r="F54" s="164">
        <v>45473</v>
      </c>
      <c r="G54" s="153" t="s">
        <v>74</v>
      </c>
      <c r="L54" s="151"/>
    </row>
    <row r="55" spans="2:14" s="153" customFormat="1" x14ac:dyDescent="0.25">
      <c r="C55" s="153" t="s">
        <v>75</v>
      </c>
      <c r="D55" s="164">
        <v>45474</v>
      </c>
      <c r="F55" s="164">
        <v>45504</v>
      </c>
      <c r="G55" s="153" t="s">
        <v>76</v>
      </c>
      <c r="L55" s="151"/>
    </row>
    <row r="56" spans="2:14" s="153" customFormat="1" x14ac:dyDescent="0.25">
      <c r="C56" s="153" t="s">
        <v>77</v>
      </c>
      <c r="D56" s="164">
        <v>45505</v>
      </c>
      <c r="F56" s="164">
        <v>45535</v>
      </c>
      <c r="L56" s="151"/>
    </row>
    <row r="57" spans="2:14" s="153" customFormat="1" x14ac:dyDescent="0.25">
      <c r="C57" s="153" t="s">
        <v>78</v>
      </c>
      <c r="D57" s="164">
        <v>45536</v>
      </c>
      <c r="F57" s="164">
        <v>45565</v>
      </c>
      <c r="L57" s="151"/>
      <c r="M57" s="151"/>
    </row>
    <row r="58" spans="2:14" s="153" customFormat="1" x14ac:dyDescent="0.25">
      <c r="C58" s="153" t="s">
        <v>79</v>
      </c>
      <c r="D58" s="164">
        <v>45566</v>
      </c>
      <c r="F58" s="164">
        <v>45596</v>
      </c>
    </row>
    <row r="59" spans="2:14" s="153" customFormat="1" x14ac:dyDescent="0.25">
      <c r="C59" s="153" t="s">
        <v>80</v>
      </c>
      <c r="D59" s="164">
        <v>45597</v>
      </c>
      <c r="F59" s="164">
        <v>45626</v>
      </c>
      <c r="G59" s="153" t="s">
        <v>81</v>
      </c>
    </row>
    <row r="60" spans="2:14" s="153" customFormat="1" x14ac:dyDescent="0.25">
      <c r="C60" s="153" t="s">
        <v>82</v>
      </c>
      <c r="D60" s="164">
        <v>45627</v>
      </c>
      <c r="F60" s="164">
        <v>45657</v>
      </c>
      <c r="G60" s="153" t="s">
        <v>83</v>
      </c>
      <c r="I60" s="160"/>
      <c r="J60" s="151"/>
    </row>
    <row r="61" spans="2:14" s="153" customFormat="1" x14ac:dyDescent="0.25">
      <c r="L61" s="151"/>
    </row>
    <row r="62" spans="2:14" s="153" customFormat="1" x14ac:dyDescent="0.25">
      <c r="C62" s="153" t="s">
        <v>13</v>
      </c>
      <c r="D62" s="167">
        <f ca="1">AVERAGEIFS(Tabla1[Edad],Tabla1[Empleador],$C$5,Tabla1[Status],"Activo")</f>
        <v>29.123055555555556</v>
      </c>
      <c r="L62" s="164"/>
    </row>
    <row r="63" spans="2:14" s="153" customFormat="1" x14ac:dyDescent="0.25">
      <c r="C63" s="153" t="s">
        <v>84</v>
      </c>
      <c r="D63" s="151">
        <f>AVERAGEIFS(Tabla1[Salario/Honorarios mensuales*],Tabla1[Empleador],$C$5,Tabla1[Status],"Activo")</f>
        <v>2720000</v>
      </c>
    </row>
    <row r="64" spans="2:14" s="153" customFormat="1" x14ac:dyDescent="0.25">
      <c r="C64" s="153" t="s">
        <v>85</v>
      </c>
      <c r="D64" s="167" t="e">
        <f ca="1">AVERAGEIFS(Tabla1[Antigüedad],Tabla1[Empleador],$C$5,Tabla1[Status],"Activo")</f>
        <v>#REF!</v>
      </c>
    </row>
    <row r="65" spans="3:12" s="153" customFormat="1" x14ac:dyDescent="0.25">
      <c r="D65" s="167"/>
    </row>
    <row r="66" spans="3:12" s="153" customFormat="1" x14ac:dyDescent="0.25">
      <c r="C66" s="153" t="s">
        <v>86</v>
      </c>
      <c r="D66" s="167" t="e">
        <f ca="1">MIN(Tabla1[Edad])</f>
        <v>#VALUE!</v>
      </c>
    </row>
    <row r="67" spans="3:12" s="153" customFormat="1" x14ac:dyDescent="0.25">
      <c r="C67" s="153" t="s">
        <v>87</v>
      </c>
      <c r="D67" s="167" t="e">
        <f ca="1">MAX(Tabla1[Edad])</f>
        <v>#VALUE!</v>
      </c>
    </row>
    <row r="68" spans="3:12" s="153" customFormat="1" x14ac:dyDescent="0.25">
      <c r="C68" s="153" t="s">
        <v>88</v>
      </c>
      <c r="D68" s="167">
        <v>10</v>
      </c>
    </row>
    <row r="69" spans="3:12" s="153" customFormat="1" x14ac:dyDescent="0.25"/>
    <row r="70" spans="3:12" s="153" customFormat="1" x14ac:dyDescent="0.25">
      <c r="C70" s="511" t="s">
        <v>89</v>
      </c>
      <c r="D70" s="511"/>
    </row>
    <row r="71" spans="3:12" s="153" customFormat="1" x14ac:dyDescent="0.25">
      <c r="C71" s="168">
        <v>18</v>
      </c>
      <c r="D71" s="153">
        <v>20</v>
      </c>
      <c r="F71" s="153" t="s">
        <v>89</v>
      </c>
      <c r="G71" s="153" t="s">
        <v>90</v>
      </c>
    </row>
    <row r="72" spans="3:12" s="153" customFormat="1" x14ac:dyDescent="0.25">
      <c r="C72" s="162">
        <v>20</v>
      </c>
      <c r="D72" s="153">
        <v>30</v>
      </c>
      <c r="F72" s="153" t="str">
        <f t="shared" ref="F72:F78" si="0">CONCATENATE(C71," - ",D71)</f>
        <v>18 - 20</v>
      </c>
      <c r="G72" s="163">
        <f ca="1">COUNTIFS(Tabla1[Empleador],$C$5,Tabla1[Edad],"&gt;="&amp;C71,Tabla1[Edad],"&lt;="&amp;D71,Tabla1[Status],"Activo")</f>
        <v>0</v>
      </c>
    </row>
    <row r="73" spans="3:12" s="153" customFormat="1" x14ac:dyDescent="0.25">
      <c r="C73" s="162">
        <v>30</v>
      </c>
      <c r="D73" s="153">
        <v>40</v>
      </c>
      <c r="F73" s="153" t="str">
        <f t="shared" si="0"/>
        <v>20 - 30</v>
      </c>
      <c r="G73" s="163">
        <f ca="1">COUNTIFS(Tabla1[Empleador],$C$5,Tabla1[Edad],"&gt;="&amp;C72,Tabla1[Edad],"&lt;="&amp;D72,Tabla1[Status],"Activo")</f>
        <v>7</v>
      </c>
    </row>
    <row r="74" spans="3:12" s="153" customFormat="1" x14ac:dyDescent="0.25">
      <c r="C74" s="162">
        <v>40</v>
      </c>
      <c r="D74" s="153">
        <v>50</v>
      </c>
      <c r="F74" s="153" t="str">
        <f t="shared" si="0"/>
        <v>30 - 40</v>
      </c>
      <c r="G74" s="163">
        <f ca="1">COUNTIFS(Tabla1[Empleador],$C$5,Tabla1[Edad],"&gt;="&amp;C73,Tabla1[Edad],"&lt;="&amp;D73,Tabla1[Status],"Activo")</f>
        <v>3</v>
      </c>
    </row>
    <row r="75" spans="3:12" s="153" customFormat="1" x14ac:dyDescent="0.25">
      <c r="C75" s="162">
        <v>50</v>
      </c>
      <c r="D75" s="153">
        <v>60</v>
      </c>
      <c r="F75" s="153" t="str">
        <f t="shared" si="0"/>
        <v>40 - 50</v>
      </c>
      <c r="G75" s="163">
        <f ca="1">COUNTIFS(Tabla1[Empleador],$C$5,Tabla1[Edad],"&gt;="&amp;C74,Tabla1[Edad],"&lt;="&amp;D74,Tabla1[Status],"Activo")</f>
        <v>0</v>
      </c>
    </row>
    <row r="76" spans="3:12" s="153" customFormat="1" x14ac:dyDescent="0.25">
      <c r="C76" s="162">
        <v>60</v>
      </c>
      <c r="D76" s="153">
        <v>70</v>
      </c>
      <c r="F76" s="153" t="str">
        <f t="shared" si="0"/>
        <v>50 - 60</v>
      </c>
      <c r="G76" s="163">
        <f ca="1">COUNTIFS(Tabla1[Empleador],$C$5,Tabla1[Edad],"&gt;="&amp;C75,Tabla1[Edad],"&lt;="&amp;D75,Tabla1[Status],"Activo")</f>
        <v>0</v>
      </c>
    </row>
    <row r="77" spans="3:12" s="153" customFormat="1" x14ac:dyDescent="0.25">
      <c r="C77" s="162">
        <v>70</v>
      </c>
      <c r="D77" s="153">
        <v>80</v>
      </c>
      <c r="F77" s="153" t="str">
        <f t="shared" si="0"/>
        <v>60 - 70</v>
      </c>
      <c r="G77" s="163">
        <f ca="1">COUNTIFS(Tabla1[Empleador],$C$5,Tabla1[Edad],"&gt;="&amp;C76,Tabla1[Edad],"&lt;="&amp;D76,Tabla1[Status],"Activo")</f>
        <v>0</v>
      </c>
    </row>
    <row r="78" spans="3:12" s="153" customFormat="1" x14ac:dyDescent="0.25">
      <c r="D78" s="167"/>
      <c r="F78" s="153" t="str">
        <f t="shared" si="0"/>
        <v>70 - 80</v>
      </c>
      <c r="G78" s="163">
        <f ca="1">COUNTIFS(Tabla1[Empleador],$C$5,Tabla1[Edad],"&gt;="&amp;C77,Tabla1[Edad],"&lt;="&amp;D77,Tabla1[Status],"Activo")</f>
        <v>0</v>
      </c>
    </row>
    <row r="79" spans="3:12" s="153" customFormat="1" x14ac:dyDescent="0.25"/>
    <row r="80" spans="3:12" s="153" customFormat="1" x14ac:dyDescent="0.25">
      <c r="K80" s="162"/>
      <c r="L80" s="162"/>
    </row>
    <row r="81" spans="11:20" s="153" customFormat="1" x14ac:dyDescent="0.25">
      <c r="K81" s="162"/>
      <c r="L81" s="162"/>
    </row>
    <row r="82" spans="11:20" s="153" customFormat="1" x14ac:dyDescent="0.25"/>
    <row r="83" spans="11:20" s="153" customFormat="1" x14ac:dyDescent="0.25"/>
    <row r="84" spans="11:20" s="153" customFormat="1" x14ac:dyDescent="0.25"/>
    <row r="85" spans="11:20" s="153" customFormat="1" x14ac:dyDescent="0.25"/>
    <row r="86" spans="11:20" s="153" customFormat="1" x14ac:dyDescent="0.25">
      <c r="N86"/>
      <c r="O86"/>
      <c r="P86"/>
      <c r="Q86"/>
      <c r="R86"/>
      <c r="S86"/>
      <c r="T86"/>
    </row>
    <row r="87" spans="11:20" s="153" customFormat="1" x14ac:dyDescent="0.25">
      <c r="T87"/>
    </row>
    <row r="88" spans="11:20" s="153" customFormat="1" x14ac:dyDescent="0.25">
      <c r="T88"/>
    </row>
    <row r="89" spans="11:20" s="153" customFormat="1" x14ac:dyDescent="0.25">
      <c r="T89"/>
    </row>
    <row r="90" spans="11:20" s="153" customFormat="1" x14ac:dyDescent="0.25">
      <c r="T90"/>
    </row>
    <row r="91" spans="11:20" s="153" customFormat="1" x14ac:dyDescent="0.25">
      <c r="T91"/>
    </row>
    <row r="92" spans="11:20" s="153" customFormat="1" x14ac:dyDescent="0.25">
      <c r="T92"/>
    </row>
    <row r="93" spans="11:20" s="153" customFormat="1" x14ac:dyDescent="0.25">
      <c r="T93"/>
    </row>
    <row r="94" spans="11:20" s="153" customFormat="1" x14ac:dyDescent="0.25">
      <c r="T94"/>
    </row>
    <row r="95" spans="11:20" s="153" customFormat="1" x14ac:dyDescent="0.25">
      <c r="T95"/>
    </row>
    <row r="96" spans="11:20" s="153" customFormat="1" x14ac:dyDescent="0.25">
      <c r="T96"/>
    </row>
    <row r="97" spans="3:20" s="153" customFormat="1" x14ac:dyDescent="0.25">
      <c r="T97"/>
    </row>
    <row r="98" spans="3:20" s="153" customFormat="1" x14ac:dyDescent="0.25">
      <c r="T98"/>
    </row>
    <row r="99" spans="3:20" s="153" customFormat="1" x14ac:dyDescent="0.25">
      <c r="T99"/>
    </row>
    <row r="100" spans="3:20" s="153" customFormat="1" x14ac:dyDescent="0.25">
      <c r="T100"/>
    </row>
    <row r="101" spans="3:20" s="153" customFormat="1" x14ac:dyDescent="0.25">
      <c r="T101"/>
    </row>
    <row r="102" spans="3:20" s="153" customFormat="1" x14ac:dyDescent="0.25">
      <c r="T102"/>
    </row>
    <row r="103" spans="3:20" s="153" customFormat="1" x14ac:dyDescent="0.25">
      <c r="T103"/>
    </row>
    <row r="104" spans="3:20" s="153" customFormat="1" x14ac:dyDescent="0.25">
      <c r="T104"/>
    </row>
    <row r="105" spans="3:20" s="153" customFormat="1" x14ac:dyDescent="0.25">
      <c r="T105"/>
    </row>
    <row r="106" spans="3:20" s="153" customFormat="1" x14ac:dyDescent="0.25">
      <c r="T106"/>
    </row>
    <row r="107" spans="3:20" s="153" customFormat="1" x14ac:dyDescent="0.25">
      <c r="T107"/>
    </row>
    <row r="108" spans="3:20" s="153" customFormat="1" x14ac:dyDescent="0.25">
      <c r="T108"/>
    </row>
    <row r="109" spans="3:20" s="153" customFormat="1" x14ac:dyDescent="0.25">
      <c r="T109"/>
    </row>
    <row r="110" spans="3:20" s="153" customFormat="1" x14ac:dyDescent="0.25">
      <c r="T110"/>
    </row>
    <row r="111" spans="3:20" s="153" customFormat="1" x14ac:dyDescent="0.25">
      <c r="C111"/>
      <c r="D111"/>
      <c r="E111"/>
      <c r="F111"/>
      <c r="G111"/>
      <c r="H111"/>
      <c r="I111"/>
      <c r="J111"/>
      <c r="K111"/>
      <c r="T111"/>
    </row>
    <row r="112" spans="3:20" s="153" customFormat="1" x14ac:dyDescent="0.25">
      <c r="T112"/>
    </row>
    <row r="113" spans="1:20" s="153" customFormat="1" x14ac:dyDescent="0.25">
      <c r="T113"/>
    </row>
    <row r="114" spans="1:20" s="153" customFormat="1" x14ac:dyDescent="0.25">
      <c r="T114"/>
    </row>
    <row r="115" spans="1:20" s="153" customFormat="1" x14ac:dyDescent="0.25">
      <c r="T115"/>
    </row>
    <row r="116" spans="1:20" s="153" customFormat="1" x14ac:dyDescent="0.25">
      <c r="T116"/>
    </row>
    <row r="117" spans="1:20" s="153" customFormat="1" x14ac:dyDescent="0.25">
      <c r="M117" s="162"/>
    </row>
    <row r="118" spans="1:20" s="153" customFormat="1" x14ac:dyDescent="0.25">
      <c r="M118" s="162"/>
    </row>
    <row r="119" spans="1:20" s="153" customFormat="1" x14ac:dyDescent="0.25">
      <c r="M119" s="162"/>
    </row>
    <row r="120" spans="1:20" s="153" customFormat="1" x14ac:dyDescent="0.25">
      <c r="M120" s="162"/>
    </row>
    <row r="121" spans="1:20" x14ac:dyDescent="0.25">
      <c r="A121" s="153"/>
      <c r="B121" s="153"/>
      <c r="C121" s="153"/>
      <c r="D121" s="153"/>
      <c r="E121" s="153"/>
      <c r="F121" s="153"/>
      <c r="G121" s="153"/>
      <c r="H121" s="153"/>
      <c r="I121" s="153"/>
      <c r="J121" s="153"/>
      <c r="M121" s="23"/>
    </row>
    <row r="122" spans="1:20" x14ac:dyDescent="0.25">
      <c r="A122" s="153"/>
      <c r="B122" s="153"/>
      <c r="C122" s="153"/>
      <c r="D122" s="153"/>
      <c r="E122" s="153"/>
      <c r="F122" s="153"/>
      <c r="G122" s="153"/>
      <c r="H122" s="153"/>
      <c r="I122" s="153"/>
      <c r="J122" s="153"/>
      <c r="M122" s="23"/>
    </row>
    <row r="123" spans="1:20" x14ac:dyDescent="0.25">
      <c r="A123" s="153"/>
      <c r="B123" s="153"/>
      <c r="C123" s="153"/>
      <c r="D123" s="153"/>
      <c r="E123" s="153"/>
      <c r="F123" s="153"/>
      <c r="G123" s="153"/>
      <c r="H123" s="153"/>
      <c r="I123" s="153"/>
      <c r="J123" s="153"/>
      <c r="M123" s="23"/>
    </row>
    <row r="124" spans="1:20" x14ac:dyDescent="0.25">
      <c r="A124" s="153"/>
      <c r="B124" s="153"/>
      <c r="C124" s="153"/>
      <c r="D124" s="153"/>
      <c r="E124" s="153"/>
      <c r="F124" s="153"/>
      <c r="G124" s="153"/>
      <c r="H124" s="153"/>
      <c r="I124" s="153"/>
      <c r="J124" s="153"/>
      <c r="M124" s="23"/>
    </row>
    <row r="125" spans="1:20" x14ac:dyDescent="0.25">
      <c r="A125" s="153"/>
      <c r="B125" s="153"/>
      <c r="C125" s="153"/>
      <c r="D125" s="153"/>
      <c r="E125" s="153"/>
      <c r="F125" s="153"/>
      <c r="G125" s="153"/>
      <c r="H125" s="153"/>
      <c r="I125" s="153"/>
      <c r="J125" s="153"/>
      <c r="M125" s="23"/>
    </row>
    <row r="126" spans="1:20" x14ac:dyDescent="0.25">
      <c r="A126" s="153"/>
      <c r="B126" s="153"/>
      <c r="C126" s="153"/>
      <c r="D126" s="153"/>
      <c r="E126" s="153"/>
      <c r="F126" s="153"/>
      <c r="G126" s="153"/>
      <c r="H126" s="153"/>
      <c r="I126" s="153"/>
      <c r="J126" s="153"/>
      <c r="M126" s="23"/>
    </row>
    <row r="127" spans="1:20" x14ac:dyDescent="0.25">
      <c r="A127" s="153"/>
      <c r="B127" s="153"/>
      <c r="C127" s="153"/>
      <c r="D127" s="153"/>
      <c r="E127" s="153"/>
      <c r="F127" s="153"/>
      <c r="G127" s="153"/>
      <c r="H127" s="153"/>
      <c r="I127" s="153"/>
      <c r="J127" s="153"/>
      <c r="M127" s="23"/>
    </row>
    <row r="128" spans="1:20" x14ac:dyDescent="0.25">
      <c r="A128" s="153"/>
      <c r="B128" s="153"/>
      <c r="C128" s="153"/>
      <c r="D128" s="153"/>
      <c r="E128" s="153"/>
      <c r="F128" s="153"/>
      <c r="G128" s="153"/>
      <c r="H128" s="153"/>
      <c r="I128" s="153"/>
      <c r="J128" s="153"/>
      <c r="M128" s="23"/>
    </row>
    <row r="129" spans="13:13" x14ac:dyDescent="0.25">
      <c r="M129" s="23"/>
    </row>
    <row r="130" spans="13:13" x14ac:dyDescent="0.25">
      <c r="M130" s="23"/>
    </row>
    <row r="131" spans="13:13" x14ac:dyDescent="0.25">
      <c r="M131" s="23"/>
    </row>
    <row r="132" spans="13:13" x14ac:dyDescent="0.25">
      <c r="M132" s="23"/>
    </row>
    <row r="133" spans="13:13" x14ac:dyDescent="0.25">
      <c r="M133" s="23"/>
    </row>
    <row r="134" spans="13:13" x14ac:dyDescent="0.25">
      <c r="M134" s="23"/>
    </row>
    <row r="135" spans="13:13" x14ac:dyDescent="0.25">
      <c r="M135" s="23"/>
    </row>
    <row r="136" spans="13:13" x14ac:dyDescent="0.25">
      <c r="M136" s="23"/>
    </row>
    <row r="137" spans="13:13" x14ac:dyDescent="0.25">
      <c r="M137" s="23"/>
    </row>
    <row r="138" spans="13:13" x14ac:dyDescent="0.25">
      <c r="M138" s="23"/>
    </row>
    <row r="139" spans="13:13" x14ac:dyDescent="0.25">
      <c r="M139" s="9"/>
    </row>
    <row r="140" spans="13:13" x14ac:dyDescent="0.25">
      <c r="M140" s="9"/>
    </row>
    <row r="141" spans="13:13" x14ac:dyDescent="0.25">
      <c r="M141" s="23"/>
    </row>
    <row r="142" spans="13:13" x14ac:dyDescent="0.25">
      <c r="M142" s="23"/>
    </row>
    <row r="143" spans="13:13" x14ac:dyDescent="0.25">
      <c r="M143" s="23"/>
    </row>
    <row r="144" spans="13:13" x14ac:dyDescent="0.25">
      <c r="M144" s="23"/>
    </row>
    <row r="145" spans="13:13" x14ac:dyDescent="0.25">
      <c r="M145" s="23"/>
    </row>
    <row r="146" spans="13:13" x14ac:dyDescent="0.25">
      <c r="M146" s="23"/>
    </row>
    <row r="147" spans="13:13" x14ac:dyDescent="0.25">
      <c r="M147" s="23"/>
    </row>
    <row r="148" spans="13:13" x14ac:dyDescent="0.25">
      <c r="M148" s="23"/>
    </row>
    <row r="149" spans="13:13" x14ac:dyDescent="0.25">
      <c r="M149" s="23"/>
    </row>
    <row r="150" spans="13:13" x14ac:dyDescent="0.25">
      <c r="M150" s="23"/>
    </row>
    <row r="151" spans="13:13" x14ac:dyDescent="0.25">
      <c r="M151" s="23"/>
    </row>
    <row r="152" spans="13:13" x14ac:dyDescent="0.25">
      <c r="M152" s="23"/>
    </row>
    <row r="153" spans="13:13" x14ac:dyDescent="0.25">
      <c r="M153" s="23"/>
    </row>
    <row r="154" spans="13:13" x14ac:dyDescent="0.25">
      <c r="M154" s="23"/>
    </row>
    <row r="155" spans="13:13" x14ac:dyDescent="0.25">
      <c r="M155" s="23"/>
    </row>
    <row r="156" spans="13:13" x14ac:dyDescent="0.25">
      <c r="M156" s="23"/>
    </row>
    <row r="157" spans="13:13" x14ac:dyDescent="0.25">
      <c r="M157" s="9"/>
    </row>
    <row r="158" spans="13:13" x14ac:dyDescent="0.25">
      <c r="M158" s="23"/>
    </row>
    <row r="159" spans="13:13" x14ac:dyDescent="0.25">
      <c r="M159" s="23"/>
    </row>
    <row r="160" spans="13:13" x14ac:dyDescent="0.25">
      <c r="M160" s="23"/>
    </row>
    <row r="161" spans="13:13" x14ac:dyDescent="0.25">
      <c r="M161" s="23"/>
    </row>
    <row r="162" spans="13:13" x14ac:dyDescent="0.25">
      <c r="M162" s="23"/>
    </row>
    <row r="163" spans="13:13" x14ac:dyDescent="0.25">
      <c r="M163" s="9"/>
    </row>
    <row r="164" spans="13:13" x14ac:dyDescent="0.25">
      <c r="M164" s="9"/>
    </row>
    <row r="165" spans="13:13" x14ac:dyDescent="0.25">
      <c r="M165" s="23"/>
    </row>
    <row r="166" spans="13:13" x14ac:dyDescent="0.25">
      <c r="M166" s="23"/>
    </row>
    <row r="167" spans="13:13" x14ac:dyDescent="0.25">
      <c r="M167" s="23"/>
    </row>
    <row r="168" spans="13:13" x14ac:dyDescent="0.25">
      <c r="M168" s="23"/>
    </row>
    <row r="169" spans="13:13" x14ac:dyDescent="0.25">
      <c r="M169" s="23"/>
    </row>
    <row r="170" spans="13:13" x14ac:dyDescent="0.25">
      <c r="M170" s="23"/>
    </row>
    <row r="171" spans="13:13" x14ac:dyDescent="0.25">
      <c r="M171" s="23"/>
    </row>
    <row r="172" spans="13:13" x14ac:dyDescent="0.25">
      <c r="M172" s="23"/>
    </row>
  </sheetData>
  <autoFilter ref="F71:G78" xr:uid="{74BB519D-6BEC-4705-B850-1FC579CFC647}">
    <sortState xmlns:xlrd2="http://schemas.microsoft.com/office/spreadsheetml/2017/richdata2" ref="F72:G78">
      <sortCondition ref="G71:G78"/>
    </sortState>
  </autoFilter>
  <mergeCells count="40">
    <mergeCell ref="G41:G43"/>
    <mergeCell ref="F32:G32"/>
    <mergeCell ref="F41:F43"/>
    <mergeCell ref="C13:C14"/>
    <mergeCell ref="C70:D70"/>
    <mergeCell ref="F38:G39"/>
    <mergeCell ref="C33:D34"/>
    <mergeCell ref="F33:G34"/>
    <mergeCell ref="C20:D21"/>
    <mergeCell ref="F20:G21"/>
    <mergeCell ref="P20:P21"/>
    <mergeCell ref="N20:N21"/>
    <mergeCell ref="N23:N24"/>
    <mergeCell ref="P23:P24"/>
    <mergeCell ref="K20:L21"/>
    <mergeCell ref="K22:L24"/>
    <mergeCell ref="M20:M21"/>
    <mergeCell ref="R24:S25"/>
    <mergeCell ref="R26:S34"/>
    <mergeCell ref="R17:S22"/>
    <mergeCell ref="R8:S8"/>
    <mergeCell ref="R9:S9"/>
    <mergeCell ref="R10:S10"/>
    <mergeCell ref="R11:S15"/>
    <mergeCell ref="O5:P5"/>
    <mergeCell ref="O6:P6"/>
    <mergeCell ref="N8:O8"/>
    <mergeCell ref="K8:L8"/>
    <mergeCell ref="C17:C18"/>
    <mergeCell ref="D17:D18"/>
    <mergeCell ref="C5:K6"/>
    <mergeCell ref="D9:D10"/>
    <mergeCell ref="F10:G10"/>
    <mergeCell ref="F8:G8"/>
    <mergeCell ref="C9:C10"/>
    <mergeCell ref="D13:D14"/>
    <mergeCell ref="K9:L9"/>
    <mergeCell ref="F9:G9"/>
    <mergeCell ref="K14:L16"/>
    <mergeCell ref="K11:L13"/>
  </mergeCells>
  <phoneticPr fontId="18" type="noConversion"/>
  <conditionalFormatting sqref="C17:D18">
    <cfRule type="aboveAverage" dxfId="87" priority="9" aboveAverage="0"/>
    <cfRule type="aboveAverage" dxfId="86" priority="10"/>
  </conditionalFormatting>
  <conditionalFormatting sqref="N23">
    <cfRule type="cellIs" dxfId="85" priority="2" operator="greaterThan">
      <formula>0.2</formula>
    </cfRule>
  </conditionalFormatting>
  <conditionalFormatting sqref="P9:Q10">
    <cfRule type="cellIs" dxfId="84" priority="5" operator="greaterThan">
      <formula>0.2</formula>
    </cfRule>
  </conditionalFormatting>
  <dataValidations disablePrompts="1" count="1">
    <dataValidation type="list" allowBlank="1" showInputMessage="1" showErrorMessage="1" sqref="O5:O6" xr:uid="{CA2C2FFB-D4A4-4686-9E75-29EDFAF97C5C}">
      <formula1>$C$49:$C$60</formula1>
    </dataValidation>
  </dataValidations>
  <pageMargins left="0.7" right="0.7" top="0.75" bottom="0.75" header="0.3" footer="0.3"/>
  <pageSetup paperSize="3" orientation="landscape" horizontalDpi="203" verticalDpi="203" r:id="rId4"/>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AEE710-2BAD-A241-A758-A8A378AB44A3}">
  <sheetPr codeName="Hoja3">
    <pageSetUpPr fitToPage="1"/>
  </sheetPr>
  <dimension ref="A1:AX551"/>
  <sheetViews>
    <sheetView showGridLines="0" tabSelected="1" topLeftCell="A466" zoomScaleNormal="100" workbookViewId="0">
      <selection activeCell="D477" sqref="D477"/>
    </sheetView>
  </sheetViews>
  <sheetFormatPr baseColWidth="10" defaultColWidth="11.5" defaultRowHeight="15.75" x14ac:dyDescent="0.25"/>
  <cols>
    <col min="1" max="1" width="6.375" style="23" customWidth="1"/>
    <col min="2" max="2" width="17.625" style="23" bestFit="1" customWidth="1"/>
    <col min="3" max="3" width="18.5" style="23" bestFit="1" customWidth="1"/>
    <col min="4" max="4" width="21.5" style="23" customWidth="1"/>
    <col min="5" max="5" width="22.5" style="401" customWidth="1"/>
    <col min="6" max="6" width="18.875" style="23" customWidth="1"/>
    <col min="7" max="7" width="23.5" style="23" customWidth="1"/>
    <col min="8" max="8" width="38" style="23" customWidth="1"/>
    <col min="9" max="9" width="34.125" style="23" customWidth="1"/>
    <col min="10" max="10" width="14.125" style="23" customWidth="1"/>
    <col min="11" max="11" width="23.5" style="320" customWidth="1"/>
    <col min="12" max="12" width="16.875" style="23" customWidth="1"/>
    <col min="13" max="13" width="37" style="23" customWidth="1"/>
    <col min="14" max="14" width="13.375" style="23" customWidth="1"/>
    <col min="15" max="15" width="35.5" style="23" customWidth="1"/>
    <col min="16" max="16" width="17.375" style="23" customWidth="1"/>
    <col min="17" max="17" width="22.625" style="23" customWidth="1"/>
    <col min="18" max="18" width="20.875" style="23" customWidth="1"/>
    <col min="19" max="19" width="28.625" style="23" customWidth="1"/>
    <col min="20" max="20" width="37.5" style="23" customWidth="1"/>
    <col min="21" max="21" width="28.625" style="24" bestFit="1" customWidth="1"/>
    <col min="22" max="22" width="50.375" style="23" customWidth="1"/>
    <col min="23" max="23" width="12.625" style="23" customWidth="1"/>
    <col min="24" max="24" width="20.5" style="23" customWidth="1"/>
    <col min="25" max="25" width="19" style="23" customWidth="1"/>
    <col min="26" max="26" width="59.625" style="23" customWidth="1"/>
    <col min="27" max="27" width="21.875" style="23" customWidth="1"/>
    <col min="28" max="28" width="28.625" style="23" customWidth="1"/>
    <col min="29" max="29" width="14.375" style="23" customWidth="1"/>
    <col min="30" max="30" width="23.625" style="23" customWidth="1"/>
    <col min="31" max="32" width="32.375" style="23" customWidth="1"/>
    <col min="33" max="33" width="30.375" style="23" customWidth="1"/>
    <col min="34" max="34" width="9.375" style="23" customWidth="1"/>
    <col min="35" max="35" width="28.625" style="23" customWidth="1"/>
    <col min="36" max="36" width="7" style="23" customWidth="1"/>
    <col min="37" max="37" width="13.625" style="23" customWidth="1"/>
    <col min="38" max="38" width="14.625" style="23" customWidth="1"/>
    <col min="39" max="39" width="9.25" style="23" customWidth="1"/>
    <col min="40" max="41" width="14.625" style="23" customWidth="1"/>
    <col min="42" max="42" width="34.375" style="23" customWidth="1"/>
    <col min="43" max="43" width="24.875" style="23" bestFit="1" customWidth="1"/>
    <col min="44" max="44" width="36.875" style="23" customWidth="1"/>
    <col min="45" max="45" width="16.625" style="23" customWidth="1"/>
    <col min="46" max="48" width="11.5" style="23" customWidth="1"/>
    <col min="49" max="49" width="15.125" style="23" bestFit="1" customWidth="1"/>
    <col min="50" max="16384" width="11.5" style="23"/>
  </cols>
  <sheetData>
    <row r="1" spans="1:50" ht="93.95" customHeight="1" x14ac:dyDescent="0.25">
      <c r="A1" s="528" t="s">
        <v>91</v>
      </c>
      <c r="B1" s="528"/>
      <c r="C1" s="528"/>
      <c r="D1" s="528"/>
      <c r="E1" s="529"/>
      <c r="F1" s="528"/>
      <c r="G1" s="528"/>
      <c r="H1" s="528"/>
      <c r="I1" s="528"/>
      <c r="J1" s="528"/>
      <c r="K1" s="530"/>
      <c r="L1" s="528"/>
      <c r="M1" s="528"/>
      <c r="N1" s="528"/>
      <c r="O1" s="528"/>
      <c r="P1" s="528"/>
      <c r="Q1" s="528"/>
      <c r="R1" s="528"/>
      <c r="S1" s="528"/>
      <c r="T1" s="528"/>
      <c r="U1" s="531"/>
      <c r="V1" s="528"/>
      <c r="W1" s="528"/>
      <c r="X1" s="528"/>
      <c r="Y1" s="528"/>
      <c r="Z1" s="528"/>
      <c r="AA1" s="528"/>
      <c r="AB1" s="528"/>
      <c r="AC1" s="528"/>
      <c r="AD1" s="528"/>
      <c r="AE1" s="25" t="s">
        <v>0</v>
      </c>
      <c r="AF1" s="25"/>
      <c r="AG1" s="532" t="s">
        <v>92</v>
      </c>
      <c r="AH1" s="532"/>
      <c r="AI1" s="532"/>
      <c r="AJ1" s="533" t="s">
        <v>93</v>
      </c>
      <c r="AK1" s="533"/>
      <c r="AL1" s="533"/>
      <c r="AM1" s="533" t="s">
        <v>94</v>
      </c>
      <c r="AN1" s="533"/>
      <c r="AO1" s="533"/>
      <c r="AP1" s="26"/>
      <c r="AQ1" s="26"/>
      <c r="AR1" s="26"/>
    </row>
    <row r="2" spans="1:50" s="27" customFormat="1" ht="119.1" customHeight="1" x14ac:dyDescent="0.25">
      <c r="A2" s="176" t="s">
        <v>95</v>
      </c>
      <c r="B2" s="443" t="s">
        <v>16</v>
      </c>
      <c r="C2" s="443" t="s">
        <v>96</v>
      </c>
      <c r="D2" s="443" t="s">
        <v>97</v>
      </c>
      <c r="E2" s="444" t="s">
        <v>98</v>
      </c>
      <c r="F2" s="446" t="s">
        <v>99</v>
      </c>
      <c r="G2" s="446" t="s">
        <v>100</v>
      </c>
      <c r="H2" s="446" t="s">
        <v>40</v>
      </c>
      <c r="I2" s="446" t="s">
        <v>101</v>
      </c>
      <c r="J2" s="448" t="s">
        <v>102</v>
      </c>
      <c r="K2" s="449" t="s">
        <v>103</v>
      </c>
      <c r="L2" s="448" t="s">
        <v>104</v>
      </c>
      <c r="M2" s="446" t="s">
        <v>105</v>
      </c>
      <c r="N2" s="446" t="s">
        <v>106</v>
      </c>
      <c r="O2" s="443" t="s">
        <v>107</v>
      </c>
      <c r="P2" s="177" t="s">
        <v>108</v>
      </c>
      <c r="Q2" s="448" t="s">
        <v>109</v>
      </c>
      <c r="R2" s="448" t="s">
        <v>110</v>
      </c>
      <c r="S2" s="448" t="s">
        <v>111</v>
      </c>
      <c r="T2" s="448" t="s">
        <v>112</v>
      </c>
      <c r="U2" s="445" t="s">
        <v>113</v>
      </c>
      <c r="V2" s="443" t="s">
        <v>114</v>
      </c>
      <c r="W2" s="443" t="s">
        <v>115</v>
      </c>
      <c r="X2" s="446" t="s">
        <v>116</v>
      </c>
      <c r="Y2" s="446" t="s">
        <v>117</v>
      </c>
      <c r="Z2" s="446" t="s">
        <v>118</v>
      </c>
      <c r="AA2" s="177" t="s">
        <v>119</v>
      </c>
      <c r="AB2" s="443" t="s">
        <v>120</v>
      </c>
      <c r="AC2" s="448" t="s">
        <v>121</v>
      </c>
      <c r="AD2" s="448" t="s">
        <v>122</v>
      </c>
      <c r="AE2" s="446" t="s">
        <v>0</v>
      </c>
      <c r="AF2" s="443" t="s">
        <v>123</v>
      </c>
      <c r="AG2" s="446" t="s">
        <v>124</v>
      </c>
      <c r="AH2" s="448" t="s">
        <v>125</v>
      </c>
      <c r="AI2" s="448" t="s">
        <v>126</v>
      </c>
      <c r="AJ2" s="448" t="s">
        <v>127</v>
      </c>
      <c r="AK2" s="177" t="s">
        <v>128</v>
      </c>
      <c r="AL2" s="177" t="s">
        <v>129</v>
      </c>
      <c r="AM2" s="177" t="s">
        <v>130</v>
      </c>
      <c r="AN2" s="177" t="s">
        <v>131</v>
      </c>
      <c r="AO2" s="177" t="s">
        <v>132</v>
      </c>
      <c r="AP2" s="447" t="s">
        <v>133</v>
      </c>
      <c r="AQ2" s="178" t="s">
        <v>134</v>
      </c>
      <c r="AR2" s="178" t="s">
        <v>135</v>
      </c>
      <c r="AS2" s="178" t="s">
        <v>136</v>
      </c>
      <c r="AT2" s="178" t="s">
        <v>4</v>
      </c>
      <c r="AU2" s="178" t="s">
        <v>137</v>
      </c>
      <c r="AV2" s="178" t="s">
        <v>138</v>
      </c>
    </row>
    <row r="3" spans="1:50" s="27" customFormat="1" x14ac:dyDescent="0.25">
      <c r="A3" s="134">
        <v>1</v>
      </c>
      <c r="B3" s="27" t="s">
        <v>139</v>
      </c>
      <c r="C3" s="27" t="s">
        <v>140</v>
      </c>
      <c r="D3" s="27" t="s">
        <v>141</v>
      </c>
      <c r="E3" s="400">
        <v>41919308</v>
      </c>
      <c r="F3" s="27" t="s">
        <v>142</v>
      </c>
      <c r="G3" s="27" t="s">
        <v>143</v>
      </c>
      <c r="H3" s="136">
        <v>36530</v>
      </c>
      <c r="I3" s="136"/>
      <c r="J3" s="27" t="s">
        <v>144</v>
      </c>
      <c r="K3" s="140">
        <v>2600000</v>
      </c>
      <c r="L3" s="27" t="s">
        <v>145</v>
      </c>
      <c r="M3" s="27" t="s">
        <v>146</v>
      </c>
      <c r="O3" s="139" t="s">
        <v>147</v>
      </c>
      <c r="Q3" s="27" t="s">
        <v>148</v>
      </c>
      <c r="R3" s="27" t="s">
        <v>149</v>
      </c>
      <c r="S3" s="27" t="s">
        <v>150</v>
      </c>
      <c r="T3" s="27" t="s">
        <v>151</v>
      </c>
      <c r="U3" s="37">
        <v>25506</v>
      </c>
      <c r="V3" s="27" t="s">
        <v>152</v>
      </c>
      <c r="W3" s="27" t="s">
        <v>153</v>
      </c>
      <c r="X3" s="27" t="s">
        <v>154</v>
      </c>
      <c r="Y3" s="27" t="s">
        <v>155</v>
      </c>
      <c r="Z3" s="27" t="s">
        <v>156</v>
      </c>
      <c r="AA3" s="27" t="s">
        <v>157</v>
      </c>
      <c r="AB3" s="27" t="s">
        <v>158</v>
      </c>
      <c r="AC3" s="27" t="s">
        <v>159</v>
      </c>
      <c r="AD3" s="27" t="s">
        <v>160</v>
      </c>
      <c r="AE3" s="27" t="s">
        <v>161</v>
      </c>
      <c r="AF3" s="27" t="s">
        <v>162</v>
      </c>
      <c r="AG3" s="27" t="s">
        <v>163</v>
      </c>
      <c r="AH3" s="27" t="s">
        <v>164</v>
      </c>
      <c r="AI3" s="179"/>
      <c r="AP3" s="136"/>
      <c r="AT3" s="27" t="str">
        <f t="shared" ref="AT3:AT66" si="0">IF(ISBLANK(B3),"",IF(AP3="","Activo","Inactivo"))</f>
        <v>Activo</v>
      </c>
      <c r="AU3" s="27" cm="1">
        <f t="array" aca="1" ref="AU3" ca="1">_xlfn.IFS(AT3="","",AT3="Activo",TODAY()-H3,AT3="Inactivo",AP3-H3)</f>
        <v>8930</v>
      </c>
      <c r="AV3" s="180">
        <f ca="1">IF(ISBLANK(Tabla1[[#This Row],[Fecha Nacimento (dd/mm/yyyy)]]),"",YEARFRAC(Tabla1[[#This Row],[Fecha Nacimento (dd/mm/yyyy)]],TODAY()))</f>
        <v>54.630555555555553</v>
      </c>
      <c r="AW3" s="141"/>
      <c r="AX3" s="27" t="str">
        <f>IFERROR(DATE(VALUE(MID(AW3,7,4)), VALUE(MID(AW3,4,2)), VALUE(MID(AW3,1,2))),"")</f>
        <v/>
      </c>
    </row>
    <row r="4" spans="1:50" s="27" customFormat="1" x14ac:dyDescent="0.25">
      <c r="A4" s="134">
        <v>2</v>
      </c>
      <c r="B4" s="27" t="s">
        <v>165</v>
      </c>
      <c r="C4" s="27" t="s">
        <v>166</v>
      </c>
      <c r="D4" s="27" t="s">
        <v>141</v>
      </c>
      <c r="E4" s="400">
        <v>9726182</v>
      </c>
      <c r="F4" s="27" t="s">
        <v>142</v>
      </c>
      <c r="G4" s="27" t="s">
        <v>143</v>
      </c>
      <c r="H4" s="136">
        <v>37622</v>
      </c>
      <c r="I4" s="136"/>
      <c r="J4" s="27" t="s">
        <v>144</v>
      </c>
      <c r="K4" s="137">
        <v>1300000</v>
      </c>
      <c r="L4" s="27" t="s">
        <v>145</v>
      </c>
      <c r="M4" s="27" t="s">
        <v>146</v>
      </c>
      <c r="O4" s="139" t="s">
        <v>167</v>
      </c>
      <c r="Q4" s="27" t="s">
        <v>148</v>
      </c>
      <c r="R4" s="27" t="s">
        <v>168</v>
      </c>
      <c r="S4" s="27" t="s">
        <v>150</v>
      </c>
      <c r="T4" s="27" t="s">
        <v>169</v>
      </c>
      <c r="U4" s="37">
        <v>29509</v>
      </c>
      <c r="V4" s="27" t="s">
        <v>170</v>
      </c>
      <c r="W4" s="27" t="s">
        <v>171</v>
      </c>
      <c r="X4" s="27" t="s">
        <v>154</v>
      </c>
      <c r="Y4" s="27" t="s">
        <v>172</v>
      </c>
      <c r="Z4" s="27" t="s">
        <v>173</v>
      </c>
      <c r="AA4" s="27" t="s">
        <v>174</v>
      </c>
      <c r="AB4" s="27" t="s">
        <v>175</v>
      </c>
      <c r="AC4" s="27" t="s">
        <v>159</v>
      </c>
      <c r="AD4" s="27" t="s">
        <v>160</v>
      </c>
      <c r="AE4" s="27" t="s">
        <v>161</v>
      </c>
      <c r="AF4" s="27" t="s">
        <v>176</v>
      </c>
      <c r="AG4" s="27" t="s">
        <v>177</v>
      </c>
      <c r="AH4" s="27" t="s">
        <v>164</v>
      </c>
      <c r="AI4" s="179"/>
      <c r="AP4" s="136"/>
      <c r="AT4" s="27" t="str">
        <f t="shared" si="0"/>
        <v>Activo</v>
      </c>
      <c r="AU4" s="27" cm="1">
        <f t="array" aca="1" ref="AU4" ca="1">_xlfn.IFS(AT4="","",AT4="Activo",TODAY()-H4,AT4="Inactivo",AP4-H4)</f>
        <v>7838</v>
      </c>
      <c r="AV4" s="180">
        <f ca="1">IF(ISBLANK(Tabla1[[#This Row],[Fecha Nacimento (dd/mm/yyyy)]]),"",YEARFRAC(Tabla1[[#This Row],[Fecha Nacimento (dd/mm/yyyy)]],TODAY()))</f>
        <v>43.672222222222224</v>
      </c>
      <c r="AW4" s="141"/>
      <c r="AX4" s="27" t="str">
        <f t="shared" ref="AX4:AX67" si="1">IFERROR(DATE(VALUE(MID(AW4,7,4)), VALUE(MID(AW4,4,2)), VALUE(MID(AW4,1,2))),"")</f>
        <v/>
      </c>
    </row>
    <row r="5" spans="1:50" s="27" customFormat="1" x14ac:dyDescent="0.25">
      <c r="A5" s="134">
        <v>3</v>
      </c>
      <c r="B5" s="27" t="s">
        <v>178</v>
      </c>
      <c r="C5" s="27" t="s">
        <v>179</v>
      </c>
      <c r="D5" s="27" t="s">
        <v>141</v>
      </c>
      <c r="E5" s="400">
        <v>7539559</v>
      </c>
      <c r="F5" s="27" t="s">
        <v>142</v>
      </c>
      <c r="G5" s="27" t="s">
        <v>143</v>
      </c>
      <c r="H5" s="136">
        <v>39142</v>
      </c>
      <c r="I5" s="136"/>
      <c r="J5" s="27" t="s">
        <v>144</v>
      </c>
      <c r="K5" s="137">
        <v>1300000</v>
      </c>
      <c r="L5" s="27" t="s">
        <v>145</v>
      </c>
      <c r="M5" s="27" t="s">
        <v>146</v>
      </c>
      <c r="O5" s="139" t="s">
        <v>180</v>
      </c>
      <c r="Q5" s="27" t="s">
        <v>148</v>
      </c>
      <c r="R5" s="27" t="s">
        <v>168</v>
      </c>
      <c r="S5" s="27" t="s">
        <v>150</v>
      </c>
      <c r="T5" s="27" t="s">
        <v>181</v>
      </c>
      <c r="U5" s="37">
        <v>22881</v>
      </c>
      <c r="V5" s="27" t="s">
        <v>182</v>
      </c>
      <c r="W5" s="27" t="s">
        <v>183</v>
      </c>
      <c r="X5" s="27" t="s">
        <v>154</v>
      </c>
      <c r="Y5" s="27" t="s">
        <v>184</v>
      </c>
      <c r="Z5" s="27" t="s">
        <v>185</v>
      </c>
      <c r="AA5" s="27" t="s">
        <v>174</v>
      </c>
      <c r="AB5" s="27" t="s">
        <v>186</v>
      </c>
      <c r="AC5" s="27" t="s">
        <v>159</v>
      </c>
      <c r="AD5" s="27" t="s">
        <v>160</v>
      </c>
      <c r="AE5" s="27" t="s">
        <v>161</v>
      </c>
      <c r="AF5" s="27" t="s">
        <v>176</v>
      </c>
      <c r="AG5" s="27" t="s">
        <v>177</v>
      </c>
      <c r="AH5" s="27" t="s">
        <v>164</v>
      </c>
      <c r="AI5" s="179"/>
      <c r="AP5" s="136"/>
      <c r="AT5" s="27" t="str">
        <f t="shared" si="0"/>
        <v>Activo</v>
      </c>
      <c r="AU5" s="27" cm="1">
        <f t="array" aca="1" ref="AU5" ca="1">_xlfn.IFS(AT5="","",AT5="Activo",TODAY()-H5,AT5="Inactivo",AP5-H5)</f>
        <v>6318</v>
      </c>
      <c r="AV5" s="180">
        <f ca="1">IF(ISBLANK(Tabla1[[#This Row],[Fecha Nacimento (dd/mm/yyyy)]]),"",YEARFRAC(Tabla1[[#This Row],[Fecha Nacimento (dd/mm/yyyy)]],TODAY()))</f>
        <v>61.81666666666667</v>
      </c>
      <c r="AW5" s="141"/>
      <c r="AX5" s="27" t="str">
        <f t="shared" si="1"/>
        <v/>
      </c>
    </row>
    <row r="6" spans="1:50" s="27" customFormat="1" x14ac:dyDescent="0.25">
      <c r="A6" s="134">
        <v>4</v>
      </c>
      <c r="B6" s="27" t="s">
        <v>187</v>
      </c>
      <c r="C6" s="27" t="s">
        <v>188</v>
      </c>
      <c r="D6" s="27" t="s">
        <v>141</v>
      </c>
      <c r="E6" s="400">
        <v>70414396</v>
      </c>
      <c r="F6" s="27" t="s">
        <v>142</v>
      </c>
      <c r="G6" s="27" t="s">
        <v>143</v>
      </c>
      <c r="H6" s="136">
        <v>40087</v>
      </c>
      <c r="I6" s="136"/>
      <c r="J6" s="27" t="s">
        <v>144</v>
      </c>
      <c r="K6" s="137">
        <v>1300000</v>
      </c>
      <c r="L6" s="27" t="s">
        <v>145</v>
      </c>
      <c r="M6" s="27" t="s">
        <v>146</v>
      </c>
      <c r="O6" s="139" t="s">
        <v>189</v>
      </c>
      <c r="Q6" s="27" t="s">
        <v>148</v>
      </c>
      <c r="R6" s="27" t="s">
        <v>168</v>
      </c>
      <c r="S6" s="27" t="s">
        <v>150</v>
      </c>
      <c r="T6" s="27" t="s">
        <v>190</v>
      </c>
      <c r="U6" s="37">
        <v>23578</v>
      </c>
      <c r="V6" s="27" t="s">
        <v>191</v>
      </c>
      <c r="W6" s="27" t="s">
        <v>192</v>
      </c>
      <c r="X6" s="27" t="s">
        <v>154</v>
      </c>
      <c r="Y6" s="27" t="s">
        <v>172</v>
      </c>
      <c r="Z6" s="27" t="s">
        <v>193</v>
      </c>
      <c r="AA6" s="27" t="s">
        <v>174</v>
      </c>
      <c r="AB6" s="27" t="s">
        <v>175</v>
      </c>
      <c r="AC6" s="27" t="s">
        <v>159</v>
      </c>
      <c r="AD6" s="27" t="s">
        <v>160</v>
      </c>
      <c r="AE6" s="27" t="s">
        <v>161</v>
      </c>
      <c r="AF6" s="27" t="s">
        <v>176</v>
      </c>
      <c r="AG6" s="27" t="s">
        <v>177</v>
      </c>
      <c r="AH6" s="27" t="s">
        <v>164</v>
      </c>
      <c r="AI6" s="179"/>
      <c r="AP6" s="136"/>
      <c r="AT6" s="27" t="str">
        <f t="shared" si="0"/>
        <v>Activo</v>
      </c>
      <c r="AU6" s="27" cm="1">
        <f t="array" aca="1" ref="AU6" ca="1">_xlfn.IFS(AT6="","",AT6="Activo",TODAY()-H6,AT6="Inactivo",AP6-H6)</f>
        <v>5373</v>
      </c>
      <c r="AV6" s="180">
        <f ca="1">IF(ISBLANK(Tabla1[[#This Row],[Fecha Nacimento (dd/mm/yyyy)]]),"",YEARFRAC(Tabla1[[#This Row],[Fecha Nacimento (dd/mm/yyyy)]],TODAY()))</f>
        <v>59.908333333333331</v>
      </c>
      <c r="AW6" s="141"/>
      <c r="AX6" s="27" t="str">
        <f t="shared" si="1"/>
        <v/>
      </c>
    </row>
    <row r="7" spans="1:50" s="27" customFormat="1" x14ac:dyDescent="0.25">
      <c r="A7" s="134">
        <v>5</v>
      </c>
      <c r="B7" s="27" t="s">
        <v>194</v>
      </c>
      <c r="C7" s="27" t="s">
        <v>195</v>
      </c>
      <c r="D7" s="27" t="s">
        <v>141</v>
      </c>
      <c r="E7" s="400">
        <v>18464811</v>
      </c>
      <c r="F7" s="27" t="s">
        <v>142</v>
      </c>
      <c r="G7" s="27" t="s">
        <v>143</v>
      </c>
      <c r="H7" s="136">
        <v>40452</v>
      </c>
      <c r="I7" s="136"/>
      <c r="J7" s="27" t="s">
        <v>144</v>
      </c>
      <c r="K7" s="137">
        <v>1300000</v>
      </c>
      <c r="L7" s="27" t="s">
        <v>145</v>
      </c>
      <c r="M7" s="27" t="s">
        <v>146</v>
      </c>
      <c r="O7" s="139" t="s">
        <v>196</v>
      </c>
      <c r="Q7" s="27" t="s">
        <v>148</v>
      </c>
      <c r="R7" s="27" t="s">
        <v>168</v>
      </c>
      <c r="S7" s="27" t="s">
        <v>150</v>
      </c>
      <c r="T7" s="27" t="s">
        <v>197</v>
      </c>
      <c r="U7" s="37">
        <v>24962</v>
      </c>
      <c r="V7" s="27" t="s">
        <v>198</v>
      </c>
      <c r="W7" s="27" t="s">
        <v>199</v>
      </c>
      <c r="X7" s="27" t="s">
        <v>154</v>
      </c>
      <c r="Y7" s="27" t="s">
        <v>172</v>
      </c>
      <c r="Z7" s="27" t="s">
        <v>200</v>
      </c>
      <c r="AA7" s="27" t="s">
        <v>174</v>
      </c>
      <c r="AB7" s="27" t="s">
        <v>175</v>
      </c>
      <c r="AC7" s="27" t="s">
        <v>159</v>
      </c>
      <c r="AD7" s="27" t="s">
        <v>160</v>
      </c>
      <c r="AE7" s="27" t="s">
        <v>161</v>
      </c>
      <c r="AF7" s="27" t="s">
        <v>176</v>
      </c>
      <c r="AG7" s="27" t="s">
        <v>177</v>
      </c>
      <c r="AH7" s="27" t="s">
        <v>164</v>
      </c>
      <c r="AI7" s="179"/>
      <c r="AP7" s="136"/>
      <c r="AT7" s="27" t="str">
        <f t="shared" si="0"/>
        <v>Activo</v>
      </c>
      <c r="AU7" s="27" cm="1">
        <f t="array" aca="1" ref="AU7" ca="1">_xlfn.IFS(AT7="","",AT7="Activo",TODAY()-H7,AT7="Inactivo",AP7-H7)</f>
        <v>5008</v>
      </c>
      <c r="AV7" s="180">
        <f ca="1">IF(ISBLANK(Tabla1[[#This Row],[Fecha Nacimento (dd/mm/yyyy)]]),"",YEARFRAC(Tabla1[[#This Row],[Fecha Nacimento (dd/mm/yyyy)]],TODAY()))</f>
        <v>56.119444444444447</v>
      </c>
      <c r="AW7" s="141"/>
      <c r="AX7" s="27" t="str">
        <f t="shared" si="1"/>
        <v/>
      </c>
    </row>
    <row r="8" spans="1:50" s="27" customFormat="1" x14ac:dyDescent="0.25">
      <c r="A8" s="134">
        <v>6</v>
      </c>
      <c r="B8" s="141" t="s">
        <v>201</v>
      </c>
      <c r="C8" s="141" t="s">
        <v>202</v>
      </c>
      <c r="D8" s="27" t="s">
        <v>141</v>
      </c>
      <c r="E8" s="402">
        <v>41945941</v>
      </c>
      <c r="F8" s="141" t="s">
        <v>142</v>
      </c>
      <c r="G8" s="27" t="s">
        <v>143</v>
      </c>
      <c r="H8" s="142">
        <v>41188</v>
      </c>
      <c r="I8" s="136"/>
      <c r="J8" s="27" t="s">
        <v>144</v>
      </c>
      <c r="K8" s="137">
        <v>1300000</v>
      </c>
      <c r="L8" s="27" t="s">
        <v>164</v>
      </c>
      <c r="M8" s="141" t="s">
        <v>203</v>
      </c>
      <c r="O8" s="145" t="s">
        <v>204</v>
      </c>
      <c r="Q8" s="27" t="s">
        <v>205</v>
      </c>
      <c r="U8" s="181">
        <v>28903</v>
      </c>
      <c r="V8" s="141" t="s">
        <v>206</v>
      </c>
      <c r="W8" s="141" t="s">
        <v>207</v>
      </c>
      <c r="X8" s="141" t="s">
        <v>208</v>
      </c>
      <c r="Y8" s="141" t="s">
        <v>209</v>
      </c>
      <c r="Z8" s="141" t="s">
        <v>210</v>
      </c>
      <c r="AA8" s="141" t="s">
        <v>211</v>
      </c>
      <c r="AB8" s="141" t="s">
        <v>212</v>
      </c>
      <c r="AC8" s="141" t="s">
        <v>160</v>
      </c>
      <c r="AD8" s="141" t="s">
        <v>160</v>
      </c>
      <c r="AE8" s="27" t="s">
        <v>213</v>
      </c>
      <c r="AF8" s="27" t="s">
        <v>162</v>
      </c>
      <c r="AG8" s="27" t="s">
        <v>177</v>
      </c>
      <c r="AH8" s="27" t="s">
        <v>164</v>
      </c>
      <c r="AI8" s="179"/>
      <c r="AJ8" s="27" t="s">
        <v>164</v>
      </c>
      <c r="AK8" s="27" t="s">
        <v>214</v>
      </c>
      <c r="AL8" s="27" t="s">
        <v>214</v>
      </c>
      <c r="AM8" s="27" t="s">
        <v>164</v>
      </c>
      <c r="AN8" s="27" t="s">
        <v>214</v>
      </c>
      <c r="AO8" s="27" t="s">
        <v>214</v>
      </c>
      <c r="AP8" s="136"/>
      <c r="AT8" s="27" t="str">
        <f t="shared" si="0"/>
        <v>Activo</v>
      </c>
      <c r="AU8" s="27" cm="1">
        <f t="array" aca="1" ref="AU8" ca="1">_xlfn.IFS(AT8="","",AT8="Activo",TODAY()-H8,AT8="Inactivo",AP8-H8)</f>
        <v>4272</v>
      </c>
      <c r="AV8" s="180">
        <f ca="1">IF(ISBLANK(Tabla1[[#This Row],[Fecha Nacimento (dd/mm/yyyy)]]),"",YEARFRAC(Tabla1[[#This Row],[Fecha Nacimento (dd/mm/yyyy)]],TODAY()))</f>
        <v>45.333333333333336</v>
      </c>
      <c r="AW8" s="141"/>
      <c r="AX8" s="27" t="str">
        <f t="shared" si="1"/>
        <v/>
      </c>
    </row>
    <row r="9" spans="1:50" s="27" customFormat="1" x14ac:dyDescent="0.25">
      <c r="A9" s="134">
        <v>7</v>
      </c>
      <c r="B9" s="27" t="s">
        <v>215</v>
      </c>
      <c r="C9" s="27" t="s">
        <v>216</v>
      </c>
      <c r="D9" s="27" t="s">
        <v>141</v>
      </c>
      <c r="E9" s="400">
        <v>1094892149</v>
      </c>
      <c r="F9" s="27" t="s">
        <v>142</v>
      </c>
      <c r="G9" s="27" t="s">
        <v>143</v>
      </c>
      <c r="H9" s="136">
        <v>43200</v>
      </c>
      <c r="I9" s="136"/>
      <c r="J9" s="27" t="s">
        <v>144</v>
      </c>
      <c r="K9" s="140">
        <v>1310000</v>
      </c>
      <c r="L9" s="27" t="s">
        <v>145</v>
      </c>
      <c r="M9" s="27" t="s">
        <v>203</v>
      </c>
      <c r="O9" s="27" t="s">
        <v>217</v>
      </c>
      <c r="Q9" s="27" t="s">
        <v>148</v>
      </c>
      <c r="R9" s="27" t="s">
        <v>149</v>
      </c>
      <c r="S9" s="27" t="s">
        <v>150</v>
      </c>
      <c r="T9" s="27" t="s">
        <v>218</v>
      </c>
      <c r="U9" s="37">
        <v>31677</v>
      </c>
      <c r="V9" s="27" t="s">
        <v>219</v>
      </c>
      <c r="W9" s="27" t="s">
        <v>220</v>
      </c>
      <c r="X9" s="27" t="s">
        <v>221</v>
      </c>
      <c r="Y9" s="27" t="s">
        <v>222</v>
      </c>
      <c r="Z9" s="27" t="s">
        <v>223</v>
      </c>
      <c r="AA9" s="27" t="s">
        <v>211</v>
      </c>
      <c r="AB9" s="27" t="s">
        <v>175</v>
      </c>
      <c r="AC9" s="27" t="s">
        <v>159</v>
      </c>
      <c r="AD9" s="27" t="s">
        <v>160</v>
      </c>
      <c r="AE9" s="27" t="s">
        <v>224</v>
      </c>
      <c r="AF9" s="27" t="s">
        <v>176</v>
      </c>
      <c r="AG9" s="27" t="s">
        <v>177</v>
      </c>
      <c r="AI9" s="179"/>
      <c r="AP9" s="136">
        <v>45343</v>
      </c>
      <c r="AQ9" s="27" t="s">
        <v>60</v>
      </c>
      <c r="AT9" s="27" t="str">
        <f t="shared" si="0"/>
        <v>Inactivo</v>
      </c>
      <c r="AU9" s="27" cm="1">
        <f t="array" aca="1" ref="AU9" ca="1">_xlfn.IFS(AT9="","",AT9="Activo",TODAY()-H9,AT9="Inactivo",AP9-H9)</f>
        <v>2143</v>
      </c>
      <c r="AV9" s="180">
        <f ca="1">IF(ISBLANK(Tabla1[[#This Row],[Fecha Nacimento (dd/mm/yyyy)]]),"",YEARFRAC(Tabla1[[#This Row],[Fecha Nacimento (dd/mm/yyyy)]],TODAY()))</f>
        <v>37.736111111111114</v>
      </c>
      <c r="AW9" s="141"/>
      <c r="AX9" s="27" t="str">
        <f t="shared" si="1"/>
        <v/>
      </c>
    </row>
    <row r="10" spans="1:50" s="27" customFormat="1" x14ac:dyDescent="0.25">
      <c r="A10" s="134">
        <v>8</v>
      </c>
      <c r="B10" s="27" t="s">
        <v>225</v>
      </c>
      <c r="C10" s="27" t="s">
        <v>226</v>
      </c>
      <c r="D10" s="27" t="s">
        <v>141</v>
      </c>
      <c r="E10" s="400">
        <v>94230001</v>
      </c>
      <c r="F10" s="27" t="s">
        <v>142</v>
      </c>
      <c r="G10" s="27" t="s">
        <v>143</v>
      </c>
      <c r="H10" s="136">
        <v>43497</v>
      </c>
      <c r="I10" s="136"/>
      <c r="J10" s="27" t="s">
        <v>144</v>
      </c>
      <c r="K10" s="140">
        <v>1390000</v>
      </c>
      <c r="L10" s="27" t="s">
        <v>145</v>
      </c>
      <c r="M10" s="27" t="s">
        <v>227</v>
      </c>
      <c r="O10" s="27" t="s">
        <v>217</v>
      </c>
      <c r="Q10" s="27" t="s">
        <v>148</v>
      </c>
      <c r="R10" s="27" t="s">
        <v>149</v>
      </c>
      <c r="S10" s="27" t="s">
        <v>150</v>
      </c>
      <c r="T10" s="27" t="s">
        <v>228</v>
      </c>
      <c r="U10" s="37">
        <v>27538</v>
      </c>
      <c r="V10" s="27" t="s">
        <v>229</v>
      </c>
      <c r="W10" s="27" t="s">
        <v>230</v>
      </c>
      <c r="X10" s="27" t="s">
        <v>231</v>
      </c>
      <c r="Y10" s="373" t="s">
        <v>222</v>
      </c>
      <c r="Z10" s="27" t="s">
        <v>232</v>
      </c>
      <c r="AA10" s="27" t="s">
        <v>211</v>
      </c>
      <c r="AB10" s="27" t="s">
        <v>233</v>
      </c>
      <c r="AC10" s="27" t="s">
        <v>159</v>
      </c>
      <c r="AD10" s="27" t="s">
        <v>160</v>
      </c>
      <c r="AE10" s="27" t="s">
        <v>224</v>
      </c>
      <c r="AF10" s="27" t="s">
        <v>176</v>
      </c>
      <c r="AG10" s="27" t="s">
        <v>177</v>
      </c>
      <c r="AI10" s="179"/>
      <c r="AP10" s="136">
        <v>45306</v>
      </c>
      <c r="AQ10" s="27" t="s">
        <v>65</v>
      </c>
      <c r="AR10" s="27" t="s">
        <v>234</v>
      </c>
      <c r="AT10" s="27" t="str">
        <f t="shared" si="0"/>
        <v>Inactivo</v>
      </c>
      <c r="AU10" s="27" cm="1">
        <f t="array" aca="1" ref="AU10" ca="1">_xlfn.IFS(AT10="","",AT10="Activo",TODAY()-H10,AT10="Inactivo",AP10-H10)</f>
        <v>1809</v>
      </c>
      <c r="AV10" s="180">
        <f ca="1">IF(ISBLANK(Tabla1[[#This Row],[Fecha Nacimento (dd/mm/yyyy)]]),"",YEARFRAC(Tabla1[[#This Row],[Fecha Nacimento (dd/mm/yyyy)]],TODAY()))</f>
        <v>49.06388888888889</v>
      </c>
      <c r="AW10" s="141"/>
      <c r="AX10" s="27" t="str">
        <f t="shared" si="1"/>
        <v/>
      </c>
    </row>
    <row r="11" spans="1:50" s="27" customFormat="1" x14ac:dyDescent="0.25">
      <c r="A11" s="134">
        <v>9</v>
      </c>
      <c r="B11" s="27" t="s">
        <v>235</v>
      </c>
      <c r="C11" s="27" t="s">
        <v>236</v>
      </c>
      <c r="D11" s="27" t="s">
        <v>141</v>
      </c>
      <c r="E11" s="400">
        <v>2699896</v>
      </c>
      <c r="F11" s="27" t="s">
        <v>142</v>
      </c>
      <c r="G11" s="27" t="s">
        <v>143</v>
      </c>
      <c r="H11" s="136">
        <v>43497</v>
      </c>
      <c r="I11" s="136"/>
      <c r="J11" s="27" t="s">
        <v>144</v>
      </c>
      <c r="K11" s="137">
        <v>1300000</v>
      </c>
      <c r="L11" s="27" t="s">
        <v>145</v>
      </c>
      <c r="M11" s="27" t="s">
        <v>227</v>
      </c>
      <c r="O11" s="27" t="s">
        <v>217</v>
      </c>
      <c r="Q11" s="27" t="s">
        <v>148</v>
      </c>
      <c r="R11" s="27" t="s">
        <v>149</v>
      </c>
      <c r="S11" s="27" t="s">
        <v>150</v>
      </c>
      <c r="T11" s="27" t="s">
        <v>237</v>
      </c>
      <c r="U11" s="37">
        <v>27560</v>
      </c>
      <c r="V11" s="27" t="s">
        <v>238</v>
      </c>
      <c r="W11" s="27" t="s">
        <v>239</v>
      </c>
      <c r="X11" s="27" t="s">
        <v>231</v>
      </c>
      <c r="Y11" s="373" t="s">
        <v>222</v>
      </c>
      <c r="Z11" s="27" t="s">
        <v>223</v>
      </c>
      <c r="AA11" s="27" t="s">
        <v>211</v>
      </c>
      <c r="AB11" s="27" t="s">
        <v>233</v>
      </c>
      <c r="AC11" s="27" t="s">
        <v>160</v>
      </c>
      <c r="AD11" s="27" t="s">
        <v>160</v>
      </c>
      <c r="AE11" s="27" t="s">
        <v>224</v>
      </c>
      <c r="AF11" s="27" t="s">
        <v>176</v>
      </c>
      <c r="AG11" s="27" t="s">
        <v>177</v>
      </c>
      <c r="AI11" s="179"/>
      <c r="AP11" s="136">
        <v>45306</v>
      </c>
      <c r="AQ11" s="27" t="s">
        <v>65</v>
      </c>
      <c r="AR11" s="27" t="s">
        <v>234</v>
      </c>
      <c r="AT11" s="27" t="str">
        <f t="shared" si="0"/>
        <v>Inactivo</v>
      </c>
      <c r="AU11" s="27" cm="1">
        <f t="array" aca="1" ref="AU11" ca="1">_xlfn.IFS(AT11="","",AT11="Activo",TODAY()-H11,AT11="Inactivo",AP11-H11)</f>
        <v>1809</v>
      </c>
      <c r="AV11" s="180">
        <f ca="1">IF(ISBLANK(Tabla1[[#This Row],[Fecha Nacimento (dd/mm/yyyy)]]),"",YEARFRAC(Tabla1[[#This Row],[Fecha Nacimento (dd/mm/yyyy)]],TODAY()))</f>
        <v>49.005555555555553</v>
      </c>
      <c r="AW11" s="141"/>
      <c r="AX11" s="27" t="str">
        <f t="shared" si="1"/>
        <v/>
      </c>
    </row>
    <row r="12" spans="1:50" s="27" customFormat="1" x14ac:dyDescent="0.25">
      <c r="A12" s="134">
        <v>10</v>
      </c>
      <c r="B12" s="27" t="s">
        <v>240</v>
      </c>
      <c r="C12" s="27" t="s">
        <v>241</v>
      </c>
      <c r="D12" s="27" t="s">
        <v>141</v>
      </c>
      <c r="E12" s="400">
        <v>6423539</v>
      </c>
      <c r="F12" s="27" t="s">
        <v>142</v>
      </c>
      <c r="G12" s="27" t="s">
        <v>143</v>
      </c>
      <c r="H12" s="136">
        <v>43497</v>
      </c>
      <c r="I12" s="136"/>
      <c r="J12" s="27" t="s">
        <v>144</v>
      </c>
      <c r="K12" s="137">
        <v>1300000</v>
      </c>
      <c r="L12" s="27" t="s">
        <v>145</v>
      </c>
      <c r="M12" s="27" t="s">
        <v>227</v>
      </c>
      <c r="O12" s="27" t="s">
        <v>217</v>
      </c>
      <c r="Q12" s="27" t="s">
        <v>148</v>
      </c>
      <c r="R12" s="27" t="s">
        <v>149</v>
      </c>
      <c r="S12" s="27" t="s">
        <v>150</v>
      </c>
      <c r="T12" s="27" t="s">
        <v>242</v>
      </c>
      <c r="U12" s="37">
        <v>25412</v>
      </c>
      <c r="V12" s="27" t="s">
        <v>238</v>
      </c>
      <c r="W12" s="27" t="s">
        <v>243</v>
      </c>
      <c r="X12" s="27" t="s">
        <v>231</v>
      </c>
      <c r="Y12" s="27" t="s">
        <v>222</v>
      </c>
      <c r="Z12" s="27" t="s">
        <v>223</v>
      </c>
      <c r="AA12" s="27" t="s">
        <v>211</v>
      </c>
      <c r="AB12" s="27" t="s">
        <v>233</v>
      </c>
      <c r="AC12" s="27" t="s">
        <v>159</v>
      </c>
      <c r="AD12" s="27" t="s">
        <v>160</v>
      </c>
      <c r="AE12" s="27" t="s">
        <v>224</v>
      </c>
      <c r="AF12" s="27" t="s">
        <v>176</v>
      </c>
      <c r="AG12" s="27" t="s">
        <v>177</v>
      </c>
      <c r="AI12" s="179"/>
      <c r="AP12" s="136">
        <v>45306</v>
      </c>
      <c r="AQ12" s="27" t="s">
        <v>65</v>
      </c>
      <c r="AR12" s="27" t="s">
        <v>234</v>
      </c>
      <c r="AT12" s="27" t="str">
        <f t="shared" si="0"/>
        <v>Inactivo</v>
      </c>
      <c r="AU12" s="27" cm="1">
        <f t="array" aca="1" ref="AU12" ca="1">_xlfn.IFS(AT12="","",AT12="Activo",TODAY()-H12,AT12="Inactivo",AP12-H12)</f>
        <v>1809</v>
      </c>
      <c r="AV12" s="180">
        <f ca="1">IF(ISBLANK(Tabla1[[#This Row],[Fecha Nacimento (dd/mm/yyyy)]]),"",YEARFRAC(Tabla1[[#This Row],[Fecha Nacimento (dd/mm/yyyy)]],TODAY()))</f>
        <v>54.886111111111113</v>
      </c>
      <c r="AW12" s="141"/>
      <c r="AX12" s="27" t="str">
        <f t="shared" si="1"/>
        <v/>
      </c>
    </row>
    <row r="13" spans="1:50" s="27" customFormat="1" x14ac:dyDescent="0.25">
      <c r="A13" s="134">
        <v>11</v>
      </c>
      <c r="B13" s="27" t="s">
        <v>244</v>
      </c>
      <c r="C13" s="27" t="s">
        <v>245</v>
      </c>
      <c r="D13" s="27" t="s">
        <v>141</v>
      </c>
      <c r="E13" s="400">
        <v>2699711</v>
      </c>
      <c r="F13" s="27" t="s">
        <v>142</v>
      </c>
      <c r="G13" s="27" t="s">
        <v>143</v>
      </c>
      <c r="H13" s="136">
        <v>43497</v>
      </c>
      <c r="I13" s="136"/>
      <c r="J13" s="27" t="s">
        <v>144</v>
      </c>
      <c r="K13" s="137">
        <v>1300000</v>
      </c>
      <c r="L13" s="27" t="s">
        <v>145</v>
      </c>
      <c r="M13" s="27" t="s">
        <v>227</v>
      </c>
      <c r="O13" s="27" t="s">
        <v>217</v>
      </c>
      <c r="Q13" s="27" t="s">
        <v>148</v>
      </c>
      <c r="R13" s="27" t="s">
        <v>149</v>
      </c>
      <c r="S13" s="27" t="s">
        <v>150</v>
      </c>
      <c r="T13" s="27" t="s">
        <v>246</v>
      </c>
      <c r="U13" s="37">
        <v>22584</v>
      </c>
      <c r="V13" s="27" t="s">
        <v>229</v>
      </c>
      <c r="W13" s="27" t="s">
        <v>247</v>
      </c>
      <c r="X13" s="27" t="s">
        <v>231</v>
      </c>
      <c r="Y13" s="373" t="s">
        <v>222</v>
      </c>
      <c r="Z13" s="27" t="s">
        <v>223</v>
      </c>
      <c r="AA13" s="27" t="s">
        <v>211</v>
      </c>
      <c r="AB13" s="27" t="s">
        <v>175</v>
      </c>
      <c r="AC13" s="27" t="s">
        <v>159</v>
      </c>
      <c r="AD13" s="27" t="s">
        <v>160</v>
      </c>
      <c r="AE13" s="27" t="s">
        <v>224</v>
      </c>
      <c r="AF13" s="27" t="s">
        <v>176</v>
      </c>
      <c r="AG13" s="27" t="s">
        <v>177</v>
      </c>
      <c r="AI13" s="179"/>
      <c r="AP13" s="136">
        <v>45306</v>
      </c>
      <c r="AQ13" s="27" t="s">
        <v>65</v>
      </c>
      <c r="AR13" s="27" t="s">
        <v>234</v>
      </c>
      <c r="AT13" s="27" t="str">
        <f t="shared" si="0"/>
        <v>Inactivo</v>
      </c>
      <c r="AU13" s="27" cm="1">
        <f t="array" aca="1" ref="AU13" ca="1">_xlfn.IFS(AT13="","",AT13="Activo",TODAY()-H13,AT13="Inactivo",AP13-H13)</f>
        <v>1809</v>
      </c>
      <c r="AV13" s="180">
        <f ca="1">IF(ISBLANK(Tabla1[[#This Row],[Fecha Nacimento (dd/mm/yyyy)]]),"",YEARFRAC(Tabla1[[#This Row],[Fecha Nacimento (dd/mm/yyyy)]],TODAY()))</f>
        <v>62.630555555555553</v>
      </c>
      <c r="AW13" s="141"/>
      <c r="AX13" s="27" t="str">
        <f t="shared" si="1"/>
        <v/>
      </c>
    </row>
    <row r="14" spans="1:50" s="27" customFormat="1" x14ac:dyDescent="0.25">
      <c r="A14" s="134">
        <v>12</v>
      </c>
      <c r="B14" s="27" t="s">
        <v>248</v>
      </c>
      <c r="C14" s="27" t="s">
        <v>249</v>
      </c>
      <c r="D14" s="27" t="s">
        <v>141</v>
      </c>
      <c r="E14" s="400">
        <v>2699672</v>
      </c>
      <c r="F14" s="27" t="s">
        <v>142</v>
      </c>
      <c r="G14" s="27" t="s">
        <v>143</v>
      </c>
      <c r="H14" s="136">
        <v>43497</v>
      </c>
      <c r="I14" s="136"/>
      <c r="J14" s="27" t="s">
        <v>144</v>
      </c>
      <c r="K14" s="137">
        <v>1300000</v>
      </c>
      <c r="L14" s="27" t="s">
        <v>145</v>
      </c>
      <c r="M14" s="27" t="s">
        <v>227</v>
      </c>
      <c r="O14" s="27" t="s">
        <v>217</v>
      </c>
      <c r="Q14" s="27" t="s">
        <v>148</v>
      </c>
      <c r="R14" s="27" t="s">
        <v>149</v>
      </c>
      <c r="S14" s="27" t="s">
        <v>150</v>
      </c>
      <c r="T14" s="27" t="s">
        <v>250</v>
      </c>
      <c r="U14" s="37">
        <v>20323</v>
      </c>
      <c r="V14" s="27" t="s">
        <v>238</v>
      </c>
      <c r="W14" s="27" t="s">
        <v>251</v>
      </c>
      <c r="X14" s="27" t="s">
        <v>231</v>
      </c>
      <c r="Y14" s="27" t="s">
        <v>222</v>
      </c>
      <c r="Z14" s="27" t="s">
        <v>223</v>
      </c>
      <c r="AA14" s="27" t="s">
        <v>211</v>
      </c>
      <c r="AB14" s="27" t="s">
        <v>175</v>
      </c>
      <c r="AC14" s="27" t="s">
        <v>159</v>
      </c>
      <c r="AD14" s="27" t="s">
        <v>160</v>
      </c>
      <c r="AE14" s="27" t="s">
        <v>224</v>
      </c>
      <c r="AF14" s="27" t="s">
        <v>176</v>
      </c>
      <c r="AG14" s="27" t="s">
        <v>177</v>
      </c>
      <c r="AI14" s="179"/>
      <c r="AP14" s="136">
        <v>45306</v>
      </c>
      <c r="AQ14" s="27" t="s">
        <v>65</v>
      </c>
      <c r="AR14" s="27" t="s">
        <v>234</v>
      </c>
      <c r="AT14" s="27" t="str">
        <f t="shared" si="0"/>
        <v>Inactivo</v>
      </c>
      <c r="AU14" s="27" cm="1">
        <f t="array" aca="1" ref="AU14" ca="1">_xlfn.IFS(AT14="","",AT14="Activo",TODAY()-H14,AT14="Inactivo",AP14-H14)</f>
        <v>1809</v>
      </c>
      <c r="AV14" s="180">
        <f ca="1">IF(ISBLANK(Tabla1[[#This Row],[Fecha Nacimento (dd/mm/yyyy)]]),"",YEARFRAC(Tabla1[[#This Row],[Fecha Nacimento (dd/mm/yyyy)]],TODAY()))</f>
        <v>68.819444444444443</v>
      </c>
      <c r="AW14" s="141"/>
      <c r="AX14" s="27" t="str">
        <f t="shared" si="1"/>
        <v/>
      </c>
    </row>
    <row r="15" spans="1:50" s="27" customFormat="1" x14ac:dyDescent="0.25">
      <c r="A15" s="134">
        <v>13</v>
      </c>
      <c r="B15" s="27" t="s">
        <v>252</v>
      </c>
      <c r="C15" s="27" t="s">
        <v>253</v>
      </c>
      <c r="D15" s="27" t="s">
        <v>141</v>
      </c>
      <c r="E15" s="400">
        <v>1015455080</v>
      </c>
      <c r="F15" s="27" t="s">
        <v>142</v>
      </c>
      <c r="G15" s="27" t="s">
        <v>143</v>
      </c>
      <c r="H15" s="136">
        <v>43516</v>
      </c>
      <c r="I15" s="136"/>
      <c r="J15" s="27" t="s">
        <v>144</v>
      </c>
      <c r="K15" s="137">
        <v>1300000</v>
      </c>
      <c r="L15" s="27" t="s">
        <v>145</v>
      </c>
      <c r="M15" s="27" t="s">
        <v>146</v>
      </c>
      <c r="O15" s="139" t="s">
        <v>254</v>
      </c>
      <c r="Q15" s="27" t="s">
        <v>148</v>
      </c>
      <c r="R15" s="27" t="s">
        <v>149</v>
      </c>
      <c r="S15" s="27" t="s">
        <v>150</v>
      </c>
      <c r="T15" s="27" t="s">
        <v>255</v>
      </c>
      <c r="U15" s="37">
        <v>34885</v>
      </c>
      <c r="V15" s="27" t="s">
        <v>256</v>
      </c>
      <c r="W15" s="27" t="s">
        <v>257</v>
      </c>
      <c r="X15" s="27" t="s">
        <v>154</v>
      </c>
      <c r="Y15" s="27" t="s">
        <v>155</v>
      </c>
      <c r="Z15" s="27" t="s">
        <v>258</v>
      </c>
      <c r="AA15" s="27" t="s">
        <v>157</v>
      </c>
      <c r="AB15" s="27" t="s">
        <v>259</v>
      </c>
      <c r="AC15" s="27" t="s">
        <v>159</v>
      </c>
      <c r="AD15" s="27" t="s">
        <v>160</v>
      </c>
      <c r="AE15" s="27" t="s">
        <v>161</v>
      </c>
      <c r="AF15" s="27" t="s">
        <v>176</v>
      </c>
      <c r="AG15" s="27" t="s">
        <v>163</v>
      </c>
      <c r="AH15" s="27" t="s">
        <v>164</v>
      </c>
      <c r="AI15" s="179"/>
      <c r="AP15" s="136"/>
      <c r="AT15" s="27" t="str">
        <f t="shared" si="0"/>
        <v>Activo</v>
      </c>
      <c r="AU15" s="27" cm="1">
        <f t="array" aca="1" ref="AU15" ca="1">_xlfn.IFS(AT15="","",AT15="Activo",TODAY()-H15,AT15="Inactivo",AP15-H15)</f>
        <v>1944</v>
      </c>
      <c r="AV15" s="180">
        <f ca="1">IF(ISBLANK(Tabla1[[#This Row],[Fecha Nacimento (dd/mm/yyyy)]]),"",YEARFRAC(Tabla1[[#This Row],[Fecha Nacimento (dd/mm/yyyy)]],TODAY()))</f>
        <v>28.95</v>
      </c>
      <c r="AW15" s="141"/>
      <c r="AX15" s="27" t="str">
        <f t="shared" si="1"/>
        <v/>
      </c>
    </row>
    <row r="16" spans="1:50" s="27" customFormat="1" x14ac:dyDescent="0.25">
      <c r="A16" s="134">
        <v>14</v>
      </c>
      <c r="B16" s="27" t="s">
        <v>260</v>
      </c>
      <c r="C16" s="27" t="s">
        <v>261</v>
      </c>
      <c r="D16" s="27" t="s">
        <v>141</v>
      </c>
      <c r="E16" s="400">
        <v>41915946</v>
      </c>
      <c r="F16" s="27" t="s">
        <v>142</v>
      </c>
      <c r="G16" s="27" t="s">
        <v>143</v>
      </c>
      <c r="H16" s="136">
        <v>43586</v>
      </c>
      <c r="I16" s="136"/>
      <c r="J16" s="27" t="s">
        <v>144</v>
      </c>
      <c r="K16" s="140">
        <v>4200000</v>
      </c>
      <c r="L16" s="27" t="s">
        <v>164</v>
      </c>
      <c r="M16" s="27" t="s">
        <v>262</v>
      </c>
      <c r="N16" s="27" t="s">
        <v>145</v>
      </c>
      <c r="O16" s="139" t="s">
        <v>263</v>
      </c>
      <c r="Q16" s="27" t="s">
        <v>148</v>
      </c>
      <c r="R16" s="27" t="s">
        <v>149</v>
      </c>
      <c r="S16" s="27" t="s">
        <v>264</v>
      </c>
      <c r="T16" s="27" t="s">
        <v>265</v>
      </c>
      <c r="U16" s="37">
        <v>25251</v>
      </c>
      <c r="V16" s="27" t="s">
        <v>266</v>
      </c>
      <c r="W16" s="27" t="s">
        <v>267</v>
      </c>
      <c r="X16" s="27" t="s">
        <v>268</v>
      </c>
      <c r="Y16" s="27" t="s">
        <v>269</v>
      </c>
      <c r="Z16" s="27" t="s">
        <v>270</v>
      </c>
      <c r="AA16" s="27" t="s">
        <v>211</v>
      </c>
      <c r="AB16" s="27" t="s">
        <v>158</v>
      </c>
      <c r="AC16" s="27" t="s">
        <v>271</v>
      </c>
      <c r="AD16" s="27" t="s">
        <v>271</v>
      </c>
      <c r="AE16" s="27" t="s">
        <v>272</v>
      </c>
      <c r="AF16" s="27" t="s">
        <v>162</v>
      </c>
      <c r="AG16" s="27" t="s">
        <v>163</v>
      </c>
      <c r="AH16" s="27" t="s">
        <v>145</v>
      </c>
      <c r="AI16" s="179">
        <v>2800000</v>
      </c>
      <c r="AJ16" s="27" t="s">
        <v>164</v>
      </c>
      <c r="AK16" s="27" t="s">
        <v>214</v>
      </c>
      <c r="AL16" s="27" t="s">
        <v>214</v>
      </c>
      <c r="AM16" s="27" t="s">
        <v>164</v>
      </c>
      <c r="AN16" s="27" t="s">
        <v>214</v>
      </c>
      <c r="AO16" s="27" t="s">
        <v>164</v>
      </c>
      <c r="AP16" s="136"/>
      <c r="AT16" s="27" t="str">
        <f t="shared" si="0"/>
        <v>Activo</v>
      </c>
      <c r="AU16" s="27" cm="1">
        <f t="array" aca="1" ref="AU16" ca="1">_xlfn.IFS(AT16="","",AT16="Activo",TODAY()-H16,AT16="Inactivo",AP16-H16)</f>
        <v>1874</v>
      </c>
      <c r="AV16" s="180">
        <f ca="1">IF(ISBLANK(Tabla1[[#This Row],[Fecha Nacimento (dd/mm/yyyy)]]),"",YEARFRAC(Tabla1[[#This Row],[Fecha Nacimento (dd/mm/yyyy)]],TODAY()))</f>
        <v>55.333333333333336</v>
      </c>
      <c r="AW16" s="141"/>
      <c r="AX16" s="27" t="str">
        <f t="shared" si="1"/>
        <v/>
      </c>
    </row>
    <row r="17" spans="1:50" s="27" customFormat="1" x14ac:dyDescent="0.25">
      <c r="A17" s="134">
        <v>15</v>
      </c>
      <c r="B17" s="27" t="s">
        <v>273</v>
      </c>
      <c r="C17" s="27" t="s">
        <v>274</v>
      </c>
      <c r="D17" s="27" t="s">
        <v>141</v>
      </c>
      <c r="E17" s="400">
        <v>2699801</v>
      </c>
      <c r="F17" s="27" t="s">
        <v>142</v>
      </c>
      <c r="G17" s="27" t="s">
        <v>143</v>
      </c>
      <c r="H17" s="136">
        <v>43619</v>
      </c>
      <c r="I17" s="136"/>
      <c r="J17" s="27" t="s">
        <v>144</v>
      </c>
      <c r="K17" s="137">
        <v>1300000</v>
      </c>
      <c r="L17" s="27" t="s">
        <v>145</v>
      </c>
      <c r="M17" s="27" t="s">
        <v>227</v>
      </c>
      <c r="O17" s="27" t="s">
        <v>217</v>
      </c>
      <c r="Q17" s="27" t="s">
        <v>148</v>
      </c>
      <c r="R17" s="27" t="s">
        <v>149</v>
      </c>
      <c r="S17" s="27" t="s">
        <v>150</v>
      </c>
      <c r="T17" s="27" t="s">
        <v>242</v>
      </c>
      <c r="U17" s="37">
        <v>24861</v>
      </c>
      <c r="V17" s="27" t="s">
        <v>219</v>
      </c>
      <c r="W17" s="27" t="s">
        <v>275</v>
      </c>
      <c r="X17" s="27" t="s">
        <v>231</v>
      </c>
      <c r="Y17" s="27" t="s">
        <v>222</v>
      </c>
      <c r="Z17" s="27" t="s">
        <v>223</v>
      </c>
      <c r="AA17" s="27" t="s">
        <v>211</v>
      </c>
      <c r="AB17" s="27" t="s">
        <v>175</v>
      </c>
      <c r="AC17" s="27" t="s">
        <v>159</v>
      </c>
      <c r="AD17" s="27" t="s">
        <v>271</v>
      </c>
      <c r="AE17" s="27" t="s">
        <v>224</v>
      </c>
      <c r="AF17" s="27" t="s">
        <v>176</v>
      </c>
      <c r="AG17" s="27" t="s">
        <v>177</v>
      </c>
      <c r="AI17" s="179"/>
      <c r="AP17" s="136">
        <v>45306</v>
      </c>
      <c r="AQ17" s="27" t="s">
        <v>65</v>
      </c>
      <c r="AR17" s="27" t="s">
        <v>234</v>
      </c>
      <c r="AT17" s="27" t="str">
        <f t="shared" si="0"/>
        <v>Inactivo</v>
      </c>
      <c r="AU17" s="27" cm="1">
        <f t="array" aca="1" ref="AU17" ca="1">_xlfn.IFS(AT17="","",AT17="Activo",TODAY()-H17,AT17="Inactivo",AP17-H17)</f>
        <v>1687</v>
      </c>
      <c r="AV17" s="180">
        <f ca="1">IF(ISBLANK(Tabla1[[#This Row],[Fecha Nacimento (dd/mm/yyyy)]]),"",YEARFRAC(Tabla1[[#This Row],[Fecha Nacimento (dd/mm/yyyy)]],TODAY()))</f>
        <v>56.397222222222226</v>
      </c>
      <c r="AW17" s="141"/>
      <c r="AX17" s="27" t="str">
        <f t="shared" si="1"/>
        <v/>
      </c>
    </row>
    <row r="18" spans="1:50" s="27" customFormat="1" x14ac:dyDescent="0.25">
      <c r="A18" s="134">
        <v>16</v>
      </c>
      <c r="B18" s="27" t="s">
        <v>276</v>
      </c>
      <c r="C18" s="27" t="s">
        <v>277</v>
      </c>
      <c r="D18" s="27" t="s">
        <v>141</v>
      </c>
      <c r="E18" s="400">
        <v>41926205</v>
      </c>
      <c r="F18" s="27" t="s">
        <v>142</v>
      </c>
      <c r="G18" s="27" t="s">
        <v>143</v>
      </c>
      <c r="H18" s="136">
        <v>43770</v>
      </c>
      <c r="I18" s="136"/>
      <c r="J18" s="27" t="s">
        <v>144</v>
      </c>
      <c r="K18" s="140">
        <v>4573184</v>
      </c>
      <c r="L18" s="27" t="s">
        <v>164</v>
      </c>
      <c r="M18" s="27" t="s">
        <v>146</v>
      </c>
      <c r="O18" s="139" t="s">
        <v>278</v>
      </c>
      <c r="Q18" s="27" t="s">
        <v>148</v>
      </c>
      <c r="R18" s="27" t="s">
        <v>168</v>
      </c>
      <c r="S18" s="27" t="s">
        <v>150</v>
      </c>
      <c r="T18" s="27" t="s">
        <v>279</v>
      </c>
      <c r="U18" s="37">
        <v>26635</v>
      </c>
      <c r="V18" s="27" t="s">
        <v>280</v>
      </c>
      <c r="W18" s="27" t="s">
        <v>281</v>
      </c>
      <c r="X18" s="27" t="s">
        <v>154</v>
      </c>
      <c r="Y18" s="27" t="s">
        <v>155</v>
      </c>
      <c r="Z18" s="27" t="s">
        <v>282</v>
      </c>
      <c r="AA18" s="27" t="s">
        <v>157</v>
      </c>
      <c r="AB18" s="27" t="s">
        <v>259</v>
      </c>
      <c r="AC18" s="27" t="s">
        <v>159</v>
      </c>
      <c r="AD18" s="27" t="s">
        <v>160</v>
      </c>
      <c r="AE18" s="27" t="s">
        <v>161</v>
      </c>
      <c r="AF18" s="27" t="s">
        <v>162</v>
      </c>
      <c r="AG18" s="27" t="s">
        <v>163</v>
      </c>
      <c r="AH18" s="27" t="s">
        <v>164</v>
      </c>
      <c r="AI18" s="179"/>
      <c r="AP18" s="136"/>
      <c r="AT18" s="27" t="str">
        <f t="shared" si="0"/>
        <v>Activo</v>
      </c>
      <c r="AU18" s="27" cm="1">
        <f t="array" aca="1" ref="AU18" ca="1">_xlfn.IFS(AT18="","",AT18="Activo",TODAY()-H18,AT18="Inactivo",AP18-H18)</f>
        <v>1690</v>
      </c>
      <c r="AV18" s="180">
        <f ca="1">IF(ISBLANK(Tabla1[[#This Row],[Fecha Nacimento (dd/mm/yyyy)]]),"",YEARFRAC(Tabla1[[#This Row],[Fecha Nacimento (dd/mm/yyyy)]],TODAY()))</f>
        <v>51.541666666666664</v>
      </c>
      <c r="AW18" s="141"/>
      <c r="AX18" s="27" t="str">
        <f t="shared" si="1"/>
        <v/>
      </c>
    </row>
    <row r="19" spans="1:50" s="27" customFormat="1" x14ac:dyDescent="0.25">
      <c r="A19" s="134">
        <v>17</v>
      </c>
      <c r="B19" s="27" t="s">
        <v>283</v>
      </c>
      <c r="C19" s="27" t="s">
        <v>284</v>
      </c>
      <c r="D19" s="27" t="s">
        <v>141</v>
      </c>
      <c r="E19" s="400">
        <v>1094951931</v>
      </c>
      <c r="F19" s="27" t="s">
        <v>142</v>
      </c>
      <c r="G19" s="27" t="s">
        <v>143</v>
      </c>
      <c r="H19" s="136">
        <v>44013</v>
      </c>
      <c r="I19" s="136"/>
      <c r="J19" s="27" t="s">
        <v>144</v>
      </c>
      <c r="K19" s="137">
        <v>1300000</v>
      </c>
      <c r="L19" s="27" t="s">
        <v>145</v>
      </c>
      <c r="M19" s="27" t="s">
        <v>146</v>
      </c>
      <c r="O19" s="139" t="s">
        <v>285</v>
      </c>
      <c r="Q19" s="27" t="s">
        <v>148</v>
      </c>
      <c r="R19" s="27" t="s">
        <v>149</v>
      </c>
      <c r="S19" s="27" t="s">
        <v>150</v>
      </c>
      <c r="T19" s="27" t="s">
        <v>286</v>
      </c>
      <c r="U19" s="37">
        <v>34838</v>
      </c>
      <c r="V19" s="27" t="s">
        <v>256</v>
      </c>
      <c r="W19" s="27" t="s">
        <v>287</v>
      </c>
      <c r="X19" s="27" t="s">
        <v>154</v>
      </c>
      <c r="Y19" s="27" t="s">
        <v>155</v>
      </c>
      <c r="Z19" s="27" t="s">
        <v>288</v>
      </c>
      <c r="AA19" s="27" t="s">
        <v>157</v>
      </c>
      <c r="AB19" s="27" t="s">
        <v>158</v>
      </c>
      <c r="AC19" s="27" t="s">
        <v>159</v>
      </c>
      <c r="AD19" s="27" t="s">
        <v>160</v>
      </c>
      <c r="AE19" s="27" t="s">
        <v>161</v>
      </c>
      <c r="AF19" s="27" t="s">
        <v>162</v>
      </c>
      <c r="AG19" s="27" t="s">
        <v>163</v>
      </c>
      <c r="AH19" s="27" t="s">
        <v>164</v>
      </c>
      <c r="AI19" s="179"/>
      <c r="AP19" s="136"/>
      <c r="AT19" s="27" t="str">
        <f t="shared" si="0"/>
        <v>Activo</v>
      </c>
      <c r="AU19" s="27" cm="1">
        <f t="array" aca="1" ref="AU19" ca="1">_xlfn.IFS(AT19="","",AT19="Activo",TODAY()-H19,AT19="Inactivo",AP19-H19)</f>
        <v>1447</v>
      </c>
      <c r="AV19" s="180">
        <f ca="1">IF(ISBLANK(Tabla1[[#This Row],[Fecha Nacimento (dd/mm/yyyy)]]),"",YEARFRAC(Tabla1[[#This Row],[Fecha Nacimento (dd/mm/yyyy)]],TODAY()))</f>
        <v>29.077777777777779</v>
      </c>
      <c r="AW19" s="141"/>
      <c r="AX19" s="27" t="str">
        <f t="shared" si="1"/>
        <v/>
      </c>
    </row>
    <row r="20" spans="1:50" s="27" customFormat="1" x14ac:dyDescent="0.25">
      <c r="A20" s="134">
        <v>18</v>
      </c>
      <c r="B20" s="27" t="s">
        <v>289</v>
      </c>
      <c r="C20" s="27" t="s">
        <v>284</v>
      </c>
      <c r="D20" s="27" t="s">
        <v>141</v>
      </c>
      <c r="E20" s="400">
        <v>1094951932</v>
      </c>
      <c r="F20" s="27" t="s">
        <v>142</v>
      </c>
      <c r="G20" s="27" t="s">
        <v>143</v>
      </c>
      <c r="H20" s="136">
        <v>44013</v>
      </c>
      <c r="I20" s="136"/>
      <c r="J20" s="27" t="s">
        <v>144</v>
      </c>
      <c r="K20" s="137">
        <v>1300000</v>
      </c>
      <c r="L20" s="27" t="s">
        <v>145</v>
      </c>
      <c r="M20" s="27" t="s">
        <v>146</v>
      </c>
      <c r="O20" s="139" t="s">
        <v>290</v>
      </c>
      <c r="Q20" s="27" t="s">
        <v>148</v>
      </c>
      <c r="R20" s="27" t="s">
        <v>149</v>
      </c>
      <c r="S20" s="27" t="s">
        <v>150</v>
      </c>
      <c r="T20" s="27" t="s">
        <v>291</v>
      </c>
      <c r="U20" s="37">
        <v>34838</v>
      </c>
      <c r="V20" s="27" t="s">
        <v>292</v>
      </c>
      <c r="W20" s="27" t="s">
        <v>293</v>
      </c>
      <c r="X20" s="27" t="s">
        <v>154</v>
      </c>
      <c r="Y20" s="27" t="s">
        <v>155</v>
      </c>
      <c r="Z20" s="27" t="s">
        <v>294</v>
      </c>
      <c r="AA20" s="27" t="s">
        <v>157</v>
      </c>
      <c r="AB20" s="27" t="s">
        <v>158</v>
      </c>
      <c r="AC20" s="27" t="s">
        <v>159</v>
      </c>
      <c r="AD20" s="27" t="s">
        <v>160</v>
      </c>
      <c r="AE20" s="27" t="s">
        <v>161</v>
      </c>
      <c r="AF20" s="27" t="s">
        <v>162</v>
      </c>
      <c r="AG20" s="27" t="s">
        <v>163</v>
      </c>
      <c r="AH20" s="27" t="s">
        <v>164</v>
      </c>
      <c r="AI20" s="179"/>
      <c r="AP20" s="136"/>
      <c r="AT20" s="27" t="str">
        <f t="shared" si="0"/>
        <v>Activo</v>
      </c>
      <c r="AU20" s="27" cm="1">
        <f t="array" aca="1" ref="AU20" ca="1">_xlfn.IFS(AT20="","",AT20="Activo",TODAY()-H20,AT20="Inactivo",AP20-H20)</f>
        <v>1447</v>
      </c>
      <c r="AV20" s="180">
        <f ca="1">IF(ISBLANK(Tabla1[[#This Row],[Fecha Nacimento (dd/mm/yyyy)]]),"",YEARFRAC(Tabla1[[#This Row],[Fecha Nacimento (dd/mm/yyyy)]],TODAY()))</f>
        <v>29.077777777777779</v>
      </c>
      <c r="AW20" s="141"/>
      <c r="AX20" s="27" t="str">
        <f t="shared" si="1"/>
        <v/>
      </c>
    </row>
    <row r="21" spans="1:50" s="27" customFormat="1" x14ac:dyDescent="0.25">
      <c r="A21" s="134">
        <v>19</v>
      </c>
      <c r="B21" s="27" t="s">
        <v>178</v>
      </c>
      <c r="C21" s="27" t="s">
        <v>295</v>
      </c>
      <c r="D21" s="27" t="s">
        <v>141</v>
      </c>
      <c r="E21" s="400">
        <v>89005598</v>
      </c>
      <c r="F21" s="27" t="s">
        <v>142</v>
      </c>
      <c r="G21" s="27" t="s">
        <v>143</v>
      </c>
      <c r="H21" s="136">
        <v>44044</v>
      </c>
      <c r="I21" s="136"/>
      <c r="J21" s="27" t="s">
        <v>296</v>
      </c>
      <c r="K21" s="138">
        <v>16900000</v>
      </c>
      <c r="L21" s="27" t="s">
        <v>164</v>
      </c>
      <c r="M21" s="27" t="s">
        <v>262</v>
      </c>
      <c r="O21" s="139" t="s">
        <v>297</v>
      </c>
      <c r="Q21" s="27" t="s">
        <v>148</v>
      </c>
      <c r="R21" s="27" t="s">
        <v>168</v>
      </c>
      <c r="S21" s="27" t="s">
        <v>150</v>
      </c>
      <c r="T21" s="182" t="s">
        <v>298</v>
      </c>
      <c r="U21" s="37">
        <v>27954</v>
      </c>
      <c r="V21" s="27" t="s">
        <v>299</v>
      </c>
      <c r="W21" s="27">
        <v>3136668172</v>
      </c>
      <c r="X21" s="27" t="s">
        <v>300</v>
      </c>
      <c r="Y21" s="27" t="s">
        <v>269</v>
      </c>
      <c r="Z21" s="27" t="s">
        <v>301</v>
      </c>
      <c r="AA21" s="27" t="s">
        <v>302</v>
      </c>
      <c r="AB21" s="27" t="s">
        <v>186</v>
      </c>
      <c r="AC21" s="27" t="s">
        <v>271</v>
      </c>
      <c r="AE21" s="27" t="s">
        <v>303</v>
      </c>
      <c r="AF21" s="27" t="s">
        <v>176</v>
      </c>
      <c r="AG21" s="27" t="s">
        <v>163</v>
      </c>
      <c r="AH21" s="27" t="s">
        <v>145</v>
      </c>
      <c r="AI21" s="179">
        <v>6500000</v>
      </c>
      <c r="AJ21" s="27" t="s">
        <v>304</v>
      </c>
      <c r="AK21" s="27" t="s">
        <v>214</v>
      </c>
      <c r="AL21" s="27" t="s">
        <v>214</v>
      </c>
      <c r="AM21" s="27" t="s">
        <v>164</v>
      </c>
      <c r="AN21" s="27" t="s">
        <v>214</v>
      </c>
      <c r="AO21" s="27" t="s">
        <v>214</v>
      </c>
      <c r="AP21" s="136">
        <v>45306</v>
      </c>
      <c r="AQ21" s="27" t="s">
        <v>65</v>
      </c>
      <c r="AT21" s="27" t="str">
        <f t="shared" si="0"/>
        <v>Inactivo</v>
      </c>
      <c r="AU21" s="27" cm="1">
        <f t="array" aca="1" ref="AU21" ca="1">_xlfn.IFS(AT21="","",AT21="Activo",TODAY()-H21,AT21="Inactivo",AP21-H21)</f>
        <v>1262</v>
      </c>
      <c r="AV21" s="180">
        <f ca="1">IF(ISBLANK(Tabla1[[#This Row],[Fecha Nacimento (dd/mm/yyyy)]]),"",YEARFRAC(Tabla1[[#This Row],[Fecha Nacimento (dd/mm/yyyy)]],TODAY()))</f>
        <v>47.927777777777777</v>
      </c>
      <c r="AW21" s="141"/>
      <c r="AX21" s="27" t="str">
        <f t="shared" si="1"/>
        <v/>
      </c>
    </row>
    <row r="22" spans="1:50" s="27" customFormat="1" x14ac:dyDescent="0.25">
      <c r="A22" s="134">
        <v>20</v>
      </c>
      <c r="B22" s="27" t="s">
        <v>305</v>
      </c>
      <c r="C22" s="27" t="s">
        <v>306</v>
      </c>
      <c r="D22" s="27" t="s">
        <v>141</v>
      </c>
      <c r="E22" s="400">
        <v>41935534</v>
      </c>
      <c r="F22" s="27" t="s">
        <v>142</v>
      </c>
      <c r="G22" s="27" t="s">
        <v>143</v>
      </c>
      <c r="H22" s="136">
        <v>44044</v>
      </c>
      <c r="I22" s="136"/>
      <c r="J22" s="27" t="s">
        <v>296</v>
      </c>
      <c r="K22" s="137">
        <v>30000000</v>
      </c>
      <c r="L22" s="27" t="s">
        <v>164</v>
      </c>
      <c r="M22" s="27" t="s">
        <v>262</v>
      </c>
      <c r="O22" s="146" t="s">
        <v>307</v>
      </c>
      <c r="Q22" s="27" t="s">
        <v>148</v>
      </c>
      <c r="R22" s="27" t="s">
        <v>168</v>
      </c>
      <c r="S22" s="27" t="s">
        <v>150</v>
      </c>
      <c r="T22" s="28" t="s">
        <v>308</v>
      </c>
      <c r="U22" s="37">
        <v>27963</v>
      </c>
      <c r="V22" s="27" t="s">
        <v>299</v>
      </c>
      <c r="W22" s="27">
        <v>3022382707</v>
      </c>
      <c r="X22" s="27" t="s">
        <v>300</v>
      </c>
      <c r="Y22" s="27" t="s">
        <v>269</v>
      </c>
      <c r="Z22" s="27" t="s">
        <v>270</v>
      </c>
      <c r="AA22" s="27" t="s">
        <v>302</v>
      </c>
      <c r="AB22" s="27" t="s">
        <v>158</v>
      </c>
      <c r="AC22" s="27" t="s">
        <v>160</v>
      </c>
      <c r="AE22" s="27" t="s">
        <v>303</v>
      </c>
      <c r="AF22" s="27" t="s">
        <v>162</v>
      </c>
      <c r="AG22" s="27" t="s">
        <v>163</v>
      </c>
      <c r="AH22" s="27" t="s">
        <v>145</v>
      </c>
      <c r="AI22" s="179">
        <v>20875592</v>
      </c>
      <c r="AJ22" s="27" t="s">
        <v>304</v>
      </c>
      <c r="AK22" s="27" t="s">
        <v>214</v>
      </c>
      <c r="AL22" s="27" t="s">
        <v>214</v>
      </c>
      <c r="AM22" s="27" t="s">
        <v>164</v>
      </c>
      <c r="AN22" s="27" t="s">
        <v>214</v>
      </c>
      <c r="AO22" s="27" t="s">
        <v>214</v>
      </c>
      <c r="AP22" s="136">
        <v>45306</v>
      </c>
      <c r="AQ22" s="27" t="s">
        <v>65</v>
      </c>
      <c r="AT22" s="27" t="str">
        <f t="shared" si="0"/>
        <v>Inactivo</v>
      </c>
      <c r="AU22" s="27" cm="1">
        <f t="array" aca="1" ref="AU22" ca="1">_xlfn.IFS(AT22="","",AT22="Activo",TODAY()-H22,AT22="Inactivo",AP22-H22)</f>
        <v>1262</v>
      </c>
      <c r="AV22" s="180">
        <f ca="1">IF(ISBLANK(Tabla1[[#This Row],[Fecha Nacimento (dd/mm/yyyy)]]),"",YEARFRAC(Tabla1[[#This Row],[Fecha Nacimento (dd/mm/yyyy)]],TODAY()))</f>
        <v>47.902777777777779</v>
      </c>
      <c r="AW22" s="141"/>
      <c r="AX22" s="27" t="str">
        <f t="shared" si="1"/>
        <v/>
      </c>
    </row>
    <row r="23" spans="1:50" s="27" customFormat="1" x14ac:dyDescent="0.25">
      <c r="A23" s="134">
        <v>21</v>
      </c>
      <c r="B23" s="27" t="s">
        <v>309</v>
      </c>
      <c r="C23" s="27" t="s">
        <v>310</v>
      </c>
      <c r="D23" s="27" t="s">
        <v>141</v>
      </c>
      <c r="E23" s="400">
        <v>1094943045</v>
      </c>
      <c r="F23" s="27" t="s">
        <v>142</v>
      </c>
      <c r="G23" s="27" t="s">
        <v>143</v>
      </c>
      <c r="H23" s="136">
        <v>44119</v>
      </c>
      <c r="I23" s="136"/>
      <c r="J23" s="27" t="s">
        <v>144</v>
      </c>
      <c r="K23" s="140">
        <v>4130435</v>
      </c>
      <c r="L23" s="27" t="s">
        <v>164</v>
      </c>
      <c r="M23" s="27" t="s">
        <v>311</v>
      </c>
      <c r="O23" s="139" t="s">
        <v>312</v>
      </c>
      <c r="Q23" s="27" t="s">
        <v>148</v>
      </c>
      <c r="R23" s="27" t="s">
        <v>149</v>
      </c>
      <c r="S23" s="27" t="s">
        <v>150</v>
      </c>
      <c r="T23" s="27" t="s">
        <v>313</v>
      </c>
      <c r="U23" s="37">
        <v>34516</v>
      </c>
      <c r="V23" s="27" t="s">
        <v>314</v>
      </c>
      <c r="W23" s="27" t="s">
        <v>315</v>
      </c>
      <c r="X23" s="27" t="s">
        <v>316</v>
      </c>
      <c r="Y23" s="27" t="s">
        <v>302</v>
      </c>
      <c r="Z23" s="27" t="s">
        <v>317</v>
      </c>
      <c r="AA23" s="27" t="s">
        <v>302</v>
      </c>
      <c r="AB23" s="27" t="s">
        <v>158</v>
      </c>
      <c r="AC23" s="27" t="s">
        <v>271</v>
      </c>
      <c r="AD23" s="27" t="s">
        <v>160</v>
      </c>
      <c r="AE23" s="27" t="s">
        <v>224</v>
      </c>
      <c r="AF23" s="27" t="s">
        <v>162</v>
      </c>
      <c r="AG23" s="27" t="s">
        <v>163</v>
      </c>
      <c r="AI23" s="179"/>
      <c r="AP23" s="136">
        <v>45418</v>
      </c>
      <c r="AQ23" s="27" t="s">
        <v>52</v>
      </c>
      <c r="AT23" s="27" t="str">
        <f t="shared" si="0"/>
        <v>Inactivo</v>
      </c>
      <c r="AU23" s="27" cm="1">
        <f t="array" aca="1" ref="AU23" ca="1">_xlfn.IFS(AT23="","",AT23="Activo",TODAY()-H23,AT23="Inactivo",AP23-H23)</f>
        <v>1299</v>
      </c>
      <c r="AV23" s="180">
        <f ca="1">IF(ISBLANK(Tabla1[[#This Row],[Fecha Nacimento (dd/mm/yyyy)]]),"",YEARFRAC(Tabla1[[#This Row],[Fecha Nacimento (dd/mm/yyyy)]],TODAY()))</f>
        <v>29.961111111111112</v>
      </c>
      <c r="AW23" s="141"/>
      <c r="AX23" s="27" t="str">
        <f t="shared" si="1"/>
        <v/>
      </c>
    </row>
    <row r="24" spans="1:50" s="27" customFormat="1" x14ac:dyDescent="0.25">
      <c r="A24" s="134">
        <v>22</v>
      </c>
      <c r="B24" s="27" t="s">
        <v>318</v>
      </c>
      <c r="C24" s="27" t="s">
        <v>319</v>
      </c>
      <c r="D24" s="27" t="s">
        <v>141</v>
      </c>
      <c r="E24" s="400">
        <v>7524904</v>
      </c>
      <c r="F24" s="27" t="s">
        <v>320</v>
      </c>
      <c r="G24" s="27" t="s">
        <v>143</v>
      </c>
      <c r="H24" s="136">
        <v>44136</v>
      </c>
      <c r="I24" s="136"/>
      <c r="J24" s="27" t="s">
        <v>144</v>
      </c>
      <c r="K24" s="140">
        <v>4800000</v>
      </c>
      <c r="L24" s="27" t="s">
        <v>164</v>
      </c>
      <c r="M24" s="27" t="s">
        <v>262</v>
      </c>
      <c r="N24" s="27" t="s">
        <v>145</v>
      </c>
      <c r="O24" s="139" t="s">
        <v>321</v>
      </c>
      <c r="Q24" s="27" t="s">
        <v>148</v>
      </c>
      <c r="R24" s="27" t="s">
        <v>168</v>
      </c>
      <c r="S24" s="27" t="s">
        <v>150</v>
      </c>
      <c r="T24" s="27" t="s">
        <v>322</v>
      </c>
      <c r="U24" s="37">
        <v>21300</v>
      </c>
      <c r="V24" s="27" t="s">
        <v>266</v>
      </c>
      <c r="W24" s="27" t="s">
        <v>323</v>
      </c>
      <c r="X24" s="27" t="s">
        <v>268</v>
      </c>
      <c r="Y24" s="27" t="s">
        <v>269</v>
      </c>
      <c r="Z24" s="27" t="s">
        <v>270</v>
      </c>
      <c r="AA24" s="27" t="s">
        <v>211</v>
      </c>
      <c r="AB24" s="27" t="s">
        <v>158</v>
      </c>
      <c r="AC24" s="27" t="s">
        <v>217</v>
      </c>
      <c r="AD24" s="27" t="s">
        <v>271</v>
      </c>
      <c r="AE24" s="27" t="s">
        <v>272</v>
      </c>
      <c r="AF24" s="27" t="s">
        <v>176</v>
      </c>
      <c r="AG24" s="27" t="s">
        <v>163</v>
      </c>
      <c r="AH24" s="27" t="s">
        <v>145</v>
      </c>
      <c r="AI24" s="179">
        <v>3200000</v>
      </c>
      <c r="AJ24" s="27" t="s">
        <v>164</v>
      </c>
      <c r="AK24" s="27" t="s">
        <v>214</v>
      </c>
      <c r="AL24" s="27" t="s">
        <v>214</v>
      </c>
      <c r="AM24" s="27" t="s">
        <v>164</v>
      </c>
      <c r="AN24" s="27" t="s">
        <v>214</v>
      </c>
      <c r="AO24" s="27" t="s">
        <v>164</v>
      </c>
      <c r="AP24" s="136"/>
      <c r="AT24" s="27" t="str">
        <f t="shared" si="0"/>
        <v>Activo</v>
      </c>
      <c r="AU24" s="27" cm="1">
        <f t="array" aca="1" ref="AU24" ca="1">_xlfn.IFS(AT24="","",AT24="Activo",TODAY()-H24,AT24="Inactivo",AP24-H24)</f>
        <v>1324</v>
      </c>
      <c r="AV24" s="180">
        <f ca="1">IF(ISBLANK(Tabla1[[#This Row],[Fecha Nacimento (dd/mm/yyyy)]]),"",YEARFRAC(Tabla1[[#This Row],[Fecha Nacimento (dd/mm/yyyy)]],TODAY()))</f>
        <v>66.144444444444446</v>
      </c>
      <c r="AW24" s="141"/>
      <c r="AX24" s="27" t="str">
        <f t="shared" si="1"/>
        <v/>
      </c>
    </row>
    <row r="25" spans="1:50" s="27" customFormat="1" x14ac:dyDescent="0.25">
      <c r="A25" s="134">
        <v>23</v>
      </c>
      <c r="B25" s="27" t="s">
        <v>324</v>
      </c>
      <c r="C25" s="27" t="s">
        <v>325</v>
      </c>
      <c r="D25" s="27" t="s">
        <v>141</v>
      </c>
      <c r="E25" s="400">
        <v>1115189699</v>
      </c>
      <c r="F25" s="27" t="s">
        <v>142</v>
      </c>
      <c r="G25" s="27" t="s">
        <v>143</v>
      </c>
      <c r="H25" s="136">
        <v>44340</v>
      </c>
      <c r="I25" s="136"/>
      <c r="J25" s="27" t="s">
        <v>144</v>
      </c>
      <c r="K25" s="140">
        <v>5274725</v>
      </c>
      <c r="L25" s="27" t="s">
        <v>164</v>
      </c>
      <c r="M25" s="27" t="s">
        <v>227</v>
      </c>
      <c r="O25" s="139" t="s">
        <v>326</v>
      </c>
      <c r="Q25" s="27" t="s">
        <v>148</v>
      </c>
      <c r="R25" s="27" t="s">
        <v>149</v>
      </c>
      <c r="S25" s="27" t="s">
        <v>150</v>
      </c>
      <c r="T25" s="27" t="s">
        <v>327</v>
      </c>
      <c r="U25" s="37">
        <v>33934</v>
      </c>
      <c r="V25" s="27" t="s">
        <v>328</v>
      </c>
      <c r="W25" s="27" t="s">
        <v>329</v>
      </c>
      <c r="X25" s="27" t="s">
        <v>231</v>
      </c>
      <c r="Y25" s="27" t="s">
        <v>269</v>
      </c>
      <c r="Z25" s="27" t="s">
        <v>330</v>
      </c>
      <c r="AA25" s="27" t="s">
        <v>211</v>
      </c>
      <c r="AB25" s="27" t="s">
        <v>259</v>
      </c>
      <c r="AC25" s="27" t="s">
        <v>160</v>
      </c>
      <c r="AD25" s="27" t="s">
        <v>160</v>
      </c>
      <c r="AE25" s="27" t="s">
        <v>224</v>
      </c>
      <c r="AF25" s="27" t="s">
        <v>176</v>
      </c>
      <c r="AG25" s="27" t="s">
        <v>163</v>
      </c>
      <c r="AI25" s="179"/>
      <c r="AP25" s="136">
        <v>45306</v>
      </c>
      <c r="AQ25" s="27" t="s">
        <v>65</v>
      </c>
      <c r="AR25" s="27" t="s">
        <v>234</v>
      </c>
      <c r="AT25" s="27" t="str">
        <f t="shared" si="0"/>
        <v>Inactivo</v>
      </c>
      <c r="AU25" s="27" cm="1">
        <f t="array" aca="1" ref="AU25" ca="1">_xlfn.IFS(AT25="","",AT25="Activo",TODAY()-H25,AT25="Inactivo",AP25-H25)</f>
        <v>966</v>
      </c>
      <c r="AV25" s="180">
        <f ca="1">IF(ISBLANK(Tabla1[[#This Row],[Fecha Nacimento (dd/mm/yyyy)]]),"",YEARFRAC(Tabla1[[#This Row],[Fecha Nacimento (dd/mm/yyyy)]],TODAY()))</f>
        <v>31.558333333333334</v>
      </c>
      <c r="AW25" s="141"/>
      <c r="AX25" s="27" t="str">
        <f t="shared" si="1"/>
        <v/>
      </c>
    </row>
    <row r="26" spans="1:50" s="27" customFormat="1" x14ac:dyDescent="0.25">
      <c r="A26" s="134">
        <v>24</v>
      </c>
      <c r="B26" s="27" t="s">
        <v>331</v>
      </c>
      <c r="C26" s="27" t="s">
        <v>332</v>
      </c>
      <c r="D26" s="27" t="s">
        <v>141</v>
      </c>
      <c r="E26" s="400">
        <v>41952820</v>
      </c>
      <c r="F26" s="27" t="s">
        <v>142</v>
      </c>
      <c r="G26" s="27" t="s">
        <v>143</v>
      </c>
      <c r="H26" s="136">
        <v>44340</v>
      </c>
      <c r="I26" s="136"/>
      <c r="J26" s="27" t="s">
        <v>144</v>
      </c>
      <c r="K26" s="140">
        <v>5494506</v>
      </c>
      <c r="L26" s="27" t="s">
        <v>164</v>
      </c>
      <c r="M26" s="27" t="s">
        <v>227</v>
      </c>
      <c r="O26" s="139" t="s">
        <v>333</v>
      </c>
      <c r="Q26" s="27" t="s">
        <v>148</v>
      </c>
      <c r="R26" s="27" t="s">
        <v>149</v>
      </c>
      <c r="S26" s="27" t="s">
        <v>150</v>
      </c>
      <c r="T26" s="27" t="s">
        <v>334</v>
      </c>
      <c r="U26" s="37">
        <v>30090</v>
      </c>
      <c r="V26" s="27" t="s">
        <v>335</v>
      </c>
      <c r="W26" s="27" t="s">
        <v>336</v>
      </c>
      <c r="X26" s="27" t="s">
        <v>231</v>
      </c>
      <c r="Y26" s="27" t="s">
        <v>269</v>
      </c>
      <c r="Z26" s="27" t="s">
        <v>337</v>
      </c>
      <c r="AA26" s="27" t="s">
        <v>211</v>
      </c>
      <c r="AB26" s="27" t="s">
        <v>158</v>
      </c>
      <c r="AC26" s="27" t="s">
        <v>159</v>
      </c>
      <c r="AD26" s="27" t="s">
        <v>338</v>
      </c>
      <c r="AE26" s="27" t="s">
        <v>224</v>
      </c>
      <c r="AF26" s="27" t="s">
        <v>162</v>
      </c>
      <c r="AG26" s="27" t="s">
        <v>163</v>
      </c>
      <c r="AI26" s="179"/>
      <c r="AP26" s="136">
        <v>45306</v>
      </c>
      <c r="AQ26" s="27" t="s">
        <v>65</v>
      </c>
      <c r="AR26" s="27" t="s">
        <v>234</v>
      </c>
      <c r="AT26" s="27" t="str">
        <f t="shared" si="0"/>
        <v>Inactivo</v>
      </c>
      <c r="AU26" s="27" cm="1">
        <f t="array" aca="1" ref="AU26" ca="1">_xlfn.IFS(AT26="","",AT26="Activo",TODAY()-H26,AT26="Inactivo",AP26-H26)</f>
        <v>966</v>
      </c>
      <c r="AV26" s="180">
        <f ca="1">IF(ISBLANK(Tabla1[[#This Row],[Fecha Nacimento (dd/mm/yyyy)]]),"",YEARFRAC(Tabla1[[#This Row],[Fecha Nacimento (dd/mm/yyyy)]],TODAY()))</f>
        <v>42.077777777777776</v>
      </c>
      <c r="AW26" s="141"/>
      <c r="AX26" s="27" t="str">
        <f t="shared" si="1"/>
        <v/>
      </c>
    </row>
    <row r="27" spans="1:50" s="27" customFormat="1" x14ac:dyDescent="0.25">
      <c r="A27" s="134">
        <v>25</v>
      </c>
      <c r="B27" s="27" t="s">
        <v>339</v>
      </c>
      <c r="C27" s="27" t="s">
        <v>340</v>
      </c>
      <c r="D27" s="27" t="s">
        <v>141</v>
      </c>
      <c r="E27" s="400">
        <v>6562960</v>
      </c>
      <c r="F27" s="27" t="s">
        <v>142</v>
      </c>
      <c r="G27" s="27" t="s">
        <v>143</v>
      </c>
      <c r="H27" s="136">
        <v>44348</v>
      </c>
      <c r="I27" s="136"/>
      <c r="J27" s="27" t="s">
        <v>144</v>
      </c>
      <c r="K27" s="137">
        <v>1300000</v>
      </c>
      <c r="L27" s="27" t="s">
        <v>164</v>
      </c>
      <c r="M27" s="27" t="s">
        <v>203</v>
      </c>
      <c r="N27" s="27" t="s">
        <v>145</v>
      </c>
      <c r="Q27" s="27" t="s">
        <v>205</v>
      </c>
      <c r="T27" s="28"/>
      <c r="U27" s="37"/>
      <c r="V27" s="27" t="s">
        <v>341</v>
      </c>
      <c r="W27" s="27" t="s">
        <v>342</v>
      </c>
      <c r="X27" s="27" t="s">
        <v>343</v>
      </c>
      <c r="Y27" s="27" t="s">
        <v>172</v>
      </c>
      <c r="Z27" s="27" t="s">
        <v>223</v>
      </c>
      <c r="AA27" s="27" t="s">
        <v>211</v>
      </c>
      <c r="AB27" s="27" t="s">
        <v>175</v>
      </c>
      <c r="AC27" s="27" t="s">
        <v>160</v>
      </c>
      <c r="AD27" s="27" t="s">
        <v>160</v>
      </c>
      <c r="AE27" s="27" t="s">
        <v>344</v>
      </c>
      <c r="AF27" s="27" t="s">
        <v>176</v>
      </c>
      <c r="AG27" s="27" t="s">
        <v>177</v>
      </c>
      <c r="AH27" s="27" t="s">
        <v>164</v>
      </c>
      <c r="AI27" s="179"/>
      <c r="AJ27" s="27" t="s">
        <v>304</v>
      </c>
      <c r="AK27" s="27" t="s">
        <v>214</v>
      </c>
      <c r="AL27" s="27" t="s">
        <v>214</v>
      </c>
      <c r="AM27" s="27" t="s">
        <v>164</v>
      </c>
      <c r="AN27" s="27" t="s">
        <v>214</v>
      </c>
      <c r="AO27" s="27" t="s">
        <v>214</v>
      </c>
      <c r="AP27" s="136"/>
      <c r="AT27" s="27" t="str">
        <f t="shared" si="0"/>
        <v>Activo</v>
      </c>
      <c r="AU27" s="27" cm="1">
        <f t="array" aca="1" ref="AU27" ca="1">_xlfn.IFS(AT27="","",AT27="Activo",TODAY()-H27,AT27="Inactivo",AP27-H27)</f>
        <v>1112</v>
      </c>
      <c r="AV27" s="180" t="str">
        <f ca="1">IF(ISBLANK(Tabla1[[#This Row],[Fecha Nacimento (dd/mm/yyyy)]]),"",YEARFRAC(Tabla1[[#This Row],[Fecha Nacimento (dd/mm/yyyy)]],TODAY()))</f>
        <v/>
      </c>
      <c r="AW27" s="141"/>
      <c r="AX27" s="27" t="str">
        <f t="shared" si="1"/>
        <v/>
      </c>
    </row>
    <row r="28" spans="1:50" s="27" customFormat="1" x14ac:dyDescent="0.25">
      <c r="A28" s="134">
        <v>26</v>
      </c>
      <c r="B28" s="141" t="s">
        <v>345</v>
      </c>
      <c r="C28" s="141" t="s">
        <v>346</v>
      </c>
      <c r="D28" s="27" t="s">
        <v>141</v>
      </c>
      <c r="E28" s="402">
        <v>18392895</v>
      </c>
      <c r="F28" s="141" t="s">
        <v>142</v>
      </c>
      <c r="G28" s="27" t="s">
        <v>143</v>
      </c>
      <c r="H28" s="142">
        <v>44420</v>
      </c>
      <c r="I28" s="136"/>
      <c r="J28" s="27" t="s">
        <v>144</v>
      </c>
      <c r="K28" s="137">
        <v>1300000</v>
      </c>
      <c r="L28" s="27" t="s">
        <v>164</v>
      </c>
      <c r="M28" s="141" t="s">
        <v>203</v>
      </c>
      <c r="O28" s="145" t="s">
        <v>347</v>
      </c>
      <c r="Q28" s="27" t="s">
        <v>205</v>
      </c>
      <c r="U28" s="181">
        <v>25781</v>
      </c>
      <c r="V28" s="141" t="s">
        <v>348</v>
      </c>
      <c r="W28" s="141" t="s">
        <v>349</v>
      </c>
      <c r="X28" s="141" t="s">
        <v>350</v>
      </c>
      <c r="Y28" s="141" t="s">
        <v>351</v>
      </c>
      <c r="Z28" s="141" t="s">
        <v>352</v>
      </c>
      <c r="AA28" s="141" t="s">
        <v>302</v>
      </c>
      <c r="AB28" s="141" t="s">
        <v>158</v>
      </c>
      <c r="AC28" s="141" t="s">
        <v>159</v>
      </c>
      <c r="AD28" s="141" t="s">
        <v>160</v>
      </c>
      <c r="AE28" s="27" t="s">
        <v>213</v>
      </c>
      <c r="AF28" s="27" t="s">
        <v>176</v>
      </c>
      <c r="AG28" s="27" t="s">
        <v>177</v>
      </c>
      <c r="AH28" s="27" t="s">
        <v>164</v>
      </c>
      <c r="AI28" s="179"/>
      <c r="AJ28" s="27" t="s">
        <v>164</v>
      </c>
      <c r="AK28" s="27" t="s">
        <v>214</v>
      </c>
      <c r="AL28" s="27" t="s">
        <v>214</v>
      </c>
      <c r="AM28" s="27" t="s">
        <v>164</v>
      </c>
      <c r="AN28" s="27" t="s">
        <v>214</v>
      </c>
      <c r="AO28" s="27" t="s">
        <v>214</v>
      </c>
      <c r="AP28" s="136"/>
      <c r="AT28" s="27" t="str">
        <f t="shared" si="0"/>
        <v>Activo</v>
      </c>
      <c r="AU28" s="27" cm="1">
        <f t="array" aca="1" ref="AU28" ca="1">_xlfn.IFS(AT28="","",AT28="Activo",TODAY()-H28,AT28="Inactivo",AP28-H28)</f>
        <v>1040</v>
      </c>
      <c r="AV28" s="180">
        <f ca="1">IF(ISBLANK(Tabla1[[#This Row],[Fecha Nacimento (dd/mm/yyyy)]]),"",YEARFRAC(Tabla1[[#This Row],[Fecha Nacimento (dd/mm/yyyy)]],TODAY()))</f>
        <v>53.87777777777778</v>
      </c>
      <c r="AW28" s="141"/>
      <c r="AX28" s="27" t="str">
        <f t="shared" si="1"/>
        <v/>
      </c>
    </row>
    <row r="29" spans="1:50" s="27" customFormat="1" x14ac:dyDescent="0.25">
      <c r="A29" s="134">
        <v>27</v>
      </c>
      <c r="B29" s="27" t="s">
        <v>353</v>
      </c>
      <c r="C29" s="27" t="s">
        <v>354</v>
      </c>
      <c r="D29" s="27" t="s">
        <v>141</v>
      </c>
      <c r="E29" s="403">
        <v>4377112</v>
      </c>
      <c r="F29" s="27" t="s">
        <v>142</v>
      </c>
      <c r="G29" s="27" t="s">
        <v>143</v>
      </c>
      <c r="H29" s="136">
        <v>44440</v>
      </c>
      <c r="I29" s="136"/>
      <c r="J29" s="27" t="s">
        <v>144</v>
      </c>
      <c r="K29" s="137">
        <v>1300000</v>
      </c>
      <c r="L29" s="27" t="s">
        <v>145</v>
      </c>
      <c r="M29" s="27" t="s">
        <v>355</v>
      </c>
      <c r="N29" s="27" t="s">
        <v>145</v>
      </c>
      <c r="O29" s="146" t="s">
        <v>356</v>
      </c>
      <c r="Q29" s="27" t="s">
        <v>148</v>
      </c>
      <c r="R29" s="27" t="s">
        <v>168</v>
      </c>
      <c r="S29" s="27" t="s">
        <v>150</v>
      </c>
      <c r="T29" s="28" t="s">
        <v>357</v>
      </c>
      <c r="U29" s="37">
        <v>28699</v>
      </c>
      <c r="V29" s="27" t="s">
        <v>358</v>
      </c>
      <c r="W29" s="27">
        <v>3207342670</v>
      </c>
      <c r="X29" s="27" t="s">
        <v>268</v>
      </c>
      <c r="Y29" s="27" t="s">
        <v>359</v>
      </c>
      <c r="Z29" s="27" t="s">
        <v>360</v>
      </c>
      <c r="AA29" s="27" t="s">
        <v>211</v>
      </c>
      <c r="AB29" s="27" t="s">
        <v>158</v>
      </c>
      <c r="AC29" s="135" t="s">
        <v>159</v>
      </c>
      <c r="AD29" s="135" t="s">
        <v>271</v>
      </c>
      <c r="AE29" s="27" t="s">
        <v>272</v>
      </c>
      <c r="AF29" s="27" t="s">
        <v>176</v>
      </c>
      <c r="AG29" s="27" t="s">
        <v>177</v>
      </c>
      <c r="AH29" s="27" t="s">
        <v>145</v>
      </c>
      <c r="AI29" s="179">
        <v>500000</v>
      </c>
      <c r="AJ29" s="27" t="s">
        <v>164</v>
      </c>
      <c r="AK29" s="27" t="s">
        <v>214</v>
      </c>
      <c r="AL29" s="27" t="s">
        <v>214</v>
      </c>
      <c r="AM29" s="27" t="s">
        <v>164</v>
      </c>
      <c r="AN29" s="27" t="s">
        <v>214</v>
      </c>
      <c r="AO29" s="27" t="s">
        <v>164</v>
      </c>
      <c r="AP29" s="136"/>
      <c r="AT29" s="27" t="str">
        <f t="shared" si="0"/>
        <v>Activo</v>
      </c>
      <c r="AU29" s="27" cm="1">
        <f t="array" aca="1" ref="AU29" ca="1">_xlfn.IFS(AT29="","",AT29="Activo",TODAY()-H29,AT29="Inactivo",AP29-H29)</f>
        <v>1020</v>
      </c>
      <c r="AV29" s="180">
        <f ca="1">IF(ISBLANK(Tabla1[[#This Row],[Fecha Nacimento (dd/mm/yyyy)]]),"",YEARFRAC(Tabla1[[#This Row],[Fecha Nacimento (dd/mm/yyyy)]],TODAY()))</f>
        <v>45.886111111111113</v>
      </c>
      <c r="AW29" s="141"/>
      <c r="AX29" s="27" t="str">
        <f t="shared" si="1"/>
        <v/>
      </c>
    </row>
    <row r="30" spans="1:50" s="27" customFormat="1" x14ac:dyDescent="0.25">
      <c r="A30" s="134">
        <v>28</v>
      </c>
      <c r="B30" s="27" t="s">
        <v>361</v>
      </c>
      <c r="C30" s="27" t="s">
        <v>362</v>
      </c>
      <c r="D30" s="27" t="s">
        <v>363</v>
      </c>
      <c r="E30" s="400">
        <v>1257482</v>
      </c>
      <c r="F30" s="27" t="s">
        <v>142</v>
      </c>
      <c r="G30" s="27" t="s">
        <v>143</v>
      </c>
      <c r="H30" s="136">
        <v>44805</v>
      </c>
      <c r="I30" s="136"/>
      <c r="J30" s="27" t="s">
        <v>144</v>
      </c>
      <c r="K30" s="137">
        <v>1300000</v>
      </c>
      <c r="L30" s="27" t="s">
        <v>145</v>
      </c>
      <c r="M30" s="27" t="s">
        <v>203</v>
      </c>
      <c r="N30" s="27" t="s">
        <v>145</v>
      </c>
      <c r="O30" s="139" t="s">
        <v>364</v>
      </c>
      <c r="Q30" s="27" t="s">
        <v>148</v>
      </c>
      <c r="R30" s="27" t="s">
        <v>149</v>
      </c>
      <c r="S30" s="27" t="s">
        <v>150</v>
      </c>
      <c r="T30" s="27" t="s">
        <v>365</v>
      </c>
      <c r="U30" s="37">
        <v>34547</v>
      </c>
      <c r="V30" s="27" t="s">
        <v>366</v>
      </c>
      <c r="W30" s="27" t="s">
        <v>217</v>
      </c>
      <c r="X30" s="27" t="s">
        <v>268</v>
      </c>
      <c r="Y30" s="27" t="s">
        <v>367</v>
      </c>
      <c r="Z30" s="27" t="s">
        <v>368</v>
      </c>
      <c r="AA30" s="27" t="s">
        <v>211</v>
      </c>
      <c r="AB30" s="27" t="s">
        <v>175</v>
      </c>
      <c r="AC30" s="27" t="s">
        <v>160</v>
      </c>
      <c r="AD30" s="27" t="s">
        <v>160</v>
      </c>
      <c r="AE30" s="27" t="s">
        <v>272</v>
      </c>
      <c r="AF30" s="27" t="s">
        <v>176</v>
      </c>
      <c r="AG30" s="27" t="s">
        <v>177</v>
      </c>
      <c r="AH30" s="27" t="s">
        <v>164</v>
      </c>
      <c r="AI30" s="179"/>
      <c r="AJ30" s="27" t="s">
        <v>164</v>
      </c>
      <c r="AK30" s="27" t="s">
        <v>214</v>
      </c>
      <c r="AL30" s="27" t="s">
        <v>214</v>
      </c>
      <c r="AM30" s="27" t="s">
        <v>164</v>
      </c>
      <c r="AN30" s="27" t="s">
        <v>214</v>
      </c>
      <c r="AO30" s="27" t="s">
        <v>164</v>
      </c>
      <c r="AP30" s="136"/>
      <c r="AT30" s="27" t="str">
        <f t="shared" si="0"/>
        <v>Activo</v>
      </c>
      <c r="AU30" s="27" cm="1">
        <f t="array" aca="1" ref="AU30" ca="1">_xlfn.IFS(AT30="","",AT30="Activo",TODAY()-H30,AT30="Inactivo",AP30-H30)</f>
        <v>655</v>
      </c>
      <c r="AV30" s="180">
        <f ca="1">IF(ISBLANK(Tabla1[[#This Row],[Fecha Nacimento (dd/mm/yyyy)]]),"",YEARFRAC(Tabla1[[#This Row],[Fecha Nacimento (dd/mm/yyyy)]],TODAY()))</f>
        <v>29.877777777777776</v>
      </c>
      <c r="AW30" s="141"/>
      <c r="AX30" s="27" t="str">
        <f t="shared" si="1"/>
        <v/>
      </c>
    </row>
    <row r="31" spans="1:50" s="27" customFormat="1" x14ac:dyDescent="0.25">
      <c r="A31" s="134">
        <v>29</v>
      </c>
      <c r="B31" s="27" t="s">
        <v>369</v>
      </c>
      <c r="C31" s="27" t="s">
        <v>370</v>
      </c>
      <c r="D31" s="27" t="s">
        <v>141</v>
      </c>
      <c r="E31" s="400">
        <v>1098307200</v>
      </c>
      <c r="F31" s="27" t="s">
        <v>142</v>
      </c>
      <c r="G31" s="27" t="s">
        <v>143</v>
      </c>
      <c r="H31" s="136">
        <v>44440</v>
      </c>
      <c r="I31" s="136"/>
      <c r="J31" s="27" t="s">
        <v>144</v>
      </c>
      <c r="K31" s="137">
        <v>1300000</v>
      </c>
      <c r="L31" s="27" t="s">
        <v>145</v>
      </c>
      <c r="M31" s="27" t="s">
        <v>355</v>
      </c>
      <c r="N31" s="27" t="s">
        <v>145</v>
      </c>
      <c r="O31" s="27" t="s">
        <v>217</v>
      </c>
      <c r="Q31" s="27" t="s">
        <v>148</v>
      </c>
      <c r="R31" s="27" t="s">
        <v>371</v>
      </c>
      <c r="S31" s="27" t="s">
        <v>150</v>
      </c>
      <c r="T31" s="27" t="s">
        <v>372</v>
      </c>
      <c r="U31" s="37">
        <v>32127</v>
      </c>
      <c r="V31" s="27" t="s">
        <v>373</v>
      </c>
      <c r="W31" s="27" t="s">
        <v>374</v>
      </c>
      <c r="X31" s="27" t="s">
        <v>268</v>
      </c>
      <c r="Y31" s="27" t="s">
        <v>367</v>
      </c>
      <c r="Z31" s="27" t="s">
        <v>368</v>
      </c>
      <c r="AA31" s="27" t="s">
        <v>211</v>
      </c>
      <c r="AB31" s="27" t="s">
        <v>175</v>
      </c>
      <c r="AC31" s="27" t="s">
        <v>160</v>
      </c>
      <c r="AD31" s="27" t="s">
        <v>271</v>
      </c>
      <c r="AE31" s="27" t="s">
        <v>272</v>
      </c>
      <c r="AF31" s="27" t="s">
        <v>162</v>
      </c>
      <c r="AG31" s="27" t="s">
        <v>177</v>
      </c>
      <c r="AH31" s="27" t="s">
        <v>145</v>
      </c>
      <c r="AI31" s="179">
        <v>100000</v>
      </c>
      <c r="AJ31" s="27" t="s">
        <v>164</v>
      </c>
      <c r="AK31" s="27" t="s">
        <v>214</v>
      </c>
      <c r="AL31" s="27" t="s">
        <v>214</v>
      </c>
      <c r="AM31" s="27" t="s">
        <v>164</v>
      </c>
      <c r="AN31" s="27" t="s">
        <v>214</v>
      </c>
      <c r="AO31" s="27" t="s">
        <v>164</v>
      </c>
      <c r="AP31" s="136"/>
      <c r="AT31" s="27" t="str">
        <f t="shared" si="0"/>
        <v>Activo</v>
      </c>
      <c r="AU31" s="27" cm="1">
        <f t="array" aca="1" ref="AU31" ca="1">_xlfn.IFS(AT31="","",AT31="Activo",TODAY()-H31,AT31="Inactivo",AP31-H31)</f>
        <v>1020</v>
      </c>
      <c r="AV31" s="180">
        <f ca="1">IF(ISBLANK(Tabla1[[#This Row],[Fecha Nacimento (dd/mm/yyyy)]]),"",YEARFRAC(Tabla1[[#This Row],[Fecha Nacimento (dd/mm/yyyy)]],TODAY()))</f>
        <v>36.50277777777778</v>
      </c>
      <c r="AW31" s="141"/>
      <c r="AX31" s="27" t="str">
        <f t="shared" si="1"/>
        <v/>
      </c>
    </row>
    <row r="32" spans="1:50" s="27" customFormat="1" x14ac:dyDescent="0.25">
      <c r="A32" s="134">
        <v>30</v>
      </c>
      <c r="B32" s="27" t="s">
        <v>375</v>
      </c>
      <c r="C32" s="27" t="s">
        <v>376</v>
      </c>
      <c r="D32" s="27" t="s">
        <v>141</v>
      </c>
      <c r="E32" s="400">
        <v>89001007</v>
      </c>
      <c r="F32" s="27" t="s">
        <v>142</v>
      </c>
      <c r="G32" s="27" t="s">
        <v>143</v>
      </c>
      <c r="H32" s="136">
        <v>44440</v>
      </c>
      <c r="I32" s="136"/>
      <c r="J32" s="27" t="s">
        <v>144</v>
      </c>
      <c r="K32" s="137">
        <v>1300000</v>
      </c>
      <c r="L32" s="27" t="s">
        <v>145</v>
      </c>
      <c r="M32" s="27" t="s">
        <v>203</v>
      </c>
      <c r="N32" s="27" t="s">
        <v>145</v>
      </c>
      <c r="O32" s="27" t="s">
        <v>217</v>
      </c>
      <c r="Q32" s="27" t="s">
        <v>148</v>
      </c>
      <c r="R32" s="27" t="s">
        <v>377</v>
      </c>
      <c r="S32" s="27" t="s">
        <v>150</v>
      </c>
      <c r="T32" s="27" t="s">
        <v>378</v>
      </c>
      <c r="U32" s="37">
        <v>27211</v>
      </c>
      <c r="V32" s="27" t="s">
        <v>379</v>
      </c>
      <c r="W32" s="27" t="s">
        <v>380</v>
      </c>
      <c r="X32" s="27" t="s">
        <v>268</v>
      </c>
      <c r="Y32" s="27" t="s">
        <v>367</v>
      </c>
      <c r="Z32" s="27" t="s">
        <v>368</v>
      </c>
      <c r="AA32" s="27" t="s">
        <v>211</v>
      </c>
      <c r="AB32" s="27" t="s">
        <v>158</v>
      </c>
      <c r="AC32" s="27" t="s">
        <v>160</v>
      </c>
      <c r="AD32" s="27" t="s">
        <v>271</v>
      </c>
      <c r="AE32" s="27" t="s">
        <v>272</v>
      </c>
      <c r="AF32" s="27" t="s">
        <v>176</v>
      </c>
      <c r="AG32" s="27" t="s">
        <v>177</v>
      </c>
      <c r="AH32" s="27" t="s">
        <v>145</v>
      </c>
      <c r="AI32" s="179">
        <v>600000</v>
      </c>
      <c r="AJ32" s="27" t="s">
        <v>164</v>
      </c>
      <c r="AK32" s="27" t="s">
        <v>214</v>
      </c>
      <c r="AL32" s="27" t="s">
        <v>214</v>
      </c>
      <c r="AM32" s="27" t="s">
        <v>164</v>
      </c>
      <c r="AN32" s="27" t="s">
        <v>214</v>
      </c>
      <c r="AO32" s="27" t="s">
        <v>164</v>
      </c>
      <c r="AP32" s="136"/>
      <c r="AT32" s="27" t="str">
        <f t="shared" si="0"/>
        <v>Activo</v>
      </c>
      <c r="AU32" s="27" cm="1">
        <f t="array" aca="1" ref="AU32" ca="1">_xlfn.IFS(AT32="","",AT32="Activo",TODAY()-H32,AT32="Inactivo",AP32-H32)</f>
        <v>1020</v>
      </c>
      <c r="AV32" s="180">
        <f ca="1">IF(ISBLANK(Tabla1[[#This Row],[Fecha Nacimento (dd/mm/yyyy)]]),"",YEARFRAC(Tabla1[[#This Row],[Fecha Nacimento (dd/mm/yyyy)]],TODAY()))</f>
        <v>49.961111111111109</v>
      </c>
      <c r="AW32" s="141"/>
      <c r="AX32" s="27" t="str">
        <f t="shared" si="1"/>
        <v/>
      </c>
    </row>
    <row r="33" spans="1:50" s="27" customFormat="1" x14ac:dyDescent="0.25">
      <c r="A33" s="134">
        <v>31</v>
      </c>
      <c r="B33" s="27" t="s">
        <v>381</v>
      </c>
      <c r="C33" s="27" t="s">
        <v>382</v>
      </c>
      <c r="D33" s="27" t="s">
        <v>141</v>
      </c>
      <c r="E33" s="400">
        <v>41941594</v>
      </c>
      <c r="F33" s="27" t="s">
        <v>142</v>
      </c>
      <c r="G33" s="27" t="s">
        <v>143</v>
      </c>
      <c r="H33" s="136">
        <v>44440</v>
      </c>
      <c r="I33" s="136"/>
      <c r="J33" s="27" t="s">
        <v>144</v>
      </c>
      <c r="K33" s="137">
        <v>1300000</v>
      </c>
      <c r="L33" s="27" t="s">
        <v>145</v>
      </c>
      <c r="M33" s="27" t="s">
        <v>203</v>
      </c>
      <c r="N33" s="27" t="s">
        <v>145</v>
      </c>
      <c r="O33" s="27" t="s">
        <v>217</v>
      </c>
      <c r="Q33" s="27" t="s">
        <v>148</v>
      </c>
      <c r="R33" s="27" t="s">
        <v>371</v>
      </c>
      <c r="S33" s="27" t="s">
        <v>150</v>
      </c>
      <c r="T33" s="27" t="s">
        <v>383</v>
      </c>
      <c r="U33" s="37">
        <v>27655</v>
      </c>
      <c r="V33" s="27" t="s">
        <v>384</v>
      </c>
      <c r="W33" s="27" t="s">
        <v>217</v>
      </c>
      <c r="X33" s="27" t="s">
        <v>268</v>
      </c>
      <c r="Y33" s="27" t="s">
        <v>367</v>
      </c>
      <c r="Z33" s="27" t="s">
        <v>368</v>
      </c>
      <c r="AA33" s="27" t="s">
        <v>211</v>
      </c>
      <c r="AB33" s="27" t="s">
        <v>175</v>
      </c>
      <c r="AC33" s="27" t="s">
        <v>271</v>
      </c>
      <c r="AD33" s="27" t="s">
        <v>271</v>
      </c>
      <c r="AE33" s="27" t="s">
        <v>272</v>
      </c>
      <c r="AF33" s="27" t="s">
        <v>162</v>
      </c>
      <c r="AG33" s="27" t="s">
        <v>177</v>
      </c>
      <c r="AH33" s="27" t="s">
        <v>164</v>
      </c>
      <c r="AI33" s="179"/>
      <c r="AJ33" s="27" t="s">
        <v>164</v>
      </c>
      <c r="AK33" s="27" t="s">
        <v>214</v>
      </c>
      <c r="AL33" s="27" t="s">
        <v>214</v>
      </c>
      <c r="AM33" s="27" t="s">
        <v>164</v>
      </c>
      <c r="AN33" s="27" t="s">
        <v>214</v>
      </c>
      <c r="AO33" s="27" t="s">
        <v>164</v>
      </c>
      <c r="AP33" s="136"/>
      <c r="AT33" s="27" t="str">
        <f t="shared" si="0"/>
        <v>Activo</v>
      </c>
      <c r="AU33" s="27" cm="1">
        <f t="array" aca="1" ref="AU33" ca="1">_xlfn.IFS(AT33="","",AT33="Activo",TODAY()-H33,AT33="Inactivo",AP33-H33)</f>
        <v>1020</v>
      </c>
      <c r="AV33" s="180">
        <f ca="1">IF(ISBLANK(Tabla1[[#This Row],[Fecha Nacimento (dd/mm/yyyy)]]),"",YEARFRAC(Tabla1[[#This Row],[Fecha Nacimento (dd/mm/yyyy)]],TODAY()))</f>
        <v>48.74722222222222</v>
      </c>
      <c r="AW33" s="141"/>
      <c r="AX33" s="27" t="str">
        <f t="shared" si="1"/>
        <v/>
      </c>
    </row>
    <row r="34" spans="1:50" s="27" customFormat="1" x14ac:dyDescent="0.25">
      <c r="A34" s="134">
        <v>32</v>
      </c>
      <c r="B34" s="27" t="s">
        <v>385</v>
      </c>
      <c r="C34" s="27" t="s">
        <v>386</v>
      </c>
      <c r="D34" s="27" t="s">
        <v>141</v>
      </c>
      <c r="E34" s="400">
        <v>24605897</v>
      </c>
      <c r="F34" s="27" t="s">
        <v>142</v>
      </c>
      <c r="G34" s="27" t="s">
        <v>143</v>
      </c>
      <c r="H34" s="136">
        <v>44440</v>
      </c>
      <c r="I34" s="136"/>
      <c r="J34" s="27" t="s">
        <v>144</v>
      </c>
      <c r="K34" s="137">
        <v>1300000</v>
      </c>
      <c r="L34" s="27" t="s">
        <v>145</v>
      </c>
      <c r="M34" s="27" t="s">
        <v>203</v>
      </c>
      <c r="N34" s="27" t="s">
        <v>145</v>
      </c>
      <c r="O34" s="27" t="s">
        <v>217</v>
      </c>
      <c r="Q34" s="27" t="s">
        <v>148</v>
      </c>
      <c r="R34" s="27" t="s">
        <v>377</v>
      </c>
      <c r="S34" s="27" t="s">
        <v>150</v>
      </c>
      <c r="T34" s="27" t="s">
        <v>387</v>
      </c>
      <c r="U34" s="37">
        <v>29403</v>
      </c>
      <c r="V34" s="27" t="s">
        <v>388</v>
      </c>
      <c r="W34" s="27" t="s">
        <v>389</v>
      </c>
      <c r="X34" s="27" t="s">
        <v>268</v>
      </c>
      <c r="Y34" s="27" t="s">
        <v>367</v>
      </c>
      <c r="Z34" s="27" t="s">
        <v>368</v>
      </c>
      <c r="AA34" s="27" t="s">
        <v>211</v>
      </c>
      <c r="AB34" s="27" t="s">
        <v>158</v>
      </c>
      <c r="AC34" s="27" t="s">
        <v>160</v>
      </c>
      <c r="AD34" s="27" t="s">
        <v>271</v>
      </c>
      <c r="AE34" s="27" t="s">
        <v>272</v>
      </c>
      <c r="AF34" s="27" t="s">
        <v>162</v>
      </c>
      <c r="AG34" s="27" t="s">
        <v>177</v>
      </c>
      <c r="AH34" s="27" t="s">
        <v>164</v>
      </c>
      <c r="AI34" s="179"/>
      <c r="AJ34" s="27" t="s">
        <v>164</v>
      </c>
      <c r="AK34" s="27" t="s">
        <v>214</v>
      </c>
      <c r="AL34" s="27" t="s">
        <v>214</v>
      </c>
      <c r="AM34" s="27" t="s">
        <v>164</v>
      </c>
      <c r="AN34" s="27" t="s">
        <v>214</v>
      </c>
      <c r="AO34" s="27" t="s">
        <v>164</v>
      </c>
      <c r="AP34" s="136"/>
      <c r="AT34" s="27" t="str">
        <f t="shared" si="0"/>
        <v>Activo</v>
      </c>
      <c r="AU34" s="27" cm="1">
        <f t="array" aca="1" ref="AU34" ca="1">_xlfn.IFS(AT34="","",AT34="Activo",TODAY()-H34,AT34="Inactivo",AP34-H34)</f>
        <v>1020</v>
      </c>
      <c r="AV34" s="180">
        <f ca="1">IF(ISBLANK(Tabla1[[#This Row],[Fecha Nacimento (dd/mm/yyyy)]]),"",YEARFRAC(Tabla1[[#This Row],[Fecha Nacimento (dd/mm/yyyy)]],TODAY()))</f>
        <v>43.961111111111109</v>
      </c>
      <c r="AW34" s="141"/>
      <c r="AX34" s="27" t="str">
        <f t="shared" si="1"/>
        <v/>
      </c>
    </row>
    <row r="35" spans="1:50" s="27" customFormat="1" x14ac:dyDescent="0.25">
      <c r="A35" s="134">
        <v>33</v>
      </c>
      <c r="B35" s="27" t="s">
        <v>390</v>
      </c>
      <c r="C35" s="27" t="s">
        <v>391</v>
      </c>
      <c r="D35" s="27" t="s">
        <v>141</v>
      </c>
      <c r="E35" s="400">
        <v>9733387</v>
      </c>
      <c r="F35" s="27" t="s">
        <v>142</v>
      </c>
      <c r="G35" s="27" t="s">
        <v>143</v>
      </c>
      <c r="H35" s="136">
        <v>44440</v>
      </c>
      <c r="I35" s="136"/>
      <c r="J35" s="27" t="s">
        <v>144</v>
      </c>
      <c r="K35" s="137">
        <v>1300000</v>
      </c>
      <c r="L35" s="27" t="s">
        <v>145</v>
      </c>
      <c r="M35" s="27" t="s">
        <v>203</v>
      </c>
      <c r="N35" s="27" t="s">
        <v>145</v>
      </c>
      <c r="O35" s="139" t="s">
        <v>392</v>
      </c>
      <c r="Q35" s="27" t="s">
        <v>148</v>
      </c>
      <c r="R35" s="27" t="s">
        <v>371</v>
      </c>
      <c r="S35" s="27" t="s">
        <v>150</v>
      </c>
      <c r="T35" s="27" t="s">
        <v>393</v>
      </c>
      <c r="U35" s="37">
        <v>29166</v>
      </c>
      <c r="V35" s="27" t="s">
        <v>394</v>
      </c>
      <c r="W35" s="27" t="s">
        <v>393</v>
      </c>
      <c r="X35" s="27" t="s">
        <v>268</v>
      </c>
      <c r="Y35" s="27" t="s">
        <v>367</v>
      </c>
      <c r="Z35" s="27" t="s">
        <v>368</v>
      </c>
      <c r="AA35" s="27" t="s">
        <v>211</v>
      </c>
      <c r="AB35" s="27" t="s">
        <v>175</v>
      </c>
      <c r="AC35" s="27" t="s">
        <v>271</v>
      </c>
      <c r="AD35" s="27" t="s">
        <v>271</v>
      </c>
      <c r="AE35" s="27" t="s">
        <v>272</v>
      </c>
      <c r="AF35" s="27" t="s">
        <v>176</v>
      </c>
      <c r="AG35" s="27" t="s">
        <v>177</v>
      </c>
      <c r="AH35" s="27" t="s">
        <v>164</v>
      </c>
      <c r="AI35" s="179"/>
      <c r="AJ35" s="27" t="s">
        <v>164</v>
      </c>
      <c r="AK35" s="27" t="s">
        <v>214</v>
      </c>
      <c r="AL35" s="27" t="s">
        <v>214</v>
      </c>
      <c r="AM35" s="27" t="s">
        <v>164</v>
      </c>
      <c r="AN35" s="27" t="s">
        <v>214</v>
      </c>
      <c r="AO35" s="27" t="s">
        <v>164</v>
      </c>
      <c r="AP35" s="136"/>
      <c r="AT35" s="27" t="str">
        <f t="shared" si="0"/>
        <v>Activo</v>
      </c>
      <c r="AU35" s="27" cm="1">
        <f t="array" aca="1" ref="AU35" ca="1">_xlfn.IFS(AT35="","",AT35="Activo",TODAY()-H35,AT35="Inactivo",AP35-H35)</f>
        <v>1020</v>
      </c>
      <c r="AV35" s="180">
        <f ca="1">IF(ISBLANK(Tabla1[[#This Row],[Fecha Nacimento (dd/mm/yyyy)]]),"",YEARFRAC(Tabla1[[#This Row],[Fecha Nacimento (dd/mm/yyyy)]],TODAY()))</f>
        <v>44.611111111111114</v>
      </c>
      <c r="AW35" s="141"/>
      <c r="AX35" s="27" t="str">
        <f t="shared" si="1"/>
        <v/>
      </c>
    </row>
    <row r="36" spans="1:50" s="27" customFormat="1" x14ac:dyDescent="0.25">
      <c r="A36" s="134">
        <v>34</v>
      </c>
      <c r="B36" s="27" t="s">
        <v>395</v>
      </c>
      <c r="C36" s="27" t="s">
        <v>396</v>
      </c>
      <c r="D36" s="27" t="s">
        <v>141</v>
      </c>
      <c r="E36" s="400">
        <v>9733231</v>
      </c>
      <c r="F36" s="27" t="s">
        <v>142</v>
      </c>
      <c r="G36" s="27" t="s">
        <v>143</v>
      </c>
      <c r="H36" s="136">
        <v>44440</v>
      </c>
      <c r="I36" s="136"/>
      <c r="J36" s="27" t="s">
        <v>144</v>
      </c>
      <c r="K36" s="137">
        <v>1300000</v>
      </c>
      <c r="L36" s="27" t="s">
        <v>145</v>
      </c>
      <c r="M36" s="27" t="s">
        <v>203</v>
      </c>
      <c r="N36" s="27" t="s">
        <v>145</v>
      </c>
      <c r="O36" s="139" t="s">
        <v>397</v>
      </c>
      <c r="Q36" s="27" t="s">
        <v>148</v>
      </c>
      <c r="R36" s="27" t="s">
        <v>377</v>
      </c>
      <c r="S36" s="27" t="s">
        <v>150</v>
      </c>
      <c r="T36" s="27" t="s">
        <v>398</v>
      </c>
      <c r="U36" s="37">
        <v>29081</v>
      </c>
      <c r="V36" s="27" t="s">
        <v>399</v>
      </c>
      <c r="W36" s="27" t="s">
        <v>400</v>
      </c>
      <c r="X36" s="27" t="s">
        <v>268</v>
      </c>
      <c r="Y36" s="27" t="s">
        <v>401</v>
      </c>
      <c r="Z36" s="27" t="s">
        <v>402</v>
      </c>
      <c r="AA36" s="27" t="s">
        <v>211</v>
      </c>
      <c r="AB36" s="27" t="s">
        <v>158</v>
      </c>
      <c r="AC36" s="27" t="s">
        <v>271</v>
      </c>
      <c r="AD36" s="27" t="s">
        <v>271</v>
      </c>
      <c r="AE36" s="27" t="s">
        <v>272</v>
      </c>
      <c r="AF36" s="27" t="s">
        <v>176</v>
      </c>
      <c r="AG36" s="27" t="s">
        <v>177</v>
      </c>
      <c r="AH36" s="27" t="s">
        <v>164</v>
      </c>
      <c r="AI36" s="179"/>
      <c r="AJ36" s="27" t="s">
        <v>164</v>
      </c>
      <c r="AK36" s="27" t="s">
        <v>214</v>
      </c>
      <c r="AL36" s="27" t="s">
        <v>214</v>
      </c>
      <c r="AM36" s="27" t="s">
        <v>164</v>
      </c>
      <c r="AN36" s="27" t="s">
        <v>214</v>
      </c>
      <c r="AO36" s="27" t="s">
        <v>164</v>
      </c>
      <c r="AP36" s="136"/>
      <c r="AT36" s="27" t="str">
        <f t="shared" si="0"/>
        <v>Activo</v>
      </c>
      <c r="AU36" s="27" cm="1">
        <f t="array" aca="1" ref="AU36" ca="1">_xlfn.IFS(AT36="","",AT36="Activo",TODAY()-H36,AT36="Inactivo",AP36-H36)</f>
        <v>1020</v>
      </c>
      <c r="AV36" s="180">
        <f ca="1">IF(ISBLANK(Tabla1[[#This Row],[Fecha Nacimento (dd/mm/yyyy)]]),"",YEARFRAC(Tabla1[[#This Row],[Fecha Nacimento (dd/mm/yyyy)]],TODAY()))</f>
        <v>44.841666666666669</v>
      </c>
      <c r="AW36" s="141"/>
      <c r="AX36" s="27" t="str">
        <f t="shared" si="1"/>
        <v/>
      </c>
    </row>
    <row r="37" spans="1:50" s="27" customFormat="1" x14ac:dyDescent="0.25">
      <c r="A37" s="134">
        <v>35</v>
      </c>
      <c r="B37" s="27" t="s">
        <v>403</v>
      </c>
      <c r="C37" s="27" t="s">
        <v>404</v>
      </c>
      <c r="D37" s="27" t="s">
        <v>141</v>
      </c>
      <c r="E37" s="400">
        <v>7551055</v>
      </c>
      <c r="F37" s="27" t="s">
        <v>142</v>
      </c>
      <c r="G37" s="27" t="s">
        <v>143</v>
      </c>
      <c r="H37" s="136">
        <v>44440</v>
      </c>
      <c r="I37" s="136"/>
      <c r="J37" s="27" t="s">
        <v>144</v>
      </c>
      <c r="K37" s="137">
        <v>1300000</v>
      </c>
      <c r="L37" s="27" t="s">
        <v>145</v>
      </c>
      <c r="M37" s="27" t="s">
        <v>203</v>
      </c>
      <c r="N37" s="27" t="s">
        <v>145</v>
      </c>
      <c r="O37" s="139" t="s">
        <v>405</v>
      </c>
      <c r="Q37" s="27" t="s">
        <v>148</v>
      </c>
      <c r="R37" s="27" t="s">
        <v>377</v>
      </c>
      <c r="S37" s="27" t="s">
        <v>150</v>
      </c>
      <c r="T37" s="27" t="s">
        <v>406</v>
      </c>
      <c r="U37" s="37">
        <v>24374</v>
      </c>
      <c r="V37" s="27" t="s">
        <v>407</v>
      </c>
      <c r="W37" s="27" t="s">
        <v>408</v>
      </c>
      <c r="X37" s="27" t="s">
        <v>268</v>
      </c>
      <c r="Y37" s="27" t="s">
        <v>367</v>
      </c>
      <c r="Z37" s="27" t="s">
        <v>368</v>
      </c>
      <c r="AA37" s="27" t="s">
        <v>211</v>
      </c>
      <c r="AB37" s="27" t="s">
        <v>158</v>
      </c>
      <c r="AC37" s="27" t="s">
        <v>160</v>
      </c>
      <c r="AD37" s="27" t="s">
        <v>271</v>
      </c>
      <c r="AE37" s="27" t="s">
        <v>272</v>
      </c>
      <c r="AF37" s="27" t="s">
        <v>176</v>
      </c>
      <c r="AG37" s="27" t="s">
        <v>177</v>
      </c>
      <c r="AH37" s="27" t="s">
        <v>164</v>
      </c>
      <c r="AI37" s="179"/>
      <c r="AJ37" s="27" t="s">
        <v>164</v>
      </c>
      <c r="AK37" s="27" t="s">
        <v>214</v>
      </c>
      <c r="AL37" s="27" t="s">
        <v>214</v>
      </c>
      <c r="AM37" s="27" t="s">
        <v>164</v>
      </c>
      <c r="AN37" s="27" t="s">
        <v>214</v>
      </c>
      <c r="AO37" s="27" t="s">
        <v>164</v>
      </c>
      <c r="AP37" s="136"/>
      <c r="AT37" s="27" t="str">
        <f t="shared" si="0"/>
        <v>Activo</v>
      </c>
      <c r="AU37" s="27" cm="1">
        <f t="array" aca="1" ref="AU37" ca="1">_xlfn.IFS(AT37="","",AT37="Activo",TODAY()-H37,AT37="Inactivo",AP37-H37)</f>
        <v>1020</v>
      </c>
      <c r="AV37" s="180">
        <f ca="1">IF(ISBLANK(Tabla1[[#This Row],[Fecha Nacimento (dd/mm/yyyy)]]),"",YEARFRAC(Tabla1[[#This Row],[Fecha Nacimento (dd/mm/yyyy)]],TODAY()))</f>
        <v>57.730555555555554</v>
      </c>
      <c r="AW37" s="141"/>
      <c r="AX37" s="27" t="str">
        <f t="shared" si="1"/>
        <v/>
      </c>
    </row>
    <row r="38" spans="1:50" s="27" customFormat="1" x14ac:dyDescent="0.25">
      <c r="A38" s="134">
        <v>36</v>
      </c>
      <c r="B38" s="27" t="s">
        <v>409</v>
      </c>
      <c r="C38" s="27" t="s">
        <v>226</v>
      </c>
      <c r="D38" s="27" t="s">
        <v>141</v>
      </c>
      <c r="E38" s="400">
        <v>94232191</v>
      </c>
      <c r="F38" s="27" t="s">
        <v>142</v>
      </c>
      <c r="G38" s="27" t="s">
        <v>143</v>
      </c>
      <c r="H38" s="136">
        <v>44475</v>
      </c>
      <c r="I38" s="136"/>
      <c r="J38" s="27" t="s">
        <v>144</v>
      </c>
      <c r="K38" s="137">
        <v>1300000</v>
      </c>
      <c r="L38" s="27" t="s">
        <v>145</v>
      </c>
      <c r="M38" s="27" t="s">
        <v>227</v>
      </c>
      <c r="O38" s="27" t="s">
        <v>217</v>
      </c>
      <c r="Q38" s="27" t="s">
        <v>148</v>
      </c>
      <c r="R38" s="27" t="s">
        <v>149</v>
      </c>
      <c r="S38" s="27" t="s">
        <v>150</v>
      </c>
      <c r="T38" s="27" t="s">
        <v>410</v>
      </c>
      <c r="U38" s="37">
        <v>29931</v>
      </c>
      <c r="V38" s="27" t="s">
        <v>411</v>
      </c>
      <c r="W38" s="27" t="s">
        <v>412</v>
      </c>
      <c r="X38" s="27" t="s">
        <v>231</v>
      </c>
      <c r="Y38" s="27" t="s">
        <v>222</v>
      </c>
      <c r="Z38" s="27" t="s">
        <v>223</v>
      </c>
      <c r="AA38" s="27" t="s">
        <v>211</v>
      </c>
      <c r="AB38" s="27" t="s">
        <v>175</v>
      </c>
      <c r="AC38" s="27" t="s">
        <v>160</v>
      </c>
      <c r="AD38" s="27" t="s">
        <v>160</v>
      </c>
      <c r="AE38" s="27" t="s">
        <v>224</v>
      </c>
      <c r="AF38" s="27" t="s">
        <v>176</v>
      </c>
      <c r="AG38" s="27" t="s">
        <v>177</v>
      </c>
      <c r="AI38" s="179"/>
      <c r="AP38" s="136">
        <v>45306</v>
      </c>
      <c r="AQ38" s="27" t="s">
        <v>65</v>
      </c>
      <c r="AR38" s="27" t="s">
        <v>234</v>
      </c>
      <c r="AT38" s="27" t="str">
        <f t="shared" si="0"/>
        <v>Inactivo</v>
      </c>
      <c r="AU38" s="27" cm="1">
        <f t="array" aca="1" ref="AU38" ca="1">_xlfn.IFS(AT38="","",AT38="Activo",TODAY()-H38,AT38="Inactivo",AP38-H38)</f>
        <v>831</v>
      </c>
      <c r="AV38" s="180">
        <f ca="1">IF(ISBLANK(Tabla1[[#This Row],[Fecha Nacimento (dd/mm/yyyy)]]),"",YEARFRAC(Tabla1[[#This Row],[Fecha Nacimento (dd/mm/yyyy)]],TODAY()))</f>
        <v>42.516666666666666</v>
      </c>
      <c r="AW38" s="141"/>
      <c r="AX38" s="27" t="str">
        <f t="shared" si="1"/>
        <v/>
      </c>
    </row>
    <row r="39" spans="1:50" s="27" customFormat="1" x14ac:dyDescent="0.25">
      <c r="A39" s="134">
        <v>37</v>
      </c>
      <c r="B39" s="27" t="s">
        <v>413</v>
      </c>
      <c r="C39" s="27" t="s">
        <v>226</v>
      </c>
      <c r="D39" s="27" t="s">
        <v>141</v>
      </c>
      <c r="E39" s="400">
        <v>94227092</v>
      </c>
      <c r="F39" s="27" t="s">
        <v>142</v>
      </c>
      <c r="G39" s="27" t="s">
        <v>143</v>
      </c>
      <c r="H39" s="136">
        <v>44478</v>
      </c>
      <c r="I39" s="136"/>
      <c r="J39" s="27" t="s">
        <v>144</v>
      </c>
      <c r="K39" s="137">
        <v>1300000</v>
      </c>
      <c r="L39" s="27" t="s">
        <v>145</v>
      </c>
      <c r="M39" s="27" t="s">
        <v>227</v>
      </c>
      <c r="O39" s="27" t="s">
        <v>217</v>
      </c>
      <c r="Q39" s="27" t="s">
        <v>148</v>
      </c>
      <c r="R39" s="27" t="s">
        <v>149</v>
      </c>
      <c r="S39" s="27" t="s">
        <v>150</v>
      </c>
      <c r="T39" s="27" t="s">
        <v>414</v>
      </c>
      <c r="U39" s="37">
        <v>25083</v>
      </c>
      <c r="V39" s="27" t="s">
        <v>238</v>
      </c>
      <c r="W39" s="27" t="s">
        <v>415</v>
      </c>
      <c r="X39" s="27" t="s">
        <v>231</v>
      </c>
      <c r="Y39" s="27" t="s">
        <v>222</v>
      </c>
      <c r="Z39" s="27" t="s">
        <v>223</v>
      </c>
      <c r="AA39" s="27" t="s">
        <v>211</v>
      </c>
      <c r="AB39" s="27" t="s">
        <v>416</v>
      </c>
      <c r="AC39" s="27" t="s">
        <v>160</v>
      </c>
      <c r="AD39" s="27" t="s">
        <v>160</v>
      </c>
      <c r="AE39" s="27" t="s">
        <v>224</v>
      </c>
      <c r="AF39" s="27" t="s">
        <v>176</v>
      </c>
      <c r="AG39" s="27" t="s">
        <v>177</v>
      </c>
      <c r="AI39" s="179"/>
      <c r="AP39" s="136">
        <v>45306</v>
      </c>
      <c r="AQ39" s="27" t="s">
        <v>65</v>
      </c>
      <c r="AR39" s="27" t="s">
        <v>234</v>
      </c>
      <c r="AT39" s="27" t="str">
        <f t="shared" si="0"/>
        <v>Inactivo</v>
      </c>
      <c r="AU39" s="27" cm="1">
        <f t="array" aca="1" ref="AU39" ca="1">_xlfn.IFS(AT39="","",AT39="Activo",TODAY()-H39,AT39="Inactivo",AP39-H39)</f>
        <v>828</v>
      </c>
      <c r="AV39" s="180">
        <f ca="1">IF(ISBLANK(Tabla1[[#This Row],[Fecha Nacimento (dd/mm/yyyy)]]),"",YEARFRAC(Tabla1[[#This Row],[Fecha Nacimento (dd/mm/yyyy)]],TODAY()))</f>
        <v>55.791666666666664</v>
      </c>
      <c r="AW39" s="141"/>
      <c r="AX39" s="27" t="str">
        <f t="shared" si="1"/>
        <v/>
      </c>
    </row>
    <row r="40" spans="1:50" s="27" customFormat="1" x14ac:dyDescent="0.25">
      <c r="A40" s="134">
        <v>38</v>
      </c>
      <c r="B40" s="27" t="s">
        <v>417</v>
      </c>
      <c r="C40" s="27" t="s">
        <v>319</v>
      </c>
      <c r="D40" s="27" t="s">
        <v>141</v>
      </c>
      <c r="E40" s="400">
        <v>1094927442</v>
      </c>
      <c r="F40" s="27" t="s">
        <v>142</v>
      </c>
      <c r="G40" s="27" t="s">
        <v>143</v>
      </c>
      <c r="H40" s="136">
        <v>44517</v>
      </c>
      <c r="I40" s="136"/>
      <c r="J40" s="27" t="s">
        <v>144</v>
      </c>
      <c r="K40" s="140">
        <v>3250000</v>
      </c>
      <c r="L40" s="27" t="s">
        <v>164</v>
      </c>
      <c r="M40" s="27" t="s">
        <v>203</v>
      </c>
      <c r="N40" s="27" t="s">
        <v>145</v>
      </c>
      <c r="O40" s="139" t="s">
        <v>418</v>
      </c>
      <c r="Q40" s="27" t="s">
        <v>148</v>
      </c>
      <c r="R40" s="27" t="s">
        <v>168</v>
      </c>
      <c r="S40" s="27" t="s">
        <v>150</v>
      </c>
      <c r="T40" s="27" t="s">
        <v>419</v>
      </c>
      <c r="U40" s="37">
        <v>33740</v>
      </c>
      <c r="V40" s="27" t="s">
        <v>420</v>
      </c>
      <c r="W40" s="27" t="s">
        <v>421</v>
      </c>
      <c r="X40" s="27" t="s">
        <v>268</v>
      </c>
      <c r="Y40" s="27" t="s">
        <v>359</v>
      </c>
      <c r="Z40" s="27" t="s">
        <v>422</v>
      </c>
      <c r="AA40" s="27" t="s">
        <v>211</v>
      </c>
      <c r="AB40" s="27" t="s">
        <v>259</v>
      </c>
      <c r="AC40" s="27" t="s">
        <v>271</v>
      </c>
      <c r="AD40" s="27" t="s">
        <v>271</v>
      </c>
      <c r="AE40" s="27" t="s">
        <v>272</v>
      </c>
      <c r="AF40" s="27" t="s">
        <v>176</v>
      </c>
      <c r="AG40" s="27" t="s">
        <v>163</v>
      </c>
      <c r="AH40" s="27" t="s">
        <v>145</v>
      </c>
      <c r="AI40" s="179">
        <v>2400000</v>
      </c>
      <c r="AJ40" s="27" t="s">
        <v>164</v>
      </c>
      <c r="AK40" s="27" t="s">
        <v>214</v>
      </c>
      <c r="AL40" s="27" t="s">
        <v>214</v>
      </c>
      <c r="AM40" s="27" t="s">
        <v>164</v>
      </c>
      <c r="AN40" s="27" t="s">
        <v>214</v>
      </c>
      <c r="AO40" s="27" t="s">
        <v>164</v>
      </c>
      <c r="AP40" s="136"/>
      <c r="AT40" s="27" t="str">
        <f t="shared" si="0"/>
        <v>Activo</v>
      </c>
      <c r="AU40" s="27" cm="1">
        <f t="array" aca="1" ref="AU40" ca="1">_xlfn.IFS(AT40="","",AT40="Activo",TODAY()-H40,AT40="Inactivo",AP40-H40)</f>
        <v>943</v>
      </c>
      <c r="AV40" s="180">
        <f ca="1">IF(ISBLANK(Tabla1[[#This Row],[Fecha Nacimento (dd/mm/yyyy)]]),"",YEARFRAC(Tabla1[[#This Row],[Fecha Nacimento (dd/mm/yyyy)]],TODAY()))</f>
        <v>32.086111111111109</v>
      </c>
      <c r="AW40" s="141"/>
      <c r="AX40" s="27" t="str">
        <f t="shared" si="1"/>
        <v/>
      </c>
    </row>
    <row r="41" spans="1:50" s="27" customFormat="1" x14ac:dyDescent="0.25">
      <c r="A41" s="134">
        <v>39</v>
      </c>
      <c r="B41" s="27" t="s">
        <v>423</v>
      </c>
      <c r="C41" s="27" t="s">
        <v>424</v>
      </c>
      <c r="D41" s="27" t="s">
        <v>141</v>
      </c>
      <c r="E41" s="400">
        <v>71800733</v>
      </c>
      <c r="F41" s="27" t="s">
        <v>142</v>
      </c>
      <c r="G41" s="27" t="s">
        <v>143</v>
      </c>
      <c r="H41" s="136">
        <v>44531</v>
      </c>
      <c r="I41" s="136"/>
      <c r="J41" s="27" t="s">
        <v>144</v>
      </c>
      <c r="K41" s="140">
        <v>1300000</v>
      </c>
      <c r="L41" s="27" t="s">
        <v>164</v>
      </c>
      <c r="M41" s="27" t="s">
        <v>203</v>
      </c>
      <c r="O41" s="139" t="s">
        <v>425</v>
      </c>
      <c r="Q41" s="27" t="s">
        <v>148</v>
      </c>
      <c r="R41" s="27" t="s">
        <v>426</v>
      </c>
      <c r="S41" s="27" t="s">
        <v>150</v>
      </c>
      <c r="T41" s="27" t="s">
        <v>427</v>
      </c>
      <c r="U41" s="37"/>
      <c r="V41" s="27" t="s">
        <v>428</v>
      </c>
      <c r="W41" s="27" t="s">
        <v>429</v>
      </c>
      <c r="X41" s="27" t="s">
        <v>343</v>
      </c>
      <c r="Y41" s="27" t="s">
        <v>172</v>
      </c>
      <c r="Z41" s="141" t="s">
        <v>430</v>
      </c>
      <c r="AA41" s="27" t="s">
        <v>211</v>
      </c>
      <c r="AB41" s="27" t="s">
        <v>175</v>
      </c>
      <c r="AC41" s="27" t="s">
        <v>160</v>
      </c>
      <c r="AD41" s="27" t="s">
        <v>160</v>
      </c>
      <c r="AE41" s="27" t="s">
        <v>431</v>
      </c>
      <c r="AF41" s="27" t="s">
        <v>176</v>
      </c>
      <c r="AG41" s="27" t="s">
        <v>177</v>
      </c>
      <c r="AH41" s="27" t="s">
        <v>145</v>
      </c>
      <c r="AI41" s="179">
        <v>332800</v>
      </c>
      <c r="AJ41" s="27" t="s">
        <v>304</v>
      </c>
      <c r="AK41" s="27" t="s">
        <v>214</v>
      </c>
      <c r="AL41" s="27" t="s">
        <v>214</v>
      </c>
      <c r="AM41" s="27" t="s">
        <v>164</v>
      </c>
      <c r="AN41" s="27" t="s">
        <v>214</v>
      </c>
      <c r="AO41" s="27" t="s">
        <v>214</v>
      </c>
      <c r="AP41" s="136"/>
      <c r="AT41" s="27" t="str">
        <f t="shared" si="0"/>
        <v>Activo</v>
      </c>
      <c r="AU41" s="27" cm="1">
        <f t="array" aca="1" ref="AU41" ca="1">_xlfn.IFS(AT41="","",AT41="Activo",TODAY()-H41,AT41="Inactivo",AP41-H41)</f>
        <v>929</v>
      </c>
      <c r="AV41" s="180" t="str">
        <f ca="1">IF(ISBLANK(Tabla1[[#This Row],[Fecha Nacimento (dd/mm/yyyy)]]),"",YEARFRAC(Tabla1[[#This Row],[Fecha Nacimento (dd/mm/yyyy)]],TODAY()))</f>
        <v/>
      </c>
      <c r="AW41" s="141"/>
      <c r="AX41" s="27" t="str">
        <f t="shared" si="1"/>
        <v/>
      </c>
    </row>
    <row r="42" spans="1:50" s="27" customFormat="1" x14ac:dyDescent="0.25">
      <c r="A42" s="134">
        <v>40</v>
      </c>
      <c r="B42" s="27" t="s">
        <v>432</v>
      </c>
      <c r="C42" s="27" t="s">
        <v>433</v>
      </c>
      <c r="D42" s="27" t="s">
        <v>141</v>
      </c>
      <c r="E42" s="400">
        <v>6352380</v>
      </c>
      <c r="F42" s="27" t="s">
        <v>142</v>
      </c>
      <c r="G42" s="27" t="s">
        <v>143</v>
      </c>
      <c r="H42" s="136">
        <v>44593</v>
      </c>
      <c r="I42" s="136"/>
      <c r="J42" s="27" t="s">
        <v>144</v>
      </c>
      <c r="K42" s="137">
        <v>1300000</v>
      </c>
      <c r="L42" s="27" t="s">
        <v>164</v>
      </c>
      <c r="M42" s="27" t="s">
        <v>203</v>
      </c>
      <c r="N42" s="27" t="s">
        <v>145</v>
      </c>
      <c r="Q42" s="27" t="s">
        <v>205</v>
      </c>
      <c r="T42" s="28"/>
      <c r="U42" s="37"/>
      <c r="V42" s="27" t="s">
        <v>434</v>
      </c>
      <c r="W42" s="27" t="s">
        <v>435</v>
      </c>
      <c r="X42" s="27" t="s">
        <v>436</v>
      </c>
      <c r="Y42" s="27" t="s">
        <v>172</v>
      </c>
      <c r="Z42" s="27" t="s">
        <v>223</v>
      </c>
      <c r="AA42" s="27" t="s">
        <v>211</v>
      </c>
      <c r="AB42" s="27" t="s">
        <v>416</v>
      </c>
      <c r="AC42" s="27" t="s">
        <v>160</v>
      </c>
      <c r="AD42" s="27" t="s">
        <v>160</v>
      </c>
      <c r="AE42" s="27" t="s">
        <v>344</v>
      </c>
      <c r="AF42" s="27" t="s">
        <v>176</v>
      </c>
      <c r="AG42" s="27" t="s">
        <v>177</v>
      </c>
      <c r="AH42" s="27" t="s">
        <v>164</v>
      </c>
      <c r="AI42" s="179"/>
      <c r="AJ42" s="27" t="s">
        <v>304</v>
      </c>
      <c r="AK42" s="27" t="s">
        <v>214</v>
      </c>
      <c r="AL42" s="27" t="s">
        <v>214</v>
      </c>
      <c r="AM42" s="27" t="s">
        <v>164</v>
      </c>
      <c r="AN42" s="27" t="s">
        <v>214</v>
      </c>
      <c r="AO42" s="27" t="s">
        <v>214</v>
      </c>
      <c r="AP42" s="136">
        <v>45290</v>
      </c>
      <c r="AQ42" s="27" t="s">
        <v>65</v>
      </c>
      <c r="AT42" s="27" t="str">
        <f t="shared" si="0"/>
        <v>Inactivo</v>
      </c>
      <c r="AU42" s="27" cm="1">
        <f t="array" aca="1" ref="AU42" ca="1">_xlfn.IFS(AT42="","",AT42="Activo",TODAY()-H42,AT42="Inactivo",AP42-H42)</f>
        <v>697</v>
      </c>
      <c r="AV42" s="180" t="str">
        <f ca="1">IF(ISBLANK(Tabla1[[#This Row],[Fecha Nacimento (dd/mm/yyyy)]]),"",YEARFRAC(Tabla1[[#This Row],[Fecha Nacimento (dd/mm/yyyy)]],TODAY()))</f>
        <v/>
      </c>
      <c r="AW42" s="141"/>
      <c r="AX42" s="27" t="str">
        <f t="shared" si="1"/>
        <v/>
      </c>
    </row>
    <row r="43" spans="1:50" s="27" customFormat="1" x14ac:dyDescent="0.25">
      <c r="A43" s="134">
        <v>41</v>
      </c>
      <c r="B43" s="27" t="s">
        <v>437</v>
      </c>
      <c r="C43" s="27" t="s">
        <v>438</v>
      </c>
      <c r="D43" s="27" t="s">
        <v>141</v>
      </c>
      <c r="E43" s="400">
        <v>41953966</v>
      </c>
      <c r="F43" s="27" t="s">
        <v>142</v>
      </c>
      <c r="G43" s="27" t="s">
        <v>143</v>
      </c>
      <c r="H43" s="136">
        <v>44595</v>
      </c>
      <c r="I43" s="136"/>
      <c r="J43" s="27" t="s">
        <v>144</v>
      </c>
      <c r="K43" s="138">
        <v>1372800</v>
      </c>
      <c r="L43" s="27" t="s">
        <v>145</v>
      </c>
      <c r="M43" s="27" t="s">
        <v>262</v>
      </c>
      <c r="O43" s="139"/>
      <c r="Q43" s="27" t="s">
        <v>148</v>
      </c>
      <c r="R43" s="27" t="s">
        <v>149</v>
      </c>
      <c r="S43" s="27" t="s">
        <v>150</v>
      </c>
      <c r="T43" s="27">
        <v>76100001328</v>
      </c>
      <c r="U43" s="37"/>
      <c r="W43" s="27">
        <v>3148274879</v>
      </c>
      <c r="X43" s="27" t="s">
        <v>300</v>
      </c>
      <c r="Y43" s="27" t="s">
        <v>439</v>
      </c>
      <c r="Z43" s="27" t="s">
        <v>440</v>
      </c>
      <c r="AA43" s="27" t="s">
        <v>211</v>
      </c>
      <c r="AB43" s="27" t="s">
        <v>441</v>
      </c>
      <c r="AC43" s="27" t="s">
        <v>160</v>
      </c>
      <c r="AD43" s="27" t="s">
        <v>160</v>
      </c>
      <c r="AE43" s="27" t="s">
        <v>303</v>
      </c>
      <c r="AF43" s="27" t="s">
        <v>162</v>
      </c>
      <c r="AG43" s="27" t="s">
        <v>177</v>
      </c>
      <c r="AH43" s="27" t="s">
        <v>164</v>
      </c>
      <c r="AI43" s="179"/>
      <c r="AJ43" s="27" t="s">
        <v>304</v>
      </c>
      <c r="AK43" s="27" t="s">
        <v>214</v>
      </c>
      <c r="AL43" s="27" t="s">
        <v>214</v>
      </c>
      <c r="AM43" s="27" t="s">
        <v>164</v>
      </c>
      <c r="AN43" s="27" t="s">
        <v>214</v>
      </c>
      <c r="AO43" s="27" t="s">
        <v>214</v>
      </c>
      <c r="AP43" s="136">
        <v>45306</v>
      </c>
      <c r="AQ43" s="27" t="s">
        <v>65</v>
      </c>
      <c r="AT43" s="27" t="str">
        <f t="shared" si="0"/>
        <v>Inactivo</v>
      </c>
      <c r="AU43" s="27" cm="1">
        <f t="array" aca="1" ref="AU43" ca="1">_xlfn.IFS(AT43="","",AT43="Activo",TODAY()-H43,AT43="Inactivo",AP43-H43)</f>
        <v>711</v>
      </c>
      <c r="AV43" s="180" t="str">
        <f ca="1">IF(ISBLANK(Tabla1[[#This Row],[Fecha Nacimento (dd/mm/yyyy)]]),"",YEARFRAC(Tabla1[[#This Row],[Fecha Nacimento (dd/mm/yyyy)]],TODAY()))</f>
        <v/>
      </c>
      <c r="AW43" s="141"/>
      <c r="AX43" s="27" t="str">
        <f t="shared" si="1"/>
        <v/>
      </c>
    </row>
    <row r="44" spans="1:50" s="27" customFormat="1" x14ac:dyDescent="0.25">
      <c r="A44" s="134">
        <v>42</v>
      </c>
      <c r="B44" s="27" t="s">
        <v>442</v>
      </c>
      <c r="C44" s="27" t="s">
        <v>443</v>
      </c>
      <c r="D44" s="27" t="s">
        <v>141</v>
      </c>
      <c r="E44" s="400">
        <v>24499820</v>
      </c>
      <c r="F44" s="27" t="s">
        <v>142</v>
      </c>
      <c r="G44" s="27" t="s">
        <v>143</v>
      </c>
      <c r="H44" s="136">
        <v>44595</v>
      </c>
      <c r="I44" s="136"/>
      <c r="J44" s="27" t="s">
        <v>144</v>
      </c>
      <c r="K44" s="138">
        <v>1372000</v>
      </c>
      <c r="L44" s="27" t="s">
        <v>145</v>
      </c>
      <c r="M44" s="27" t="s">
        <v>262</v>
      </c>
      <c r="O44" s="139"/>
      <c r="Q44" s="27" t="s">
        <v>148</v>
      </c>
      <c r="R44" s="27" t="s">
        <v>149</v>
      </c>
      <c r="S44" s="27" t="s">
        <v>150</v>
      </c>
      <c r="T44" s="27">
        <v>76100001327</v>
      </c>
      <c r="U44" s="37"/>
      <c r="W44" s="27">
        <v>3104116489</v>
      </c>
      <c r="X44" s="27" t="s">
        <v>300</v>
      </c>
      <c r="Y44" s="27" t="s">
        <v>439</v>
      </c>
      <c r="Z44" s="27" t="s">
        <v>440</v>
      </c>
      <c r="AA44" s="27" t="s">
        <v>211</v>
      </c>
      <c r="AB44" s="27" t="s">
        <v>158</v>
      </c>
      <c r="AC44" s="27" t="s">
        <v>271</v>
      </c>
      <c r="AD44" s="27" t="s">
        <v>160</v>
      </c>
      <c r="AE44" s="27" t="s">
        <v>303</v>
      </c>
      <c r="AF44" s="27" t="s">
        <v>162</v>
      </c>
      <c r="AG44" s="27" t="s">
        <v>177</v>
      </c>
      <c r="AH44" s="27" t="s">
        <v>164</v>
      </c>
      <c r="AI44" s="179"/>
      <c r="AJ44" s="27" t="s">
        <v>304</v>
      </c>
      <c r="AK44" s="27" t="s">
        <v>214</v>
      </c>
      <c r="AL44" s="27" t="s">
        <v>214</v>
      </c>
      <c r="AM44" s="27" t="s">
        <v>164</v>
      </c>
      <c r="AN44" s="27" t="s">
        <v>214</v>
      </c>
      <c r="AO44" s="27" t="s">
        <v>214</v>
      </c>
      <c r="AP44" s="136">
        <v>45306</v>
      </c>
      <c r="AQ44" s="27" t="s">
        <v>65</v>
      </c>
      <c r="AT44" s="27" t="str">
        <f t="shared" si="0"/>
        <v>Inactivo</v>
      </c>
      <c r="AU44" s="27" cm="1">
        <f t="array" aca="1" ref="AU44" ca="1">_xlfn.IFS(AT44="","",AT44="Activo",TODAY()-H44,AT44="Inactivo",AP44-H44)</f>
        <v>711</v>
      </c>
      <c r="AV44" s="180" t="str">
        <f ca="1">IF(ISBLANK(Tabla1[[#This Row],[Fecha Nacimento (dd/mm/yyyy)]]),"",YEARFRAC(Tabla1[[#This Row],[Fecha Nacimento (dd/mm/yyyy)]],TODAY()))</f>
        <v/>
      </c>
      <c r="AW44" s="141"/>
      <c r="AX44" s="27" t="str">
        <f t="shared" si="1"/>
        <v/>
      </c>
    </row>
    <row r="45" spans="1:50" s="27" customFormat="1" x14ac:dyDescent="0.25">
      <c r="A45" s="134">
        <v>43</v>
      </c>
      <c r="B45" s="27" t="s">
        <v>444</v>
      </c>
      <c r="C45" s="27" t="s">
        <v>445</v>
      </c>
      <c r="D45" s="27" t="s">
        <v>141</v>
      </c>
      <c r="E45" s="400">
        <v>94232740</v>
      </c>
      <c r="F45" s="27" t="s">
        <v>142</v>
      </c>
      <c r="G45" s="27" t="s">
        <v>143</v>
      </c>
      <c r="H45" s="136">
        <v>44621</v>
      </c>
      <c r="I45" s="136"/>
      <c r="J45" s="27" t="s">
        <v>144</v>
      </c>
      <c r="K45" s="140">
        <v>1300000</v>
      </c>
      <c r="L45" s="27" t="s">
        <v>164</v>
      </c>
      <c r="M45" s="27" t="s">
        <v>203</v>
      </c>
      <c r="Q45" s="27" t="s">
        <v>148</v>
      </c>
      <c r="R45" s="27" t="s">
        <v>149</v>
      </c>
      <c r="S45" s="27" t="s">
        <v>150</v>
      </c>
      <c r="T45" s="27" t="s">
        <v>446</v>
      </c>
      <c r="U45" s="37"/>
      <c r="V45" s="27" t="s">
        <v>447</v>
      </c>
      <c r="W45" s="27" t="s">
        <v>448</v>
      </c>
      <c r="X45" s="27" t="s">
        <v>343</v>
      </c>
      <c r="Y45" s="27" t="s">
        <v>172</v>
      </c>
      <c r="Z45" s="141" t="s">
        <v>430</v>
      </c>
      <c r="AA45" s="27" t="s">
        <v>302</v>
      </c>
      <c r="AB45" s="27" t="s">
        <v>259</v>
      </c>
      <c r="AC45" s="135" t="s">
        <v>160</v>
      </c>
      <c r="AD45" s="135" t="s">
        <v>271</v>
      </c>
      <c r="AE45" s="27" t="s">
        <v>431</v>
      </c>
      <c r="AF45" s="27" t="s">
        <v>176</v>
      </c>
      <c r="AG45" s="27" t="s">
        <v>177</v>
      </c>
      <c r="AH45" s="27" t="s">
        <v>145</v>
      </c>
      <c r="AI45" s="179">
        <v>312800</v>
      </c>
      <c r="AJ45" s="27" t="s">
        <v>304</v>
      </c>
      <c r="AK45" s="27" t="s">
        <v>214</v>
      </c>
      <c r="AL45" s="27" t="s">
        <v>214</v>
      </c>
      <c r="AM45" s="27" t="s">
        <v>164</v>
      </c>
      <c r="AN45" s="27" t="s">
        <v>214</v>
      </c>
      <c r="AO45" s="27" t="s">
        <v>214</v>
      </c>
      <c r="AP45" s="136"/>
      <c r="AT45" s="27" t="str">
        <f t="shared" si="0"/>
        <v>Activo</v>
      </c>
      <c r="AU45" s="27" cm="1">
        <f t="array" aca="1" ref="AU45" ca="1">_xlfn.IFS(AT45="","",AT45="Activo",TODAY()-H45,AT45="Inactivo",AP45-H45)</f>
        <v>839</v>
      </c>
      <c r="AV45" s="180" t="str">
        <f ca="1">IF(ISBLANK(Tabla1[[#This Row],[Fecha Nacimento (dd/mm/yyyy)]]),"",YEARFRAC(Tabla1[[#This Row],[Fecha Nacimento (dd/mm/yyyy)]],TODAY()))</f>
        <v/>
      </c>
      <c r="AW45" s="141"/>
      <c r="AX45" s="27" t="str">
        <f t="shared" si="1"/>
        <v/>
      </c>
    </row>
    <row r="46" spans="1:50" s="27" customFormat="1" x14ac:dyDescent="0.25">
      <c r="A46" s="134">
        <v>44</v>
      </c>
      <c r="B46" s="27" t="s">
        <v>449</v>
      </c>
      <c r="C46" s="27" t="s">
        <v>450</v>
      </c>
      <c r="D46" s="27" t="s">
        <v>141</v>
      </c>
      <c r="E46" s="400">
        <v>25081898</v>
      </c>
      <c r="F46" s="27" t="s">
        <v>142</v>
      </c>
      <c r="G46" s="27" t="s">
        <v>143</v>
      </c>
      <c r="H46" s="136">
        <v>44621</v>
      </c>
      <c r="I46" s="136"/>
      <c r="J46" s="27" t="s">
        <v>144</v>
      </c>
      <c r="K46" s="137">
        <v>1300000</v>
      </c>
      <c r="L46" s="27" t="s">
        <v>145</v>
      </c>
      <c r="M46" s="27" t="s">
        <v>203</v>
      </c>
      <c r="N46" s="27" t="s">
        <v>145</v>
      </c>
      <c r="O46" s="139" t="s">
        <v>451</v>
      </c>
      <c r="Q46" s="27" t="s">
        <v>148</v>
      </c>
      <c r="R46" s="27" t="s">
        <v>371</v>
      </c>
      <c r="S46" s="27" t="s">
        <v>150</v>
      </c>
      <c r="T46" s="27" t="s">
        <v>452</v>
      </c>
      <c r="U46" s="37">
        <v>29899</v>
      </c>
      <c r="V46" s="27" t="s">
        <v>453</v>
      </c>
      <c r="W46" s="27" t="s">
        <v>452</v>
      </c>
      <c r="X46" s="27" t="s">
        <v>268</v>
      </c>
      <c r="Y46" s="27" t="s">
        <v>367</v>
      </c>
      <c r="Z46" s="27" t="s">
        <v>368</v>
      </c>
      <c r="AA46" s="27" t="s">
        <v>211</v>
      </c>
      <c r="AB46" s="27" t="s">
        <v>158</v>
      </c>
      <c r="AC46" s="27" t="s">
        <v>160</v>
      </c>
      <c r="AD46" s="27" t="s">
        <v>271</v>
      </c>
      <c r="AE46" s="27" t="s">
        <v>272</v>
      </c>
      <c r="AF46" s="27" t="s">
        <v>162</v>
      </c>
      <c r="AG46" s="27" t="s">
        <v>177</v>
      </c>
      <c r="AH46" s="27" t="s">
        <v>164</v>
      </c>
      <c r="AI46" s="179"/>
      <c r="AJ46" s="27" t="s">
        <v>164</v>
      </c>
      <c r="AK46" s="27" t="s">
        <v>214</v>
      </c>
      <c r="AL46" s="27" t="s">
        <v>214</v>
      </c>
      <c r="AM46" s="27" t="s">
        <v>164</v>
      </c>
      <c r="AN46" s="27" t="s">
        <v>214</v>
      </c>
      <c r="AO46" s="27" t="s">
        <v>164</v>
      </c>
      <c r="AP46" s="136">
        <v>45322</v>
      </c>
      <c r="AQ46" s="27" t="s">
        <v>52</v>
      </c>
      <c r="AT46" s="27" t="str">
        <f t="shared" si="0"/>
        <v>Inactivo</v>
      </c>
      <c r="AU46" s="27" cm="1">
        <f t="array" aca="1" ref="AU46" ca="1">_xlfn.IFS(AT46="","",AT46="Activo",TODAY()-H46,AT46="Inactivo",AP46-H46)</f>
        <v>701</v>
      </c>
      <c r="AV46" s="180">
        <f ca="1">IF(ISBLANK(Tabla1[[#This Row],[Fecha Nacimento (dd/mm/yyyy)]]),"",YEARFRAC(Tabla1[[#This Row],[Fecha Nacimento (dd/mm/yyyy)]],TODAY()))</f>
        <v>42.605555555555554</v>
      </c>
      <c r="AW46" s="141"/>
      <c r="AX46" s="27" t="str">
        <f t="shared" si="1"/>
        <v/>
      </c>
    </row>
    <row r="47" spans="1:50" s="27" customFormat="1" x14ac:dyDescent="0.25">
      <c r="A47" s="134">
        <v>45</v>
      </c>
      <c r="B47" s="27" t="s">
        <v>454</v>
      </c>
      <c r="C47" s="27" t="s">
        <v>455</v>
      </c>
      <c r="D47" s="27" t="s">
        <v>141</v>
      </c>
      <c r="E47" s="400">
        <v>9922814</v>
      </c>
      <c r="F47" s="27" t="s">
        <v>142</v>
      </c>
      <c r="G47" s="27" t="s">
        <v>143</v>
      </c>
      <c r="H47" s="136">
        <v>44628</v>
      </c>
      <c r="I47" s="136"/>
      <c r="J47" s="27" t="s">
        <v>144</v>
      </c>
      <c r="K47" s="137">
        <v>1300000</v>
      </c>
      <c r="L47" s="27" t="s">
        <v>164</v>
      </c>
      <c r="M47" s="27" t="s">
        <v>203</v>
      </c>
      <c r="N47" s="27" t="s">
        <v>145</v>
      </c>
      <c r="Q47" s="27" t="s">
        <v>205</v>
      </c>
      <c r="T47" s="28"/>
      <c r="U47" s="37"/>
      <c r="V47" s="27" t="s">
        <v>456</v>
      </c>
      <c r="W47" s="27" t="s">
        <v>435</v>
      </c>
      <c r="X47" s="27" t="s">
        <v>436</v>
      </c>
      <c r="Y47" s="27" t="s">
        <v>172</v>
      </c>
      <c r="Z47" s="27" t="s">
        <v>457</v>
      </c>
      <c r="AA47" s="27" t="s">
        <v>211</v>
      </c>
      <c r="AB47" s="27" t="s">
        <v>186</v>
      </c>
      <c r="AC47" s="27" t="s">
        <v>271</v>
      </c>
      <c r="AD47" s="27" t="s">
        <v>160</v>
      </c>
      <c r="AE47" s="27" t="s">
        <v>344</v>
      </c>
      <c r="AF47" s="27" t="s">
        <v>176</v>
      </c>
      <c r="AG47" s="27" t="s">
        <v>177</v>
      </c>
      <c r="AH47" s="27" t="s">
        <v>164</v>
      </c>
      <c r="AI47" s="179"/>
      <c r="AJ47" s="27" t="s">
        <v>304</v>
      </c>
      <c r="AK47" s="27" t="s">
        <v>214</v>
      </c>
      <c r="AL47" s="27" t="s">
        <v>214</v>
      </c>
      <c r="AM47" s="27" t="s">
        <v>164</v>
      </c>
      <c r="AN47" s="27" t="s">
        <v>214</v>
      </c>
      <c r="AO47" s="27" t="s">
        <v>214</v>
      </c>
      <c r="AP47" s="136"/>
      <c r="AT47" s="27" t="str">
        <f t="shared" si="0"/>
        <v>Activo</v>
      </c>
      <c r="AU47" s="27" cm="1">
        <f t="array" aca="1" ref="AU47" ca="1">_xlfn.IFS(AT47="","",AT47="Activo",TODAY()-H47,AT47="Inactivo",AP47-H47)</f>
        <v>832</v>
      </c>
      <c r="AV47" s="180" t="str">
        <f ca="1">IF(ISBLANK(Tabla1[[#This Row],[Fecha Nacimento (dd/mm/yyyy)]]),"",YEARFRAC(Tabla1[[#This Row],[Fecha Nacimento (dd/mm/yyyy)]],TODAY()))</f>
        <v/>
      </c>
      <c r="AW47" s="141"/>
      <c r="AX47" s="27" t="str">
        <f t="shared" si="1"/>
        <v/>
      </c>
    </row>
    <row r="48" spans="1:50" s="27" customFormat="1" x14ac:dyDescent="0.25">
      <c r="A48" s="134">
        <v>46</v>
      </c>
      <c r="B48" s="27" t="s">
        <v>458</v>
      </c>
      <c r="C48" s="27" t="s">
        <v>459</v>
      </c>
      <c r="D48" s="27" t="s">
        <v>141</v>
      </c>
      <c r="E48" s="400">
        <v>1053827474</v>
      </c>
      <c r="F48" s="27" t="s">
        <v>142</v>
      </c>
      <c r="G48" s="27" t="s">
        <v>143</v>
      </c>
      <c r="H48" s="136">
        <v>44652</v>
      </c>
      <c r="I48" s="136" t="s">
        <v>217</v>
      </c>
      <c r="J48" s="27" t="s">
        <v>144</v>
      </c>
      <c r="K48" s="140">
        <v>6000000</v>
      </c>
      <c r="L48" s="27" t="s">
        <v>164</v>
      </c>
      <c r="M48" s="27" t="s">
        <v>203</v>
      </c>
      <c r="N48" s="27" t="s">
        <v>145</v>
      </c>
      <c r="O48" s="139" t="s">
        <v>460</v>
      </c>
      <c r="Q48" s="27" t="s">
        <v>148</v>
      </c>
      <c r="R48" s="27" t="s">
        <v>168</v>
      </c>
      <c r="S48" s="27" t="s">
        <v>150</v>
      </c>
      <c r="T48" s="27" t="s">
        <v>461</v>
      </c>
      <c r="U48" s="136"/>
      <c r="V48" s="27" t="s">
        <v>462</v>
      </c>
      <c r="W48" s="27" t="s">
        <v>463</v>
      </c>
      <c r="X48" s="27" t="s">
        <v>464</v>
      </c>
      <c r="Y48" s="27" t="s">
        <v>465</v>
      </c>
      <c r="Z48" s="27" t="s">
        <v>27</v>
      </c>
      <c r="AA48" s="27" t="s">
        <v>302</v>
      </c>
      <c r="AB48" s="27" t="s">
        <v>158</v>
      </c>
      <c r="AC48" s="27" t="s">
        <v>160</v>
      </c>
      <c r="AD48" s="27" t="s">
        <v>160</v>
      </c>
      <c r="AE48" s="27" t="s">
        <v>1</v>
      </c>
      <c r="AF48" s="27" t="s">
        <v>162</v>
      </c>
      <c r="AG48" s="27" t="s">
        <v>163</v>
      </c>
      <c r="AI48" s="179"/>
      <c r="AP48" s="136"/>
      <c r="AT48" s="27" t="str">
        <f t="shared" si="0"/>
        <v>Activo</v>
      </c>
      <c r="AU48" s="27" cm="1">
        <f t="array" aca="1" ref="AU48" ca="1">_xlfn.IFS(AT48="","",AT48="Activo",TODAY()-H48,AT48="Inactivo",AP48-H48)</f>
        <v>808</v>
      </c>
      <c r="AV48" s="180" t="str">
        <f ca="1">IF(ISBLANK(Tabla1[[#This Row],[Fecha Nacimento (dd/mm/yyyy)]]),"",YEARFRAC(Tabla1[[#This Row],[Fecha Nacimento (dd/mm/yyyy)]],TODAY()))</f>
        <v/>
      </c>
      <c r="AW48" s="141"/>
      <c r="AX48" s="27" t="str">
        <f t="shared" si="1"/>
        <v/>
      </c>
    </row>
    <row r="49" spans="1:50" s="27" customFormat="1" x14ac:dyDescent="0.25">
      <c r="A49" s="134">
        <v>47</v>
      </c>
      <c r="B49" s="27" t="s">
        <v>466</v>
      </c>
      <c r="C49" s="27" t="s">
        <v>467</v>
      </c>
      <c r="D49" s="27" t="s">
        <v>141</v>
      </c>
      <c r="E49" s="400">
        <v>10265529</v>
      </c>
      <c r="F49" s="27" t="s">
        <v>142</v>
      </c>
      <c r="G49" s="27" t="s">
        <v>143</v>
      </c>
      <c r="H49" s="136">
        <v>44652</v>
      </c>
      <c r="I49" s="136" t="s">
        <v>217</v>
      </c>
      <c r="J49" s="27" t="s">
        <v>144</v>
      </c>
      <c r="K49" s="140">
        <v>6690000</v>
      </c>
      <c r="L49" s="27" t="s">
        <v>164</v>
      </c>
      <c r="M49" s="27" t="s">
        <v>203</v>
      </c>
      <c r="N49" s="27" t="s">
        <v>145</v>
      </c>
      <c r="O49" s="139" t="s">
        <v>468</v>
      </c>
      <c r="Q49" s="27" t="s">
        <v>148</v>
      </c>
      <c r="R49" s="27" t="s">
        <v>168</v>
      </c>
      <c r="S49" s="27" t="s">
        <v>150</v>
      </c>
      <c r="T49" s="27" t="s">
        <v>469</v>
      </c>
      <c r="U49" s="136"/>
      <c r="V49" s="27" t="s">
        <v>470</v>
      </c>
      <c r="W49" s="27" t="s">
        <v>471</v>
      </c>
      <c r="X49" s="27" t="s">
        <v>464</v>
      </c>
      <c r="Y49" s="27" t="s">
        <v>222</v>
      </c>
      <c r="Z49" s="27" t="s">
        <v>24</v>
      </c>
      <c r="AA49" s="27" t="s">
        <v>302</v>
      </c>
      <c r="AB49" s="27" t="s">
        <v>259</v>
      </c>
      <c r="AC49" s="27" t="s">
        <v>159</v>
      </c>
      <c r="AD49" s="27" t="s">
        <v>160</v>
      </c>
      <c r="AE49" s="27" t="s">
        <v>1</v>
      </c>
      <c r="AF49" s="27" t="s">
        <v>176</v>
      </c>
      <c r="AG49" s="27" t="s">
        <v>163</v>
      </c>
      <c r="AI49" s="179"/>
      <c r="AP49" s="136"/>
      <c r="AT49" s="27" t="str">
        <f t="shared" si="0"/>
        <v>Activo</v>
      </c>
      <c r="AU49" s="27" cm="1">
        <f t="array" aca="1" ref="AU49" ca="1">_xlfn.IFS(AT49="","",AT49="Activo",TODAY()-H49,AT49="Inactivo",AP49-H49)</f>
        <v>808</v>
      </c>
      <c r="AV49" s="180" t="str">
        <f ca="1">IF(ISBLANK(Tabla1[[#This Row],[Fecha Nacimento (dd/mm/yyyy)]]),"",YEARFRAC(Tabla1[[#This Row],[Fecha Nacimento (dd/mm/yyyy)]],TODAY()))</f>
        <v/>
      </c>
      <c r="AW49" s="141"/>
      <c r="AX49" s="27" t="str">
        <f t="shared" si="1"/>
        <v/>
      </c>
    </row>
    <row r="50" spans="1:50" s="27" customFormat="1" x14ac:dyDescent="0.25">
      <c r="A50" s="134">
        <v>48</v>
      </c>
      <c r="B50" s="27" t="s">
        <v>472</v>
      </c>
      <c r="C50" s="27" t="s">
        <v>473</v>
      </c>
      <c r="D50" s="27" t="s">
        <v>141</v>
      </c>
      <c r="E50" s="400">
        <v>3228415</v>
      </c>
      <c r="F50" s="27" t="s">
        <v>142</v>
      </c>
      <c r="G50" s="27" t="s">
        <v>143</v>
      </c>
      <c r="H50" s="136">
        <v>44652</v>
      </c>
      <c r="I50" s="136" t="s">
        <v>217</v>
      </c>
      <c r="J50" s="27" t="s">
        <v>144</v>
      </c>
      <c r="K50" s="140">
        <v>5830000</v>
      </c>
      <c r="L50" s="27" t="s">
        <v>164</v>
      </c>
      <c r="M50" s="27" t="s">
        <v>203</v>
      </c>
      <c r="N50" s="27" t="s">
        <v>145</v>
      </c>
      <c r="O50" s="139" t="s">
        <v>474</v>
      </c>
      <c r="Q50" s="27" t="s">
        <v>148</v>
      </c>
      <c r="R50" s="27" t="s">
        <v>168</v>
      </c>
      <c r="S50" s="27" t="s">
        <v>150</v>
      </c>
      <c r="T50" s="27" t="s">
        <v>475</v>
      </c>
      <c r="U50" s="136"/>
      <c r="V50" s="27" t="s">
        <v>476</v>
      </c>
      <c r="W50" s="27" t="s">
        <v>477</v>
      </c>
      <c r="X50" s="27" t="s">
        <v>464</v>
      </c>
      <c r="Y50" s="27" t="s">
        <v>269</v>
      </c>
      <c r="Z50" s="27" t="s">
        <v>25</v>
      </c>
      <c r="AA50" s="27" t="s">
        <v>302</v>
      </c>
      <c r="AB50" s="27" t="s">
        <v>175</v>
      </c>
      <c r="AC50" s="27" t="s">
        <v>217</v>
      </c>
      <c r="AD50" s="27" t="s">
        <v>160</v>
      </c>
      <c r="AE50" s="27" t="s">
        <v>1</v>
      </c>
      <c r="AF50" s="27" t="s">
        <v>176</v>
      </c>
      <c r="AG50" s="27" t="s">
        <v>163</v>
      </c>
      <c r="AI50" s="179"/>
      <c r="AP50" s="136"/>
      <c r="AT50" s="27" t="str">
        <f t="shared" si="0"/>
        <v>Activo</v>
      </c>
      <c r="AU50" s="27" cm="1">
        <f t="array" aca="1" ref="AU50" ca="1">_xlfn.IFS(AT50="","",AT50="Activo",TODAY()-H50,AT50="Inactivo",AP50-H50)</f>
        <v>808</v>
      </c>
      <c r="AV50" s="180" t="str">
        <f ca="1">IF(ISBLANK(Tabla1[[#This Row],[Fecha Nacimento (dd/mm/yyyy)]]),"",YEARFRAC(Tabla1[[#This Row],[Fecha Nacimento (dd/mm/yyyy)]],TODAY()))</f>
        <v/>
      </c>
      <c r="AW50" s="141"/>
      <c r="AX50" s="27" t="str">
        <f t="shared" si="1"/>
        <v/>
      </c>
    </row>
    <row r="51" spans="1:50" s="27" customFormat="1" x14ac:dyDescent="0.25">
      <c r="A51" s="134">
        <v>49</v>
      </c>
      <c r="B51" s="141" t="s">
        <v>478</v>
      </c>
      <c r="C51" s="141" t="s">
        <v>479</v>
      </c>
      <c r="D51" s="27" t="s">
        <v>141</v>
      </c>
      <c r="E51" s="402">
        <v>1115189831</v>
      </c>
      <c r="F51" s="141" t="s">
        <v>142</v>
      </c>
      <c r="G51" s="27" t="s">
        <v>143</v>
      </c>
      <c r="H51" s="142">
        <v>44672</v>
      </c>
      <c r="I51" s="136"/>
      <c r="J51" s="27" t="s">
        <v>144</v>
      </c>
      <c r="K51" s="143">
        <v>1300000</v>
      </c>
      <c r="L51" s="27" t="s">
        <v>164</v>
      </c>
      <c r="M51" s="141" t="s">
        <v>203</v>
      </c>
      <c r="O51" s="145" t="s">
        <v>480</v>
      </c>
      <c r="Q51" s="27" t="s">
        <v>205</v>
      </c>
      <c r="U51" s="181">
        <v>34019</v>
      </c>
      <c r="V51" s="141" t="s">
        <v>481</v>
      </c>
      <c r="W51" s="141" t="s">
        <v>482</v>
      </c>
      <c r="X51" s="141" t="s">
        <v>483</v>
      </c>
      <c r="Y51" s="141" t="s">
        <v>484</v>
      </c>
      <c r="Z51" s="141" t="s">
        <v>484</v>
      </c>
      <c r="AA51" s="141" t="s">
        <v>211</v>
      </c>
      <c r="AB51" s="141" t="s">
        <v>175</v>
      </c>
      <c r="AC51" s="141" t="s">
        <v>160</v>
      </c>
      <c r="AD51" s="141" t="s">
        <v>160</v>
      </c>
      <c r="AE51" s="27" t="s">
        <v>485</v>
      </c>
      <c r="AF51" s="27" t="s">
        <v>176</v>
      </c>
      <c r="AG51" s="27" t="s">
        <v>177</v>
      </c>
      <c r="AH51" s="27" t="s">
        <v>145</v>
      </c>
      <c r="AI51" s="179">
        <v>92800</v>
      </c>
      <c r="AJ51" s="27" t="s">
        <v>164</v>
      </c>
      <c r="AK51" s="27" t="s">
        <v>214</v>
      </c>
      <c r="AL51" s="27" t="s">
        <v>214</v>
      </c>
      <c r="AM51" s="27" t="s">
        <v>164</v>
      </c>
      <c r="AN51" s="27" t="s">
        <v>214</v>
      </c>
      <c r="AO51" s="27" t="s">
        <v>214</v>
      </c>
      <c r="AP51" s="136"/>
      <c r="AT51" s="27" t="str">
        <f t="shared" si="0"/>
        <v>Activo</v>
      </c>
      <c r="AU51" s="27" cm="1">
        <f t="array" aca="1" ref="AU51" ca="1">_xlfn.IFS(AT51="","",AT51="Activo",TODAY()-H51,AT51="Inactivo",AP51-H51)</f>
        <v>788</v>
      </c>
      <c r="AV51" s="180">
        <f ca="1">IF(ISBLANK(Tabla1[[#This Row],[Fecha Nacimento (dd/mm/yyyy)]]),"",YEARFRAC(Tabla1[[#This Row],[Fecha Nacimento (dd/mm/yyyy)]],TODAY()))</f>
        <v>31.327777777777779</v>
      </c>
      <c r="AW51" s="141"/>
      <c r="AX51" s="27" t="str">
        <f t="shared" si="1"/>
        <v/>
      </c>
    </row>
    <row r="52" spans="1:50" s="27" customFormat="1" x14ac:dyDescent="0.25">
      <c r="A52" s="134">
        <v>50</v>
      </c>
      <c r="B52" s="27" t="s">
        <v>486</v>
      </c>
      <c r="C52" s="27" t="s">
        <v>487</v>
      </c>
      <c r="D52" s="27" t="s">
        <v>141</v>
      </c>
      <c r="E52" s="403">
        <v>1012379393</v>
      </c>
      <c r="F52" s="27" t="s">
        <v>142</v>
      </c>
      <c r="G52" s="27" t="s">
        <v>143</v>
      </c>
      <c r="H52" s="136">
        <v>44690</v>
      </c>
      <c r="I52" s="136"/>
      <c r="J52" s="27" t="s">
        <v>144</v>
      </c>
      <c r="K52" s="137">
        <v>1685000</v>
      </c>
      <c r="L52" s="27" t="s">
        <v>145</v>
      </c>
      <c r="M52" s="27" t="s">
        <v>262</v>
      </c>
      <c r="N52" s="27" t="s">
        <v>145</v>
      </c>
      <c r="O52" s="139" t="s">
        <v>488</v>
      </c>
      <c r="Q52" s="27" t="s">
        <v>148</v>
      </c>
      <c r="R52" s="27" t="s">
        <v>168</v>
      </c>
      <c r="S52" s="27" t="s">
        <v>150</v>
      </c>
      <c r="T52" s="28" t="s">
        <v>489</v>
      </c>
      <c r="U52" s="37">
        <v>33452</v>
      </c>
      <c r="V52" s="27" t="s">
        <v>490</v>
      </c>
      <c r="W52" s="27">
        <v>3204940259</v>
      </c>
      <c r="X52" s="27" t="s">
        <v>491</v>
      </c>
      <c r="Y52" s="27" t="s">
        <v>155</v>
      </c>
      <c r="Z52" s="27" t="s">
        <v>492</v>
      </c>
      <c r="AA52" s="27" t="s">
        <v>302</v>
      </c>
      <c r="AB52" s="27" t="s">
        <v>493</v>
      </c>
      <c r="AC52" s="135" t="s">
        <v>271</v>
      </c>
      <c r="AD52" s="135" t="s">
        <v>271</v>
      </c>
      <c r="AE52" s="27" t="s">
        <v>494</v>
      </c>
      <c r="AF52" s="27" t="s">
        <v>162</v>
      </c>
      <c r="AG52" s="27" t="s">
        <v>163</v>
      </c>
      <c r="AH52" s="27" t="s">
        <v>145</v>
      </c>
      <c r="AI52" s="179">
        <v>1115000</v>
      </c>
      <c r="AJ52" s="27" t="s">
        <v>164</v>
      </c>
      <c r="AK52" s="27" t="s">
        <v>214</v>
      </c>
      <c r="AL52" s="27" t="s">
        <v>164</v>
      </c>
      <c r="AM52" s="27" t="s">
        <v>164</v>
      </c>
      <c r="AN52" s="27" t="s">
        <v>214</v>
      </c>
      <c r="AO52" s="27" t="s">
        <v>164</v>
      </c>
      <c r="AP52" s="136"/>
      <c r="AT52" s="27" t="str">
        <f t="shared" si="0"/>
        <v>Activo</v>
      </c>
      <c r="AU52" s="27" cm="1">
        <f t="array" aca="1" ref="AU52" ca="1">_xlfn.IFS(AT52="","",AT52="Activo",TODAY()-H52,AT52="Inactivo",AP52-H52)</f>
        <v>770</v>
      </c>
      <c r="AV52" s="180">
        <f ca="1">IF(ISBLANK(Tabla1[[#This Row],[Fecha Nacimento (dd/mm/yyyy)]]),"",YEARFRAC(Tabla1[[#This Row],[Fecha Nacimento (dd/mm/yyyy)]],TODAY()))</f>
        <v>32.875</v>
      </c>
      <c r="AW52" s="141"/>
      <c r="AX52" s="27" t="str">
        <f t="shared" si="1"/>
        <v/>
      </c>
    </row>
    <row r="53" spans="1:50" s="27" customFormat="1" x14ac:dyDescent="0.25">
      <c r="A53" s="134">
        <v>51</v>
      </c>
      <c r="B53" s="27" t="s">
        <v>495</v>
      </c>
      <c r="C53" s="27" t="s">
        <v>496</v>
      </c>
      <c r="D53" s="27" t="s">
        <v>141</v>
      </c>
      <c r="E53" s="400">
        <v>1094957231</v>
      </c>
      <c r="F53" s="27" t="s">
        <v>142</v>
      </c>
      <c r="G53" s="27" t="s">
        <v>143</v>
      </c>
      <c r="H53" s="136">
        <v>44690</v>
      </c>
      <c r="I53" s="136"/>
      <c r="J53" s="27" t="s">
        <v>144</v>
      </c>
      <c r="K53" s="138">
        <v>1510000</v>
      </c>
      <c r="L53" s="27" t="s">
        <v>145</v>
      </c>
      <c r="M53" s="27" t="s">
        <v>262</v>
      </c>
      <c r="N53" s="27" t="s">
        <v>145</v>
      </c>
      <c r="O53" s="139" t="s">
        <v>497</v>
      </c>
      <c r="Q53" s="27" t="s">
        <v>148</v>
      </c>
      <c r="R53" s="27" t="s">
        <v>168</v>
      </c>
      <c r="S53" s="27" t="s">
        <v>150</v>
      </c>
      <c r="T53" s="28" t="s">
        <v>498</v>
      </c>
      <c r="U53" s="37">
        <v>35260</v>
      </c>
      <c r="V53" s="27" t="s">
        <v>499</v>
      </c>
      <c r="W53" s="27" t="s">
        <v>500</v>
      </c>
      <c r="X53" s="27" t="s">
        <v>154</v>
      </c>
      <c r="Y53" s="27" t="s">
        <v>501</v>
      </c>
      <c r="Z53" s="27" t="s">
        <v>502</v>
      </c>
      <c r="AA53" s="27" t="s">
        <v>302</v>
      </c>
      <c r="AB53" s="27" t="s">
        <v>158</v>
      </c>
      <c r="AC53" s="27" t="s">
        <v>271</v>
      </c>
      <c r="AD53" s="27" t="s">
        <v>271</v>
      </c>
      <c r="AE53" s="27" t="s">
        <v>494</v>
      </c>
      <c r="AF53" s="27" t="s">
        <v>162</v>
      </c>
      <c r="AG53" s="27" t="s">
        <v>163</v>
      </c>
      <c r="AH53" s="27" t="s">
        <v>145</v>
      </c>
      <c r="AI53" s="179">
        <v>990000</v>
      </c>
      <c r="AJ53" s="27" t="s">
        <v>164</v>
      </c>
      <c r="AK53" s="27" t="s">
        <v>214</v>
      </c>
      <c r="AL53" s="27" t="s">
        <v>164</v>
      </c>
      <c r="AM53" s="27" t="s">
        <v>164</v>
      </c>
      <c r="AN53" s="27" t="s">
        <v>214</v>
      </c>
      <c r="AO53" s="27" t="s">
        <v>164</v>
      </c>
      <c r="AP53" s="136"/>
      <c r="AT53" s="27" t="str">
        <f t="shared" si="0"/>
        <v>Activo</v>
      </c>
      <c r="AU53" s="27" cm="1">
        <f t="array" aca="1" ref="AU53" ca="1">_xlfn.IFS(AT53="","",AT53="Activo",TODAY()-H53,AT53="Inactivo",AP53-H53)</f>
        <v>770</v>
      </c>
      <c r="AV53" s="180">
        <f ca="1">IF(ISBLANK(Tabla1[[#This Row],[Fecha Nacimento (dd/mm/yyyy)]]),"",YEARFRAC(Tabla1[[#This Row],[Fecha Nacimento (dd/mm/yyyy)]],TODAY()))</f>
        <v>27.925000000000001</v>
      </c>
      <c r="AW53" s="141"/>
      <c r="AX53" s="27" t="str">
        <f t="shared" si="1"/>
        <v/>
      </c>
    </row>
    <row r="54" spans="1:50" s="27" customFormat="1" x14ac:dyDescent="0.25">
      <c r="A54" s="134">
        <v>52</v>
      </c>
      <c r="B54" s="27" t="s">
        <v>503</v>
      </c>
      <c r="C54" s="27" t="s">
        <v>504</v>
      </c>
      <c r="D54" s="27" t="s">
        <v>141</v>
      </c>
      <c r="E54" s="400">
        <v>1094933075</v>
      </c>
      <c r="F54" s="27" t="s">
        <v>142</v>
      </c>
      <c r="G54" s="27" t="s">
        <v>143</v>
      </c>
      <c r="H54" s="136">
        <v>44690</v>
      </c>
      <c r="I54" s="136"/>
      <c r="J54" s="27" t="s">
        <v>144</v>
      </c>
      <c r="K54" s="138">
        <v>1386000</v>
      </c>
      <c r="L54" s="27" t="s">
        <v>145</v>
      </c>
      <c r="M54" s="27" t="s">
        <v>262</v>
      </c>
      <c r="N54" s="27" t="s">
        <v>145</v>
      </c>
      <c r="O54" s="139" t="s">
        <v>505</v>
      </c>
      <c r="Q54" s="27" t="s">
        <v>148</v>
      </c>
      <c r="R54" s="27" t="s">
        <v>168</v>
      </c>
      <c r="S54" s="27" t="s">
        <v>150</v>
      </c>
      <c r="T54" s="28" t="s">
        <v>506</v>
      </c>
      <c r="U54" s="37">
        <v>34002</v>
      </c>
      <c r="V54" s="27" t="s">
        <v>507</v>
      </c>
      <c r="W54" s="27" t="s">
        <v>508</v>
      </c>
      <c r="X54" s="27" t="s">
        <v>316</v>
      </c>
      <c r="Y54" s="27" t="s">
        <v>501</v>
      </c>
      <c r="Z54" s="27" t="s">
        <v>509</v>
      </c>
      <c r="AA54" s="27" t="s">
        <v>302</v>
      </c>
      <c r="AB54" s="27" t="s">
        <v>158</v>
      </c>
      <c r="AC54" s="27" t="s">
        <v>271</v>
      </c>
      <c r="AD54" s="27" t="s">
        <v>271</v>
      </c>
      <c r="AE54" s="27" t="s">
        <v>494</v>
      </c>
      <c r="AF54" s="27" t="s">
        <v>162</v>
      </c>
      <c r="AG54" s="27" t="s">
        <v>177</v>
      </c>
      <c r="AH54" s="27" t="s">
        <v>145</v>
      </c>
      <c r="AI54" s="179">
        <v>114000</v>
      </c>
      <c r="AJ54" s="27" t="s">
        <v>164</v>
      </c>
      <c r="AK54" s="27" t="s">
        <v>214</v>
      </c>
      <c r="AL54" s="27" t="s">
        <v>164</v>
      </c>
      <c r="AM54" s="27" t="s">
        <v>164</v>
      </c>
      <c r="AN54" s="27" t="s">
        <v>214</v>
      </c>
      <c r="AO54" s="27" t="s">
        <v>164</v>
      </c>
      <c r="AP54" s="136"/>
      <c r="AT54" s="27" t="str">
        <f t="shared" si="0"/>
        <v>Activo</v>
      </c>
      <c r="AU54" s="27" cm="1">
        <f t="array" aca="1" ref="AU54" ca="1">_xlfn.IFS(AT54="","",AT54="Activo",TODAY()-H54,AT54="Inactivo",AP54-H54)</f>
        <v>770</v>
      </c>
      <c r="AV54" s="180">
        <f ca="1">IF(ISBLANK(Tabla1[[#This Row],[Fecha Nacimento (dd/mm/yyyy)]]),"",YEARFRAC(Tabla1[[#This Row],[Fecha Nacimento (dd/mm/yyyy)]],TODAY()))</f>
        <v>31.375</v>
      </c>
      <c r="AW54" s="141"/>
      <c r="AX54" s="27" t="str">
        <f t="shared" si="1"/>
        <v/>
      </c>
    </row>
    <row r="55" spans="1:50" s="27" customFormat="1" x14ac:dyDescent="0.25">
      <c r="A55" s="134">
        <v>53</v>
      </c>
      <c r="B55" s="27" t="s">
        <v>510</v>
      </c>
      <c r="C55" s="27" t="s">
        <v>511</v>
      </c>
      <c r="D55" s="27" t="s">
        <v>141</v>
      </c>
      <c r="E55" s="400">
        <v>30232305</v>
      </c>
      <c r="F55" s="27" t="s">
        <v>142</v>
      </c>
      <c r="G55" s="27" t="s">
        <v>143</v>
      </c>
      <c r="H55" s="136">
        <v>44690</v>
      </c>
      <c r="I55" s="136"/>
      <c r="J55" s="27" t="s">
        <v>144</v>
      </c>
      <c r="K55" s="138">
        <v>3850000</v>
      </c>
      <c r="L55" s="27" t="s">
        <v>164</v>
      </c>
      <c r="M55" s="27" t="s">
        <v>262</v>
      </c>
      <c r="N55" s="27" t="s">
        <v>145</v>
      </c>
      <c r="O55" s="139" t="s">
        <v>512</v>
      </c>
      <c r="Q55" s="27" t="s">
        <v>148</v>
      </c>
      <c r="R55" s="27" t="s">
        <v>168</v>
      </c>
      <c r="S55" s="27" t="s">
        <v>150</v>
      </c>
      <c r="T55" s="28" t="s">
        <v>513</v>
      </c>
      <c r="U55" s="37">
        <v>30295</v>
      </c>
      <c r="V55" s="27" t="s">
        <v>514</v>
      </c>
      <c r="W55" s="27" t="s">
        <v>515</v>
      </c>
      <c r="X55" s="27" t="s">
        <v>316</v>
      </c>
      <c r="Y55" s="27" t="s">
        <v>501</v>
      </c>
      <c r="Z55" s="27" t="s">
        <v>516</v>
      </c>
      <c r="AA55" s="27" t="s">
        <v>302</v>
      </c>
      <c r="AB55" s="27" t="s">
        <v>158</v>
      </c>
      <c r="AC55" s="27" t="s">
        <v>271</v>
      </c>
      <c r="AD55" s="27" t="s">
        <v>271</v>
      </c>
      <c r="AE55" s="27" t="s">
        <v>494</v>
      </c>
      <c r="AF55" s="27" t="s">
        <v>162</v>
      </c>
      <c r="AG55" s="27" t="s">
        <v>163</v>
      </c>
      <c r="AH55" s="27" t="s">
        <v>145</v>
      </c>
      <c r="AI55" s="179">
        <v>2438000</v>
      </c>
      <c r="AJ55" s="27" t="s">
        <v>164</v>
      </c>
      <c r="AK55" s="27" t="s">
        <v>214</v>
      </c>
      <c r="AL55" s="27" t="s">
        <v>164</v>
      </c>
      <c r="AM55" s="27" t="s">
        <v>164</v>
      </c>
      <c r="AN55" s="27" t="s">
        <v>214</v>
      </c>
      <c r="AO55" s="27" t="s">
        <v>164</v>
      </c>
      <c r="AP55" s="136"/>
      <c r="AT55" s="27" t="str">
        <f t="shared" si="0"/>
        <v>Activo</v>
      </c>
      <c r="AU55" s="27" cm="1">
        <f t="array" aca="1" ref="AU55" ca="1">_xlfn.IFS(AT55="","",AT55="Activo",TODAY()-H55,AT55="Inactivo",AP55-H55)</f>
        <v>770</v>
      </c>
      <c r="AV55" s="180">
        <f ca="1">IF(ISBLANK(Tabla1[[#This Row],[Fecha Nacimento (dd/mm/yyyy)]]),"",YEARFRAC(Tabla1[[#This Row],[Fecha Nacimento (dd/mm/yyyy)]],TODAY()))</f>
        <v>41.519444444444446</v>
      </c>
      <c r="AW55" s="141"/>
      <c r="AX55" s="27" t="str">
        <f t="shared" si="1"/>
        <v/>
      </c>
    </row>
    <row r="56" spans="1:50" s="27" customFormat="1" x14ac:dyDescent="0.25">
      <c r="A56" s="134">
        <v>54</v>
      </c>
      <c r="B56" s="27" t="s">
        <v>517</v>
      </c>
      <c r="C56" s="27" t="s">
        <v>518</v>
      </c>
      <c r="D56" s="27" t="s">
        <v>141</v>
      </c>
      <c r="E56" s="400">
        <v>1094906959</v>
      </c>
      <c r="F56" s="27" t="s">
        <v>142</v>
      </c>
      <c r="G56" s="27" t="s">
        <v>143</v>
      </c>
      <c r="H56" s="136">
        <v>44690</v>
      </c>
      <c r="I56" s="136"/>
      <c r="J56" s="27" t="s">
        <v>144</v>
      </c>
      <c r="K56" s="140">
        <v>1245000</v>
      </c>
      <c r="L56" s="27" t="s">
        <v>145</v>
      </c>
      <c r="M56" s="27" t="s">
        <v>262</v>
      </c>
      <c r="N56" s="27" t="s">
        <v>145</v>
      </c>
      <c r="O56" s="139" t="s">
        <v>519</v>
      </c>
      <c r="Q56" s="27" t="s">
        <v>148</v>
      </c>
      <c r="R56" s="27" t="s">
        <v>149</v>
      </c>
      <c r="S56" s="27" t="s">
        <v>150</v>
      </c>
      <c r="T56" s="27" t="s">
        <v>520</v>
      </c>
      <c r="U56" s="37">
        <v>32460</v>
      </c>
      <c r="V56" s="27" t="s">
        <v>521</v>
      </c>
      <c r="W56" s="27" t="s">
        <v>522</v>
      </c>
      <c r="X56" s="27" t="s">
        <v>316</v>
      </c>
      <c r="Y56" s="27" t="s">
        <v>523</v>
      </c>
      <c r="Z56" s="27" t="s">
        <v>524</v>
      </c>
      <c r="AA56" s="27" t="s">
        <v>302</v>
      </c>
      <c r="AB56" s="27" t="s">
        <v>158</v>
      </c>
      <c r="AC56" s="27" t="s">
        <v>271</v>
      </c>
      <c r="AD56" s="27" t="s">
        <v>271</v>
      </c>
      <c r="AE56" s="27" t="s">
        <v>494</v>
      </c>
      <c r="AF56" s="27" t="s">
        <v>162</v>
      </c>
      <c r="AG56" s="27" t="s">
        <v>177</v>
      </c>
      <c r="AH56" s="27" t="s">
        <v>164</v>
      </c>
      <c r="AI56" s="179"/>
      <c r="AJ56" s="27" t="s">
        <v>164</v>
      </c>
      <c r="AK56" s="27" t="s">
        <v>214</v>
      </c>
      <c r="AL56" s="27" t="s">
        <v>164</v>
      </c>
      <c r="AM56" s="27" t="s">
        <v>164</v>
      </c>
      <c r="AN56" s="27" t="s">
        <v>214</v>
      </c>
      <c r="AO56" s="27" t="s">
        <v>164</v>
      </c>
      <c r="AP56" s="136">
        <v>45219</v>
      </c>
      <c r="AQ56" s="27" t="s">
        <v>52</v>
      </c>
      <c r="AT56" s="27" t="str">
        <f t="shared" si="0"/>
        <v>Inactivo</v>
      </c>
      <c r="AU56" s="27" cm="1">
        <f t="array" aca="1" ref="AU56" ca="1">_xlfn.IFS(AT56="","",AT56="Activo",TODAY()-H56,AT56="Inactivo",AP56-H56)</f>
        <v>529</v>
      </c>
      <c r="AV56" s="180">
        <f ca="1">IF(ISBLANK(Tabla1[[#This Row],[Fecha Nacimento (dd/mm/yyyy)]]),"",YEARFRAC(Tabla1[[#This Row],[Fecha Nacimento (dd/mm/yyyy)]],TODAY()))</f>
        <v>35.594444444444441</v>
      </c>
      <c r="AW56" s="141"/>
      <c r="AX56" s="27" t="str">
        <f t="shared" si="1"/>
        <v/>
      </c>
    </row>
    <row r="57" spans="1:50" s="27" customFormat="1" x14ac:dyDescent="0.25">
      <c r="A57" s="134">
        <v>55</v>
      </c>
      <c r="B57" s="27" t="s">
        <v>525</v>
      </c>
      <c r="C57" s="27" t="s">
        <v>526</v>
      </c>
      <c r="D57" s="27" t="s">
        <v>141</v>
      </c>
      <c r="E57" s="400">
        <v>1005095624</v>
      </c>
      <c r="F57" s="27" t="s">
        <v>142</v>
      </c>
      <c r="G57" s="27" t="s">
        <v>143</v>
      </c>
      <c r="H57" s="136">
        <v>44692</v>
      </c>
      <c r="I57" s="136"/>
      <c r="J57" s="27" t="s">
        <v>144</v>
      </c>
      <c r="K57" s="140">
        <v>1685000</v>
      </c>
      <c r="L57" s="27" t="s">
        <v>145</v>
      </c>
      <c r="M57" s="27" t="s">
        <v>262</v>
      </c>
      <c r="N57" s="27" t="s">
        <v>145</v>
      </c>
      <c r="O57" s="139" t="s">
        <v>527</v>
      </c>
      <c r="Q57" s="27" t="s">
        <v>148</v>
      </c>
      <c r="R57" s="27" t="s">
        <v>168</v>
      </c>
      <c r="S57" s="27" t="s">
        <v>150</v>
      </c>
      <c r="T57" s="28" t="s">
        <v>528</v>
      </c>
      <c r="U57" s="37">
        <v>36774</v>
      </c>
      <c r="V57" s="27" t="s">
        <v>529</v>
      </c>
      <c r="W57" s="27" t="s">
        <v>530</v>
      </c>
      <c r="X57" s="27" t="s">
        <v>316</v>
      </c>
      <c r="Y57" s="27" t="s">
        <v>523</v>
      </c>
      <c r="Z57" s="27" t="s">
        <v>531</v>
      </c>
      <c r="AA57" s="27" t="s">
        <v>302</v>
      </c>
      <c r="AB57" s="27" t="s">
        <v>158</v>
      </c>
      <c r="AC57" s="27" t="s">
        <v>159</v>
      </c>
      <c r="AD57" s="27" t="s">
        <v>271</v>
      </c>
      <c r="AE57" s="27" t="s">
        <v>494</v>
      </c>
      <c r="AF57" s="27" t="s">
        <v>162</v>
      </c>
      <c r="AG57" s="27" t="s">
        <v>163</v>
      </c>
      <c r="AH57" s="27" t="s">
        <v>145</v>
      </c>
      <c r="AI57" s="179">
        <v>1115000</v>
      </c>
      <c r="AJ57" s="27" t="s">
        <v>164</v>
      </c>
      <c r="AK57" s="27" t="s">
        <v>214</v>
      </c>
      <c r="AL57" s="27" t="s">
        <v>164</v>
      </c>
      <c r="AM57" s="27" t="s">
        <v>164</v>
      </c>
      <c r="AN57" s="27" t="s">
        <v>214</v>
      </c>
      <c r="AO57" s="27" t="s">
        <v>164</v>
      </c>
      <c r="AP57" s="136"/>
      <c r="AT57" s="27" t="str">
        <f t="shared" si="0"/>
        <v>Activo</v>
      </c>
      <c r="AU57" s="27" cm="1">
        <f t="array" aca="1" ref="AU57" ca="1">_xlfn.IFS(AT57="","",AT57="Activo",TODAY()-H57,AT57="Inactivo",AP57-H57)</f>
        <v>768</v>
      </c>
      <c r="AV57" s="180">
        <f ca="1">IF(ISBLANK(Tabla1[[#This Row],[Fecha Nacimento (dd/mm/yyyy)]]),"",YEARFRAC(Tabla1[[#This Row],[Fecha Nacimento (dd/mm/yyyy)]],TODAY()))</f>
        <v>23.783333333333335</v>
      </c>
      <c r="AW57" s="141"/>
      <c r="AX57" s="27" t="str">
        <f t="shared" si="1"/>
        <v/>
      </c>
    </row>
    <row r="58" spans="1:50" s="27" customFormat="1" x14ac:dyDescent="0.25">
      <c r="A58" s="134">
        <v>56</v>
      </c>
      <c r="B58" s="27" t="s">
        <v>532</v>
      </c>
      <c r="C58" s="27" t="s">
        <v>533</v>
      </c>
      <c r="D58" s="27" t="s">
        <v>141</v>
      </c>
      <c r="E58" s="400">
        <v>18394428</v>
      </c>
      <c r="F58" s="27" t="s">
        <v>142</v>
      </c>
      <c r="G58" s="27" t="s">
        <v>143</v>
      </c>
      <c r="H58" s="136">
        <v>44697</v>
      </c>
      <c r="I58" s="136"/>
      <c r="J58" s="27" t="s">
        <v>144</v>
      </c>
      <c r="K58" s="140">
        <v>3795000</v>
      </c>
      <c r="L58" s="27" t="s">
        <v>164</v>
      </c>
      <c r="M58" s="27" t="s">
        <v>203</v>
      </c>
      <c r="N58" s="27" t="s">
        <v>145</v>
      </c>
      <c r="O58" s="139" t="s">
        <v>534</v>
      </c>
      <c r="Q58" s="27" t="s">
        <v>148</v>
      </c>
      <c r="R58" s="27" t="s">
        <v>168</v>
      </c>
      <c r="S58" s="27" t="s">
        <v>150</v>
      </c>
      <c r="T58" s="28" t="s">
        <v>535</v>
      </c>
      <c r="U58" s="37">
        <v>26600</v>
      </c>
      <c r="V58" s="27" t="s">
        <v>514</v>
      </c>
      <c r="W58" s="27" t="s">
        <v>536</v>
      </c>
      <c r="X58" s="27" t="s">
        <v>316</v>
      </c>
      <c r="Y58" s="27" t="s">
        <v>523</v>
      </c>
      <c r="Z58" s="27" t="s">
        <v>531</v>
      </c>
      <c r="AA58" s="27" t="s">
        <v>302</v>
      </c>
      <c r="AB58" s="27" t="s">
        <v>158</v>
      </c>
      <c r="AC58" s="27" t="s">
        <v>271</v>
      </c>
      <c r="AD58" s="27" t="s">
        <v>271</v>
      </c>
      <c r="AE58" s="27" t="s">
        <v>494</v>
      </c>
      <c r="AF58" s="27" t="s">
        <v>176</v>
      </c>
      <c r="AG58" s="27" t="s">
        <v>163</v>
      </c>
      <c r="AH58" s="27" t="s">
        <v>145</v>
      </c>
      <c r="AI58" s="179">
        <v>2416800</v>
      </c>
      <c r="AJ58" s="27" t="s">
        <v>164</v>
      </c>
      <c r="AK58" s="27" t="s">
        <v>214</v>
      </c>
      <c r="AL58" s="27" t="s">
        <v>164</v>
      </c>
      <c r="AM58" s="27" t="s">
        <v>164</v>
      </c>
      <c r="AN58" s="27" t="s">
        <v>214</v>
      </c>
      <c r="AO58" s="27" t="s">
        <v>164</v>
      </c>
      <c r="AP58" s="136"/>
      <c r="AT58" s="27" t="str">
        <f t="shared" si="0"/>
        <v>Activo</v>
      </c>
      <c r="AU58" s="27" cm="1">
        <f t="array" aca="1" ref="AU58" ca="1">_xlfn.IFS(AT58="","",AT58="Activo",TODAY()-H58,AT58="Inactivo",AP58-H58)</f>
        <v>763</v>
      </c>
      <c r="AV58" s="180">
        <f ca="1">IF(ISBLANK(Tabla1[[#This Row],[Fecha Nacimento (dd/mm/yyyy)]]),"",YEARFRAC(Tabla1[[#This Row],[Fecha Nacimento (dd/mm/yyyy)]],TODAY()))</f>
        <v>51.636111111111113</v>
      </c>
      <c r="AW58" s="141"/>
      <c r="AX58" s="27" t="str">
        <f t="shared" si="1"/>
        <v/>
      </c>
    </row>
    <row r="59" spans="1:50" s="27" customFormat="1" x14ac:dyDescent="0.25">
      <c r="A59" s="134">
        <v>57</v>
      </c>
      <c r="B59" s="27" t="s">
        <v>537</v>
      </c>
      <c r="C59" s="27" t="s">
        <v>538</v>
      </c>
      <c r="D59" s="27" t="s">
        <v>141</v>
      </c>
      <c r="E59" s="400">
        <v>41961097</v>
      </c>
      <c r="F59" s="27" t="s">
        <v>142</v>
      </c>
      <c r="G59" s="27" t="s">
        <v>143</v>
      </c>
      <c r="H59" s="136">
        <v>44709</v>
      </c>
      <c r="I59" s="136"/>
      <c r="J59" s="27" t="s">
        <v>144</v>
      </c>
      <c r="K59" s="137">
        <v>1300000</v>
      </c>
      <c r="L59" s="27" t="s">
        <v>145</v>
      </c>
      <c r="M59" s="27" t="s">
        <v>146</v>
      </c>
      <c r="O59" s="139" t="s">
        <v>539</v>
      </c>
      <c r="Q59" s="27" t="s">
        <v>148</v>
      </c>
      <c r="R59" s="27" t="s">
        <v>168</v>
      </c>
      <c r="S59" s="27" t="s">
        <v>150</v>
      </c>
      <c r="T59" s="27" t="s">
        <v>540</v>
      </c>
      <c r="U59" s="37">
        <v>31068</v>
      </c>
      <c r="V59" s="27" t="s">
        <v>541</v>
      </c>
      <c r="W59" s="27" t="s">
        <v>542</v>
      </c>
      <c r="X59" s="27" t="s">
        <v>154</v>
      </c>
      <c r="Y59" s="27" t="s">
        <v>543</v>
      </c>
      <c r="Z59" s="27" t="s">
        <v>544</v>
      </c>
      <c r="AA59" s="27" t="s">
        <v>545</v>
      </c>
      <c r="AB59" s="27" t="s">
        <v>158</v>
      </c>
      <c r="AC59" s="27" t="s">
        <v>271</v>
      </c>
      <c r="AD59" s="27" t="s">
        <v>160</v>
      </c>
      <c r="AE59" s="27" t="s">
        <v>161</v>
      </c>
      <c r="AF59" s="27" t="s">
        <v>162</v>
      </c>
      <c r="AG59" s="27" t="s">
        <v>177</v>
      </c>
      <c r="AH59" s="27" t="s">
        <v>164</v>
      </c>
      <c r="AI59" s="179"/>
      <c r="AP59" s="136"/>
      <c r="AT59" s="27" t="str">
        <f t="shared" si="0"/>
        <v>Activo</v>
      </c>
      <c r="AU59" s="27" cm="1">
        <f t="array" aca="1" ref="AU59" ca="1">_xlfn.IFS(AT59="","",AT59="Activo",TODAY()-H59,AT59="Inactivo",AP59-H59)</f>
        <v>751</v>
      </c>
      <c r="AV59" s="180">
        <f ca="1">IF(ISBLANK(Tabla1[[#This Row],[Fecha Nacimento (dd/mm/yyyy)]]),"",YEARFRAC(Tabla1[[#This Row],[Fecha Nacimento (dd/mm/yyyy)]],TODAY()))</f>
        <v>39.405555555555559</v>
      </c>
      <c r="AW59" s="141"/>
      <c r="AX59" s="27" t="str">
        <f t="shared" si="1"/>
        <v/>
      </c>
    </row>
    <row r="60" spans="1:50" s="27" customFormat="1" x14ac:dyDescent="0.25">
      <c r="A60" s="134">
        <v>58</v>
      </c>
      <c r="B60" s="27" t="s">
        <v>546</v>
      </c>
      <c r="C60" s="27" t="s">
        <v>547</v>
      </c>
      <c r="D60" s="27" t="s">
        <v>141</v>
      </c>
      <c r="E60" s="400">
        <v>1094936359</v>
      </c>
      <c r="F60" s="27" t="s">
        <v>142</v>
      </c>
      <c r="G60" s="27" t="s">
        <v>143</v>
      </c>
      <c r="H60" s="136">
        <v>44709</v>
      </c>
      <c r="I60" s="136"/>
      <c r="J60" s="27" t="s">
        <v>144</v>
      </c>
      <c r="K60" s="137">
        <v>1300000</v>
      </c>
      <c r="L60" s="27" t="s">
        <v>145</v>
      </c>
      <c r="M60" s="27" t="s">
        <v>146</v>
      </c>
      <c r="O60" s="139" t="s">
        <v>548</v>
      </c>
      <c r="Q60" s="27" t="s">
        <v>148</v>
      </c>
      <c r="R60" s="27" t="s">
        <v>168</v>
      </c>
      <c r="S60" s="27" t="s">
        <v>150</v>
      </c>
      <c r="T60" s="27" t="s">
        <v>549</v>
      </c>
      <c r="U60" s="37">
        <v>34138</v>
      </c>
      <c r="V60" s="27" t="s">
        <v>550</v>
      </c>
      <c r="W60" s="27" t="s">
        <v>551</v>
      </c>
      <c r="X60" s="27" t="s">
        <v>154</v>
      </c>
      <c r="Y60" s="27" t="s">
        <v>172</v>
      </c>
      <c r="Z60" s="27" t="s">
        <v>552</v>
      </c>
      <c r="AA60" s="27" t="s">
        <v>174</v>
      </c>
      <c r="AB60" s="27" t="s">
        <v>175</v>
      </c>
      <c r="AC60" s="27" t="s">
        <v>160</v>
      </c>
      <c r="AD60" s="27" t="s">
        <v>160</v>
      </c>
      <c r="AE60" s="27" t="s">
        <v>161</v>
      </c>
      <c r="AF60" s="27" t="s">
        <v>176</v>
      </c>
      <c r="AG60" s="27" t="s">
        <v>177</v>
      </c>
      <c r="AH60" s="27" t="s">
        <v>164</v>
      </c>
      <c r="AI60" s="179"/>
      <c r="AP60" s="136"/>
      <c r="AT60" s="27" t="str">
        <f t="shared" si="0"/>
        <v>Activo</v>
      </c>
      <c r="AU60" s="27" cm="1">
        <f t="array" aca="1" ref="AU60" ca="1">_xlfn.IFS(AT60="","",AT60="Activo",TODAY()-H60,AT60="Inactivo",AP60-H60)</f>
        <v>751</v>
      </c>
      <c r="AV60" s="180">
        <f ca="1">IF(ISBLANK(Tabla1[[#This Row],[Fecha Nacimento (dd/mm/yyyy)]]),"",YEARFRAC(Tabla1[[#This Row],[Fecha Nacimento (dd/mm/yyyy)]],TODAY()))</f>
        <v>30.997222222222224</v>
      </c>
      <c r="AW60" s="141"/>
      <c r="AX60" s="27" t="str">
        <f t="shared" si="1"/>
        <v/>
      </c>
    </row>
    <row r="61" spans="1:50" s="27" customFormat="1" x14ac:dyDescent="0.25">
      <c r="A61" s="134">
        <v>59</v>
      </c>
      <c r="B61" s="27" t="s">
        <v>553</v>
      </c>
      <c r="C61" s="27" t="s">
        <v>554</v>
      </c>
      <c r="D61" s="27" t="s">
        <v>141</v>
      </c>
      <c r="E61" s="400">
        <v>1101758726</v>
      </c>
      <c r="F61" s="27" t="s">
        <v>142</v>
      </c>
      <c r="G61" s="27" t="s">
        <v>143</v>
      </c>
      <c r="H61" s="136">
        <v>44709</v>
      </c>
      <c r="I61" s="136"/>
      <c r="J61" s="27" t="s">
        <v>144</v>
      </c>
      <c r="K61" s="137">
        <v>1300000</v>
      </c>
      <c r="L61" s="27" t="s">
        <v>145</v>
      </c>
      <c r="M61" s="27" t="s">
        <v>146</v>
      </c>
      <c r="O61" s="139" t="s">
        <v>555</v>
      </c>
      <c r="Q61" s="27" t="s">
        <v>148</v>
      </c>
      <c r="R61" s="27" t="s">
        <v>168</v>
      </c>
      <c r="S61" s="27" t="s">
        <v>150</v>
      </c>
      <c r="T61" s="27" t="s">
        <v>556</v>
      </c>
      <c r="U61" s="37">
        <v>34806</v>
      </c>
      <c r="V61" s="27" t="s">
        <v>557</v>
      </c>
      <c r="W61" s="27" t="s">
        <v>558</v>
      </c>
      <c r="X61" s="27" t="s">
        <v>154</v>
      </c>
      <c r="Y61" s="27" t="s">
        <v>543</v>
      </c>
      <c r="Z61" s="27" t="s">
        <v>559</v>
      </c>
      <c r="AA61" s="27" t="s">
        <v>545</v>
      </c>
      <c r="AB61" s="27" t="s">
        <v>158</v>
      </c>
      <c r="AC61" s="27" t="s">
        <v>160</v>
      </c>
      <c r="AD61" s="27" t="s">
        <v>160</v>
      </c>
      <c r="AE61" s="27" t="s">
        <v>161</v>
      </c>
      <c r="AF61" s="27" t="s">
        <v>162</v>
      </c>
      <c r="AG61" s="27" t="s">
        <v>177</v>
      </c>
      <c r="AH61" s="27" t="s">
        <v>164</v>
      </c>
      <c r="AI61" s="179"/>
      <c r="AP61" s="136"/>
      <c r="AT61" s="27" t="str">
        <f t="shared" si="0"/>
        <v>Activo</v>
      </c>
      <c r="AU61" s="27" cm="1">
        <f t="array" aca="1" ref="AU61" ca="1">_xlfn.IFS(AT61="","",AT61="Activo",TODAY()-H61,AT61="Inactivo",AP61-H61)</f>
        <v>751</v>
      </c>
      <c r="AV61" s="180">
        <f ca="1">IF(ISBLANK(Tabla1[[#This Row],[Fecha Nacimento (dd/mm/yyyy)]]),"",YEARFRAC(Tabla1[[#This Row],[Fecha Nacimento (dd/mm/yyyy)]],TODAY()))</f>
        <v>29.166666666666668</v>
      </c>
      <c r="AW61" s="141"/>
      <c r="AX61" s="27" t="str">
        <f t="shared" si="1"/>
        <v/>
      </c>
    </row>
    <row r="62" spans="1:50" s="27" customFormat="1" x14ac:dyDescent="0.25">
      <c r="A62" s="134">
        <v>60</v>
      </c>
      <c r="B62" s="27" t="s">
        <v>560</v>
      </c>
      <c r="C62" s="27" t="s">
        <v>561</v>
      </c>
      <c r="D62" s="27" t="s">
        <v>141</v>
      </c>
      <c r="E62" s="400">
        <v>18496136</v>
      </c>
      <c r="F62" s="27" t="s">
        <v>142</v>
      </c>
      <c r="G62" s="27" t="s">
        <v>143</v>
      </c>
      <c r="H62" s="136">
        <v>44709</v>
      </c>
      <c r="I62" s="136"/>
      <c r="J62" s="27" t="s">
        <v>144</v>
      </c>
      <c r="K62" s="137">
        <v>1300000</v>
      </c>
      <c r="L62" s="27" t="s">
        <v>145</v>
      </c>
      <c r="M62" s="27" t="s">
        <v>146</v>
      </c>
      <c r="O62" s="139" t="s">
        <v>562</v>
      </c>
      <c r="Q62" s="27" t="s">
        <v>148</v>
      </c>
      <c r="R62" s="27" t="s">
        <v>168</v>
      </c>
      <c r="S62" s="27" t="s">
        <v>150</v>
      </c>
      <c r="T62" s="27" t="s">
        <v>563</v>
      </c>
      <c r="U62" s="37">
        <v>26735</v>
      </c>
      <c r="V62" s="27" t="s">
        <v>564</v>
      </c>
      <c r="W62" s="27" t="s">
        <v>565</v>
      </c>
      <c r="X62" s="27" t="s">
        <v>154</v>
      </c>
      <c r="Y62" s="27" t="s">
        <v>172</v>
      </c>
      <c r="Z62" s="27" t="s">
        <v>566</v>
      </c>
      <c r="AA62" s="27" t="s">
        <v>174</v>
      </c>
      <c r="AB62" s="27" t="s">
        <v>158</v>
      </c>
      <c r="AC62" s="27" t="s">
        <v>160</v>
      </c>
      <c r="AD62" s="27" t="s">
        <v>160</v>
      </c>
      <c r="AE62" s="27" t="s">
        <v>161</v>
      </c>
      <c r="AF62" s="27" t="s">
        <v>176</v>
      </c>
      <c r="AG62" s="27" t="s">
        <v>177</v>
      </c>
      <c r="AH62" s="27" t="s">
        <v>164</v>
      </c>
      <c r="AI62" s="179"/>
      <c r="AP62" s="136"/>
      <c r="AT62" s="27" t="str">
        <f t="shared" si="0"/>
        <v>Activo</v>
      </c>
      <c r="AU62" s="27" cm="1">
        <f t="array" aca="1" ref="AU62" ca="1">_xlfn.IFS(AT62="","",AT62="Activo",TODAY()-H62,AT62="Inactivo",AP62-H62)</f>
        <v>751</v>
      </c>
      <c r="AV62" s="180">
        <f ca="1">IF(ISBLANK(Tabla1[[#This Row],[Fecha Nacimento (dd/mm/yyyy)]]),"",YEARFRAC(Tabla1[[#This Row],[Fecha Nacimento (dd/mm/yyyy)]],TODAY()))</f>
        <v>51.263888888888886</v>
      </c>
      <c r="AW62" s="141"/>
      <c r="AX62" s="27" t="str">
        <f t="shared" si="1"/>
        <v/>
      </c>
    </row>
    <row r="63" spans="1:50" s="27" customFormat="1" x14ac:dyDescent="0.25">
      <c r="A63" s="134">
        <v>61</v>
      </c>
      <c r="B63" s="27" t="s">
        <v>567</v>
      </c>
      <c r="C63" s="27" t="s">
        <v>568</v>
      </c>
      <c r="D63" s="27" t="s">
        <v>569</v>
      </c>
      <c r="E63" s="400">
        <v>5291215</v>
      </c>
      <c r="F63" s="27" t="s">
        <v>142</v>
      </c>
      <c r="G63" s="27" t="s">
        <v>143</v>
      </c>
      <c r="H63" s="136">
        <v>44709</v>
      </c>
      <c r="I63" s="136"/>
      <c r="J63" s="27" t="s">
        <v>144</v>
      </c>
      <c r="K63" s="137">
        <v>1300000</v>
      </c>
      <c r="L63" s="27" t="s">
        <v>145</v>
      </c>
      <c r="M63" s="27" t="s">
        <v>146</v>
      </c>
      <c r="O63" s="139" t="s">
        <v>570</v>
      </c>
      <c r="Q63" s="27" t="s">
        <v>148</v>
      </c>
      <c r="R63" s="27" t="s">
        <v>168</v>
      </c>
      <c r="S63" s="27" t="s">
        <v>150</v>
      </c>
      <c r="T63" s="27" t="s">
        <v>571</v>
      </c>
      <c r="U63" s="37">
        <v>30280</v>
      </c>
      <c r="V63" s="27" t="s">
        <v>572</v>
      </c>
      <c r="W63" s="27" t="s">
        <v>573</v>
      </c>
      <c r="X63" s="27" t="s">
        <v>154</v>
      </c>
      <c r="Y63" s="27" t="s">
        <v>172</v>
      </c>
      <c r="Z63" s="27" t="s">
        <v>552</v>
      </c>
      <c r="AA63" s="27" t="s">
        <v>174</v>
      </c>
      <c r="AB63" s="27" t="s">
        <v>175</v>
      </c>
      <c r="AC63" s="27" t="s">
        <v>160</v>
      </c>
      <c r="AD63" s="27" t="s">
        <v>160</v>
      </c>
      <c r="AE63" s="27" t="s">
        <v>161</v>
      </c>
      <c r="AF63" s="27" t="s">
        <v>176</v>
      </c>
      <c r="AG63" s="27" t="s">
        <v>177</v>
      </c>
      <c r="AH63" s="27" t="s">
        <v>164</v>
      </c>
      <c r="AI63" s="179"/>
      <c r="AP63" s="136"/>
      <c r="AT63" s="27" t="str">
        <f t="shared" si="0"/>
        <v>Activo</v>
      </c>
      <c r="AU63" s="27" cm="1">
        <f t="array" aca="1" ref="AU63" ca="1">_xlfn.IFS(AT63="","",AT63="Activo",TODAY()-H63,AT63="Inactivo",AP63-H63)</f>
        <v>751</v>
      </c>
      <c r="AV63" s="180">
        <f ca="1">IF(ISBLANK(Tabla1[[#This Row],[Fecha Nacimento (dd/mm/yyyy)]]),"",YEARFRAC(Tabla1[[#This Row],[Fecha Nacimento (dd/mm/yyyy)]],TODAY()))</f>
        <v>41.56111111111111</v>
      </c>
      <c r="AW63" s="141"/>
      <c r="AX63" s="27" t="str">
        <f t="shared" si="1"/>
        <v/>
      </c>
    </row>
    <row r="64" spans="1:50" s="27" customFormat="1" x14ac:dyDescent="0.25">
      <c r="A64" s="134">
        <v>62</v>
      </c>
      <c r="B64" s="27" t="s">
        <v>574</v>
      </c>
      <c r="C64" s="27" t="s">
        <v>575</v>
      </c>
      <c r="D64" s="27" t="s">
        <v>141</v>
      </c>
      <c r="E64" s="400">
        <v>1097388218</v>
      </c>
      <c r="F64" s="27" t="s">
        <v>142</v>
      </c>
      <c r="G64" s="27" t="s">
        <v>143</v>
      </c>
      <c r="H64" s="136">
        <v>44709</v>
      </c>
      <c r="I64" s="136"/>
      <c r="J64" s="27" t="s">
        <v>144</v>
      </c>
      <c r="K64" s="137">
        <v>1300000</v>
      </c>
      <c r="L64" s="27" t="s">
        <v>145</v>
      </c>
      <c r="M64" s="27" t="s">
        <v>146</v>
      </c>
      <c r="O64" s="139" t="s">
        <v>576</v>
      </c>
      <c r="Q64" s="27" t="s">
        <v>148</v>
      </c>
      <c r="R64" s="27" t="s">
        <v>168</v>
      </c>
      <c r="S64" s="27" t="s">
        <v>150</v>
      </c>
      <c r="T64" s="27" t="s">
        <v>577</v>
      </c>
      <c r="U64" s="37">
        <v>31382</v>
      </c>
      <c r="V64" s="27" t="s">
        <v>578</v>
      </c>
      <c r="W64" s="27" t="s">
        <v>579</v>
      </c>
      <c r="X64" s="27" t="s">
        <v>154</v>
      </c>
      <c r="Y64" s="27" t="s">
        <v>172</v>
      </c>
      <c r="Z64" s="27" t="s">
        <v>552</v>
      </c>
      <c r="AA64" s="27" t="s">
        <v>174</v>
      </c>
      <c r="AB64" s="27" t="s">
        <v>175</v>
      </c>
      <c r="AC64" s="27" t="s">
        <v>160</v>
      </c>
      <c r="AD64" s="27" t="s">
        <v>160</v>
      </c>
      <c r="AE64" s="27" t="s">
        <v>161</v>
      </c>
      <c r="AF64" s="27" t="s">
        <v>176</v>
      </c>
      <c r="AG64" s="27" t="s">
        <v>177</v>
      </c>
      <c r="AH64" s="27" t="s">
        <v>164</v>
      </c>
      <c r="AI64" s="179"/>
      <c r="AP64" s="136"/>
      <c r="AT64" s="27" t="str">
        <f t="shared" si="0"/>
        <v>Activo</v>
      </c>
      <c r="AU64" s="27" cm="1">
        <f t="array" aca="1" ref="AU64" ca="1">_xlfn.IFS(AT64="","",AT64="Activo",TODAY()-H64,AT64="Inactivo",AP64-H64)</f>
        <v>751</v>
      </c>
      <c r="AV64" s="180">
        <f ca="1">IF(ISBLANK(Tabla1[[#This Row],[Fecha Nacimento (dd/mm/yyyy)]]),"",YEARFRAC(Tabla1[[#This Row],[Fecha Nacimento (dd/mm/yyyy)]],TODAY()))</f>
        <v>38.544444444444444</v>
      </c>
      <c r="AW64" s="141"/>
      <c r="AX64" s="27" t="str">
        <f t="shared" si="1"/>
        <v/>
      </c>
    </row>
    <row r="65" spans="1:50" s="27" customFormat="1" x14ac:dyDescent="0.25">
      <c r="A65" s="134">
        <v>63</v>
      </c>
      <c r="B65" s="27" t="s">
        <v>580</v>
      </c>
      <c r="C65" s="27" t="s">
        <v>581</v>
      </c>
      <c r="D65" s="27" t="s">
        <v>141</v>
      </c>
      <c r="E65" s="400">
        <v>1005095940</v>
      </c>
      <c r="F65" s="27" t="s">
        <v>142</v>
      </c>
      <c r="G65" s="27" t="s">
        <v>143</v>
      </c>
      <c r="H65" s="136">
        <v>44709</v>
      </c>
      <c r="I65" s="136"/>
      <c r="J65" s="27" t="s">
        <v>144</v>
      </c>
      <c r="K65" s="137">
        <v>1300000</v>
      </c>
      <c r="L65" s="27" t="s">
        <v>145</v>
      </c>
      <c r="M65" s="27" t="s">
        <v>146</v>
      </c>
      <c r="O65" s="139" t="s">
        <v>582</v>
      </c>
      <c r="Q65" s="27" t="s">
        <v>148</v>
      </c>
      <c r="R65" s="27" t="s">
        <v>168</v>
      </c>
      <c r="S65" s="27" t="s">
        <v>150</v>
      </c>
      <c r="T65" s="27" t="s">
        <v>583</v>
      </c>
      <c r="U65" s="37">
        <v>36259</v>
      </c>
      <c r="V65" s="27" t="s">
        <v>584</v>
      </c>
      <c r="W65" s="27" t="s">
        <v>585</v>
      </c>
      <c r="X65" s="27" t="s">
        <v>154</v>
      </c>
      <c r="Y65" s="27" t="s">
        <v>172</v>
      </c>
      <c r="Z65" s="27" t="s">
        <v>586</v>
      </c>
      <c r="AA65" s="27" t="s">
        <v>174</v>
      </c>
      <c r="AB65" s="27" t="s">
        <v>158</v>
      </c>
      <c r="AC65" s="27" t="s">
        <v>160</v>
      </c>
      <c r="AD65" s="27" t="s">
        <v>160</v>
      </c>
      <c r="AE65" s="27" t="s">
        <v>161</v>
      </c>
      <c r="AF65" s="27" t="s">
        <v>176</v>
      </c>
      <c r="AG65" s="27" t="s">
        <v>177</v>
      </c>
      <c r="AH65" s="27" t="s">
        <v>164</v>
      </c>
      <c r="AI65" s="179"/>
      <c r="AP65" s="136">
        <v>45378</v>
      </c>
      <c r="AQ65" s="27" t="s">
        <v>52</v>
      </c>
      <c r="AT65" s="27" t="str">
        <f t="shared" si="0"/>
        <v>Inactivo</v>
      </c>
      <c r="AU65" s="27" cm="1">
        <f t="array" aca="1" ref="AU65" ca="1">_xlfn.IFS(AT65="","",AT65="Activo",TODAY()-H65,AT65="Inactivo",AP65-H65)</f>
        <v>669</v>
      </c>
      <c r="AV65" s="180">
        <f ca="1">IF(ISBLANK(Tabla1[[#This Row],[Fecha Nacimento (dd/mm/yyyy)]]),"",YEARFRAC(Tabla1[[#This Row],[Fecha Nacimento (dd/mm/yyyy)]],TODAY()))</f>
        <v>25.18888888888889</v>
      </c>
      <c r="AW65" s="141"/>
      <c r="AX65" s="27" t="str">
        <f t="shared" si="1"/>
        <v/>
      </c>
    </row>
    <row r="66" spans="1:50" s="27" customFormat="1" x14ac:dyDescent="0.25">
      <c r="A66" s="134">
        <v>64</v>
      </c>
      <c r="B66" s="27" t="s">
        <v>587</v>
      </c>
      <c r="C66" s="27" t="s">
        <v>588</v>
      </c>
      <c r="D66" s="27" t="s">
        <v>141</v>
      </c>
      <c r="E66" s="400">
        <v>9726734</v>
      </c>
      <c r="F66" s="27" t="s">
        <v>142</v>
      </c>
      <c r="G66" s="27" t="s">
        <v>143</v>
      </c>
      <c r="H66" s="136">
        <v>44709</v>
      </c>
      <c r="I66" s="136"/>
      <c r="J66" s="27" t="s">
        <v>144</v>
      </c>
      <c r="K66" s="137">
        <v>1300000</v>
      </c>
      <c r="L66" s="27" t="s">
        <v>145</v>
      </c>
      <c r="M66" s="27" t="s">
        <v>146</v>
      </c>
      <c r="O66" s="139" t="s">
        <v>589</v>
      </c>
      <c r="Q66" s="27" t="s">
        <v>148</v>
      </c>
      <c r="R66" s="27" t="s">
        <v>168</v>
      </c>
      <c r="S66" s="27" t="s">
        <v>150</v>
      </c>
      <c r="T66" s="27" t="s">
        <v>590</v>
      </c>
      <c r="U66" s="37">
        <v>29405</v>
      </c>
      <c r="V66" s="27" t="s">
        <v>591</v>
      </c>
      <c r="W66" s="27" t="s">
        <v>592</v>
      </c>
      <c r="X66" s="27" t="s">
        <v>154</v>
      </c>
      <c r="Y66" s="27" t="s">
        <v>172</v>
      </c>
      <c r="Z66" s="27" t="s">
        <v>566</v>
      </c>
      <c r="AA66" s="27" t="s">
        <v>174</v>
      </c>
      <c r="AB66" s="27" t="s">
        <v>259</v>
      </c>
      <c r="AC66" s="27" t="s">
        <v>159</v>
      </c>
      <c r="AD66" s="27" t="s">
        <v>160</v>
      </c>
      <c r="AE66" s="27" t="s">
        <v>161</v>
      </c>
      <c r="AF66" s="27" t="s">
        <v>176</v>
      </c>
      <c r="AG66" s="27" t="s">
        <v>177</v>
      </c>
      <c r="AH66" s="27" t="s">
        <v>164</v>
      </c>
      <c r="AI66" s="179"/>
      <c r="AP66" s="136">
        <v>45306</v>
      </c>
      <c r="AQ66" s="27" t="s">
        <v>52</v>
      </c>
      <c r="AT66" s="27" t="str">
        <f t="shared" si="0"/>
        <v>Inactivo</v>
      </c>
      <c r="AU66" s="27" cm="1">
        <f t="array" aca="1" ref="AU66" ca="1">_xlfn.IFS(AT66="","",AT66="Activo",TODAY()-H66,AT66="Inactivo",AP66-H66)</f>
        <v>597</v>
      </c>
      <c r="AV66" s="180">
        <f ca="1">IF(ISBLANK(Tabla1[[#This Row],[Fecha Nacimento (dd/mm/yyyy)]]),"",YEARFRAC(Tabla1[[#This Row],[Fecha Nacimento (dd/mm/yyyy)]],TODAY()))</f>
        <v>43.955555555555556</v>
      </c>
      <c r="AW66" s="141"/>
      <c r="AX66" s="27" t="str">
        <f t="shared" si="1"/>
        <v/>
      </c>
    </row>
    <row r="67" spans="1:50" s="27" customFormat="1" x14ac:dyDescent="0.25">
      <c r="A67" s="134">
        <v>65</v>
      </c>
      <c r="B67" s="27" t="s">
        <v>593</v>
      </c>
      <c r="C67" s="27" t="s">
        <v>594</v>
      </c>
      <c r="D67" s="27" t="s">
        <v>141</v>
      </c>
      <c r="E67" s="400">
        <v>1097396169</v>
      </c>
      <c r="F67" s="27" t="s">
        <v>142</v>
      </c>
      <c r="G67" s="27" t="s">
        <v>143</v>
      </c>
      <c r="H67" s="136">
        <v>44709</v>
      </c>
      <c r="I67" s="136"/>
      <c r="J67" s="27" t="s">
        <v>144</v>
      </c>
      <c r="K67" s="137">
        <v>1300000</v>
      </c>
      <c r="L67" s="27" t="s">
        <v>145</v>
      </c>
      <c r="M67" s="27" t="s">
        <v>146</v>
      </c>
      <c r="O67" s="139" t="s">
        <v>595</v>
      </c>
      <c r="Q67" s="27" t="s">
        <v>148</v>
      </c>
      <c r="R67" s="27" t="s">
        <v>168</v>
      </c>
      <c r="S67" s="27" t="s">
        <v>150</v>
      </c>
      <c r="T67" s="27" t="s">
        <v>596</v>
      </c>
      <c r="U67" s="37">
        <v>33168</v>
      </c>
      <c r="V67" s="27" t="s">
        <v>597</v>
      </c>
      <c r="W67" s="27" t="s">
        <v>598</v>
      </c>
      <c r="X67" s="27" t="s">
        <v>154</v>
      </c>
      <c r="Y67" s="27" t="s">
        <v>543</v>
      </c>
      <c r="Z67" s="27" t="s">
        <v>559</v>
      </c>
      <c r="AA67" s="27" t="s">
        <v>545</v>
      </c>
      <c r="AB67" s="27" t="s">
        <v>599</v>
      </c>
      <c r="AC67" s="27" t="s">
        <v>160</v>
      </c>
      <c r="AD67" s="27" t="s">
        <v>160</v>
      </c>
      <c r="AE67" s="27" t="s">
        <v>161</v>
      </c>
      <c r="AF67" s="27" t="s">
        <v>162</v>
      </c>
      <c r="AG67" s="27" t="s">
        <v>177</v>
      </c>
      <c r="AH67" s="27" t="s">
        <v>164</v>
      </c>
      <c r="AI67" s="179"/>
      <c r="AP67" s="136"/>
      <c r="AT67" s="27" t="str">
        <f t="shared" ref="AT67:AT130" si="2">IF(ISBLANK(B67),"",IF(AP67="","Activo","Inactivo"))</f>
        <v>Activo</v>
      </c>
      <c r="AU67" s="27" cm="1">
        <f t="array" aca="1" ref="AU67" ca="1">_xlfn.IFS(AT67="","",AT67="Activo",TODAY()-H67,AT67="Inactivo",AP67-H67)</f>
        <v>751</v>
      </c>
      <c r="AV67" s="180">
        <f ca="1">IF(ISBLANK(Tabla1[[#This Row],[Fecha Nacimento (dd/mm/yyyy)]]),"",YEARFRAC(Tabla1[[#This Row],[Fecha Nacimento (dd/mm/yyyy)]],TODAY()))</f>
        <v>33.652777777777779</v>
      </c>
      <c r="AW67" s="141"/>
      <c r="AX67" s="27" t="str">
        <f t="shared" si="1"/>
        <v/>
      </c>
    </row>
    <row r="68" spans="1:50" s="27" customFormat="1" x14ac:dyDescent="0.25">
      <c r="A68" s="134">
        <v>66</v>
      </c>
      <c r="B68" s="27" t="s">
        <v>600</v>
      </c>
      <c r="C68" s="27" t="s">
        <v>601</v>
      </c>
      <c r="D68" s="27" t="s">
        <v>141</v>
      </c>
      <c r="E68" s="400">
        <v>41922227</v>
      </c>
      <c r="F68" s="27" t="s">
        <v>142</v>
      </c>
      <c r="G68" s="27" t="s">
        <v>143</v>
      </c>
      <c r="H68" s="136">
        <v>44713</v>
      </c>
      <c r="I68" s="136" t="s">
        <v>217</v>
      </c>
      <c r="J68" s="27" t="s">
        <v>144</v>
      </c>
      <c r="K68" s="140">
        <v>4640000</v>
      </c>
      <c r="L68" s="27" t="s">
        <v>164</v>
      </c>
      <c r="M68" s="27" t="s">
        <v>203</v>
      </c>
      <c r="N68" s="27" t="s">
        <v>145</v>
      </c>
      <c r="O68" s="139" t="s">
        <v>602</v>
      </c>
      <c r="Q68" s="27" t="s">
        <v>148</v>
      </c>
      <c r="R68" s="27" t="s">
        <v>168</v>
      </c>
      <c r="S68" s="27" t="s">
        <v>150</v>
      </c>
      <c r="T68" s="27" t="s">
        <v>603</v>
      </c>
      <c r="U68" s="136"/>
      <c r="V68" s="27" t="s">
        <v>604</v>
      </c>
      <c r="W68" s="27" t="s">
        <v>605</v>
      </c>
      <c r="X68" s="27" t="s">
        <v>464</v>
      </c>
      <c r="Y68" s="27" t="s">
        <v>465</v>
      </c>
      <c r="Z68" s="27" t="s">
        <v>33</v>
      </c>
      <c r="AA68" s="27" t="s">
        <v>302</v>
      </c>
      <c r="AB68" s="27" t="s">
        <v>158</v>
      </c>
      <c r="AC68" s="27" t="s">
        <v>159</v>
      </c>
      <c r="AD68" s="27" t="s">
        <v>160</v>
      </c>
      <c r="AE68" s="27" t="s">
        <v>1</v>
      </c>
      <c r="AF68" s="27" t="s">
        <v>162</v>
      </c>
      <c r="AG68" s="27" t="s">
        <v>163</v>
      </c>
      <c r="AI68" s="179"/>
      <c r="AP68" s="136"/>
      <c r="AT68" s="27" t="str">
        <f t="shared" si="2"/>
        <v>Activo</v>
      </c>
      <c r="AU68" s="27" cm="1">
        <f t="array" aca="1" ref="AU68" ca="1">_xlfn.IFS(AT68="","",AT68="Activo",TODAY()-H68,AT68="Inactivo",AP68-H68)</f>
        <v>747</v>
      </c>
      <c r="AV68" s="180" t="str">
        <f ca="1">IF(ISBLANK(Tabla1[[#This Row],[Fecha Nacimento (dd/mm/yyyy)]]),"",YEARFRAC(Tabla1[[#This Row],[Fecha Nacimento (dd/mm/yyyy)]],TODAY()))</f>
        <v/>
      </c>
      <c r="AW68" s="141"/>
      <c r="AX68" s="27" t="str">
        <f t="shared" ref="AX68:AX130" si="3">IFERROR(DATE(VALUE(MID(AW68,7,4)), VALUE(MID(AW68,4,2)), VALUE(MID(AW68,1,2))),"")</f>
        <v/>
      </c>
    </row>
    <row r="69" spans="1:50" s="27" customFormat="1" x14ac:dyDescent="0.25">
      <c r="A69" s="134">
        <v>67</v>
      </c>
      <c r="B69" s="27" t="s">
        <v>395</v>
      </c>
      <c r="C69" s="27" t="s">
        <v>606</v>
      </c>
      <c r="D69" s="27" t="s">
        <v>141</v>
      </c>
      <c r="E69" s="400">
        <v>1098311372</v>
      </c>
      <c r="F69" s="27" t="s">
        <v>142</v>
      </c>
      <c r="G69" s="27" t="s">
        <v>143</v>
      </c>
      <c r="H69" s="136">
        <v>44714</v>
      </c>
      <c r="I69" s="136"/>
      <c r="J69" s="27" t="s">
        <v>144</v>
      </c>
      <c r="K69" s="140">
        <v>1300000</v>
      </c>
      <c r="L69" s="27" t="s">
        <v>145</v>
      </c>
      <c r="M69" s="27" t="s">
        <v>355</v>
      </c>
      <c r="N69" s="27" t="s">
        <v>145</v>
      </c>
      <c r="O69" s="139" t="s">
        <v>607</v>
      </c>
      <c r="Q69" s="27" t="s">
        <v>148</v>
      </c>
      <c r="R69" s="27" t="s">
        <v>608</v>
      </c>
      <c r="S69" s="27" t="s">
        <v>150</v>
      </c>
      <c r="T69" s="27" t="s">
        <v>609</v>
      </c>
      <c r="U69" s="37">
        <v>34976</v>
      </c>
      <c r="V69" s="27" t="s">
        <v>610</v>
      </c>
      <c r="W69" s="27" t="s">
        <v>611</v>
      </c>
      <c r="X69" s="27" t="s">
        <v>612</v>
      </c>
      <c r="Y69" s="27" t="s">
        <v>613</v>
      </c>
      <c r="Z69" s="27" t="s">
        <v>614</v>
      </c>
      <c r="AA69" s="27" t="s">
        <v>615</v>
      </c>
      <c r="AB69" s="27" t="s">
        <v>175</v>
      </c>
      <c r="AC69" s="27" t="s">
        <v>271</v>
      </c>
      <c r="AD69" s="27" t="s">
        <v>271</v>
      </c>
      <c r="AE69" s="27" t="s">
        <v>616</v>
      </c>
      <c r="AF69" s="27" t="s">
        <v>176</v>
      </c>
      <c r="AG69" s="27" t="s">
        <v>177</v>
      </c>
      <c r="AH69" s="27" t="s">
        <v>164</v>
      </c>
      <c r="AI69" s="179"/>
      <c r="AJ69" s="27" t="s">
        <v>164</v>
      </c>
      <c r="AK69" s="27" t="s">
        <v>214</v>
      </c>
      <c r="AL69" s="27" t="s">
        <v>214</v>
      </c>
      <c r="AM69" s="27" t="s">
        <v>164</v>
      </c>
      <c r="AN69" s="27" t="s">
        <v>214</v>
      </c>
      <c r="AO69" s="27" t="s">
        <v>214</v>
      </c>
      <c r="AP69" s="136">
        <v>45381</v>
      </c>
      <c r="AQ69" s="27" t="s">
        <v>52</v>
      </c>
      <c r="AT69" s="27" t="str">
        <f t="shared" si="2"/>
        <v>Inactivo</v>
      </c>
      <c r="AU69" s="27" cm="1">
        <f t="array" aca="1" ref="AU69" ca="1">_xlfn.IFS(AT69="","",AT69="Activo",TODAY()-H69,AT69="Inactivo",AP69-H69)</f>
        <v>667</v>
      </c>
      <c r="AV69" s="180">
        <f ca="1">IF(ISBLANK(Tabla1[[#This Row],[Fecha Nacimento (dd/mm/yyyy)]]),"",YEARFRAC(Tabla1[[#This Row],[Fecha Nacimento (dd/mm/yyyy)]],TODAY()))</f>
        <v>28.702777777777779</v>
      </c>
      <c r="AW69" s="141"/>
      <c r="AX69" s="27" t="str">
        <f t="shared" si="3"/>
        <v/>
      </c>
    </row>
    <row r="70" spans="1:50" s="27" customFormat="1" x14ac:dyDescent="0.25">
      <c r="A70" s="134">
        <v>68</v>
      </c>
      <c r="B70" s="27" t="s">
        <v>617</v>
      </c>
      <c r="C70" s="27" t="s">
        <v>618</v>
      </c>
      <c r="D70" s="27" t="s">
        <v>141</v>
      </c>
      <c r="E70" s="400">
        <v>94233408</v>
      </c>
      <c r="F70" s="27" t="s">
        <v>142</v>
      </c>
      <c r="G70" s="27" t="s">
        <v>143</v>
      </c>
      <c r="H70" s="136">
        <v>44718</v>
      </c>
      <c r="I70" s="136"/>
      <c r="J70" s="27" t="s">
        <v>144</v>
      </c>
      <c r="K70" s="140">
        <v>1708000</v>
      </c>
      <c r="L70" s="27" t="s">
        <v>145</v>
      </c>
      <c r="M70" s="27" t="s">
        <v>227</v>
      </c>
      <c r="O70" s="139" t="s">
        <v>619</v>
      </c>
      <c r="Q70" s="27" t="s">
        <v>148</v>
      </c>
      <c r="R70" s="27" t="s">
        <v>149</v>
      </c>
      <c r="S70" s="27" t="s">
        <v>150</v>
      </c>
      <c r="T70" s="27" t="s">
        <v>620</v>
      </c>
      <c r="U70" s="37">
        <v>30950</v>
      </c>
      <c r="V70" s="27" t="s">
        <v>621</v>
      </c>
      <c r="W70" s="27" t="s">
        <v>622</v>
      </c>
      <c r="X70" s="27" t="s">
        <v>231</v>
      </c>
      <c r="Y70" s="27" t="s">
        <v>222</v>
      </c>
      <c r="Z70" s="27" t="s">
        <v>484</v>
      </c>
      <c r="AA70" s="27" t="s">
        <v>211</v>
      </c>
      <c r="AB70" s="27" t="s">
        <v>175</v>
      </c>
      <c r="AC70" s="27" t="s">
        <v>160</v>
      </c>
      <c r="AD70" s="27" t="s">
        <v>160</v>
      </c>
      <c r="AE70" s="27" t="s">
        <v>224</v>
      </c>
      <c r="AF70" s="27" t="s">
        <v>176</v>
      </c>
      <c r="AG70" s="27" t="s">
        <v>177</v>
      </c>
      <c r="AI70" s="179"/>
      <c r="AP70" s="136">
        <v>45306</v>
      </c>
      <c r="AQ70" s="27" t="s">
        <v>65</v>
      </c>
      <c r="AR70" s="27" t="s">
        <v>234</v>
      </c>
      <c r="AT70" s="27" t="str">
        <f t="shared" si="2"/>
        <v>Inactivo</v>
      </c>
      <c r="AU70" s="27" cm="1">
        <f t="array" aca="1" ref="AU70" ca="1">_xlfn.IFS(AT70="","",AT70="Activo",TODAY()-H70,AT70="Inactivo",AP70-H70)</f>
        <v>588</v>
      </c>
      <c r="AV70" s="180">
        <f ca="1">IF(ISBLANK(Tabla1[[#This Row],[Fecha Nacimento (dd/mm/yyyy)]]),"",YEARFRAC(Tabla1[[#This Row],[Fecha Nacimento (dd/mm/yyyy)]],TODAY()))</f>
        <v>39.727777777777774</v>
      </c>
      <c r="AW70" s="141"/>
      <c r="AX70" s="27" t="str">
        <f t="shared" si="3"/>
        <v/>
      </c>
    </row>
    <row r="71" spans="1:50" s="27" customFormat="1" x14ac:dyDescent="0.25">
      <c r="A71" s="134">
        <v>69</v>
      </c>
      <c r="B71" s="27" t="s">
        <v>623</v>
      </c>
      <c r="C71" s="27" t="s">
        <v>624</v>
      </c>
      <c r="D71" s="27" t="s">
        <v>141</v>
      </c>
      <c r="E71" s="400">
        <v>1007452295</v>
      </c>
      <c r="F71" s="27" t="s">
        <v>142</v>
      </c>
      <c r="G71" s="27" t="s">
        <v>143</v>
      </c>
      <c r="H71" s="136">
        <v>44740</v>
      </c>
      <c r="I71" s="136"/>
      <c r="J71" s="27" t="s">
        <v>144</v>
      </c>
      <c r="K71" s="140">
        <v>1377391</v>
      </c>
      <c r="L71" s="27" t="s">
        <v>145</v>
      </c>
      <c r="M71" s="27" t="s">
        <v>227</v>
      </c>
      <c r="O71" s="139" t="s">
        <v>625</v>
      </c>
      <c r="Q71" s="27" t="s">
        <v>148</v>
      </c>
      <c r="R71" s="27" t="s">
        <v>149</v>
      </c>
      <c r="S71" s="27" t="s">
        <v>150</v>
      </c>
      <c r="T71" s="27" t="s">
        <v>626</v>
      </c>
      <c r="U71" s="37">
        <v>36589</v>
      </c>
      <c r="V71" s="27" t="s">
        <v>621</v>
      </c>
      <c r="W71" s="27" t="s">
        <v>627</v>
      </c>
      <c r="X71" s="27" t="s">
        <v>231</v>
      </c>
      <c r="Y71" s="27" t="s">
        <v>222</v>
      </c>
      <c r="Z71" s="27" t="s">
        <v>223</v>
      </c>
      <c r="AA71" s="27" t="s">
        <v>211</v>
      </c>
      <c r="AB71" s="27" t="s">
        <v>416</v>
      </c>
      <c r="AC71" s="27" t="s">
        <v>160</v>
      </c>
      <c r="AD71" s="27" t="s">
        <v>160</v>
      </c>
      <c r="AE71" s="27" t="s">
        <v>224</v>
      </c>
      <c r="AF71" s="27" t="s">
        <v>162</v>
      </c>
      <c r="AG71" s="27" t="s">
        <v>177</v>
      </c>
      <c r="AI71" s="179"/>
      <c r="AP71" s="136">
        <v>45283</v>
      </c>
      <c r="AQ71" s="27" t="s">
        <v>52</v>
      </c>
      <c r="AT71" s="27" t="str">
        <f t="shared" si="2"/>
        <v>Inactivo</v>
      </c>
      <c r="AU71" s="27" cm="1">
        <f t="array" aca="1" ref="AU71" ca="1">_xlfn.IFS(AT71="","",AT71="Activo",TODAY()-H71,AT71="Inactivo",AP71-H71)</f>
        <v>543</v>
      </c>
      <c r="AV71" s="180">
        <f ca="1">IF(ISBLANK(Tabla1[[#This Row],[Fecha Nacimento (dd/mm/yyyy)]]),"",YEARFRAC(Tabla1[[#This Row],[Fecha Nacimento (dd/mm/yyyy)]],TODAY()))</f>
        <v>24.286111111111111</v>
      </c>
      <c r="AW71" s="141"/>
      <c r="AX71" s="27" t="str">
        <f t="shared" si="3"/>
        <v/>
      </c>
    </row>
    <row r="72" spans="1:50" s="27" customFormat="1" x14ac:dyDescent="0.25">
      <c r="A72" s="134">
        <v>70</v>
      </c>
      <c r="B72" s="27" t="s">
        <v>628</v>
      </c>
      <c r="C72" s="27" t="s">
        <v>629</v>
      </c>
      <c r="D72" s="27" t="s">
        <v>141</v>
      </c>
      <c r="E72" s="400">
        <v>1006438786</v>
      </c>
      <c r="F72" s="27" t="s">
        <v>142</v>
      </c>
      <c r="G72" s="27" t="s">
        <v>143</v>
      </c>
      <c r="H72" s="136">
        <v>44740</v>
      </c>
      <c r="I72" s="136"/>
      <c r="J72" s="27" t="s">
        <v>144</v>
      </c>
      <c r="K72" s="137">
        <v>1300000</v>
      </c>
      <c r="L72" s="27" t="s">
        <v>145</v>
      </c>
      <c r="M72" s="27" t="s">
        <v>227</v>
      </c>
      <c r="O72" s="27" t="s">
        <v>217</v>
      </c>
      <c r="Q72" s="27" t="s">
        <v>148</v>
      </c>
      <c r="R72" s="27" t="s">
        <v>149</v>
      </c>
      <c r="S72" s="27" t="s">
        <v>150</v>
      </c>
      <c r="T72" s="27" t="s">
        <v>630</v>
      </c>
      <c r="U72" s="37">
        <v>37617</v>
      </c>
      <c r="V72" s="27" t="s">
        <v>621</v>
      </c>
      <c r="W72" s="27" t="s">
        <v>631</v>
      </c>
      <c r="X72" s="27" t="s">
        <v>231</v>
      </c>
      <c r="Y72" s="27" t="s">
        <v>222</v>
      </c>
      <c r="Z72" s="27" t="s">
        <v>223</v>
      </c>
      <c r="AA72" s="27" t="s">
        <v>211</v>
      </c>
      <c r="AB72" s="27" t="s">
        <v>233</v>
      </c>
      <c r="AC72" s="27" t="s">
        <v>160</v>
      </c>
      <c r="AD72" s="27" t="s">
        <v>160</v>
      </c>
      <c r="AE72" s="27" t="s">
        <v>224</v>
      </c>
      <c r="AF72" s="27" t="s">
        <v>176</v>
      </c>
      <c r="AG72" s="27" t="s">
        <v>177</v>
      </c>
      <c r="AI72" s="179"/>
      <c r="AP72" s="136">
        <v>45306</v>
      </c>
      <c r="AQ72" s="27" t="s">
        <v>65</v>
      </c>
      <c r="AR72" s="27" t="s">
        <v>234</v>
      </c>
      <c r="AT72" s="27" t="str">
        <f t="shared" si="2"/>
        <v>Inactivo</v>
      </c>
      <c r="AU72" s="27" cm="1">
        <f t="array" aca="1" ref="AU72" ca="1">_xlfn.IFS(AT72="","",AT72="Activo",TODAY()-H72,AT72="Inactivo",AP72-H72)</f>
        <v>566</v>
      </c>
      <c r="AV72" s="180">
        <f ca="1">IF(ISBLANK(Tabla1[[#This Row],[Fecha Nacimento (dd/mm/yyyy)]]),"",YEARFRAC(Tabla1[[#This Row],[Fecha Nacimento (dd/mm/yyyy)]],TODAY()))</f>
        <v>21.472222222222221</v>
      </c>
      <c r="AW72" s="141"/>
      <c r="AX72" s="27" t="str">
        <f t="shared" si="3"/>
        <v/>
      </c>
    </row>
    <row r="73" spans="1:50" s="27" customFormat="1" x14ac:dyDescent="0.25">
      <c r="A73" s="134">
        <v>71</v>
      </c>
      <c r="B73" s="27" t="s">
        <v>632</v>
      </c>
      <c r="C73" s="27" t="s">
        <v>629</v>
      </c>
      <c r="D73" s="27" t="s">
        <v>141</v>
      </c>
      <c r="E73" s="400">
        <v>1006438785</v>
      </c>
      <c r="F73" s="27" t="s">
        <v>142</v>
      </c>
      <c r="G73" s="27" t="s">
        <v>143</v>
      </c>
      <c r="H73" s="136">
        <v>44740</v>
      </c>
      <c r="I73" s="136"/>
      <c r="J73" s="27" t="s">
        <v>144</v>
      </c>
      <c r="K73" s="137">
        <v>1300000</v>
      </c>
      <c r="L73" s="27" t="s">
        <v>145</v>
      </c>
      <c r="M73" s="27" t="s">
        <v>227</v>
      </c>
      <c r="O73" s="139" t="s">
        <v>633</v>
      </c>
      <c r="Q73" s="27" t="s">
        <v>148</v>
      </c>
      <c r="R73" s="27" t="s">
        <v>149</v>
      </c>
      <c r="S73" s="27" t="s">
        <v>150</v>
      </c>
      <c r="T73" s="27" t="s">
        <v>634</v>
      </c>
      <c r="U73" s="37">
        <v>37617</v>
      </c>
      <c r="V73" s="27" t="s">
        <v>621</v>
      </c>
      <c r="W73" s="27" t="s">
        <v>635</v>
      </c>
      <c r="X73" s="27" t="s">
        <v>231</v>
      </c>
      <c r="Y73" s="27" t="s">
        <v>222</v>
      </c>
      <c r="Z73" s="27" t="s">
        <v>223</v>
      </c>
      <c r="AA73" s="27" t="s">
        <v>211</v>
      </c>
      <c r="AB73" s="27" t="s">
        <v>233</v>
      </c>
      <c r="AC73" s="27" t="s">
        <v>160</v>
      </c>
      <c r="AD73" s="27" t="s">
        <v>160</v>
      </c>
      <c r="AE73" s="27" t="s">
        <v>224</v>
      </c>
      <c r="AF73" s="27" t="s">
        <v>176</v>
      </c>
      <c r="AG73" s="27" t="s">
        <v>177</v>
      </c>
      <c r="AI73" s="179"/>
      <c r="AP73" s="136">
        <v>45306</v>
      </c>
      <c r="AQ73" s="27" t="s">
        <v>65</v>
      </c>
      <c r="AR73" s="27" t="s">
        <v>234</v>
      </c>
      <c r="AT73" s="27" t="str">
        <f t="shared" si="2"/>
        <v>Inactivo</v>
      </c>
      <c r="AU73" s="27" cm="1">
        <f t="array" aca="1" ref="AU73" ca="1">_xlfn.IFS(AT73="","",AT73="Activo",TODAY()-H73,AT73="Inactivo",AP73-H73)</f>
        <v>566</v>
      </c>
      <c r="AV73" s="180">
        <f ca="1">IF(ISBLANK(Tabla1[[#This Row],[Fecha Nacimento (dd/mm/yyyy)]]),"",YEARFRAC(Tabla1[[#This Row],[Fecha Nacimento (dd/mm/yyyy)]],TODAY()))</f>
        <v>21.472222222222221</v>
      </c>
      <c r="AW73" s="141"/>
      <c r="AX73" s="27" t="str">
        <f t="shared" si="3"/>
        <v/>
      </c>
    </row>
    <row r="74" spans="1:50" s="27" customFormat="1" x14ac:dyDescent="0.25">
      <c r="A74" s="134">
        <v>72</v>
      </c>
      <c r="B74" s="27" t="s">
        <v>636</v>
      </c>
      <c r="C74" s="27" t="s">
        <v>637</v>
      </c>
      <c r="D74" s="27" t="s">
        <v>141</v>
      </c>
      <c r="E74" s="400">
        <v>6558638</v>
      </c>
      <c r="F74" s="27" t="s">
        <v>142</v>
      </c>
      <c r="G74" s="27" t="s">
        <v>143</v>
      </c>
      <c r="H74" s="136">
        <v>44743</v>
      </c>
      <c r="I74" s="136"/>
      <c r="J74" s="27" t="s">
        <v>144</v>
      </c>
      <c r="K74" s="140">
        <v>1624000</v>
      </c>
      <c r="L74" s="27" t="s">
        <v>145</v>
      </c>
      <c r="M74" s="27" t="s">
        <v>638</v>
      </c>
      <c r="O74" s="27" t="s">
        <v>217</v>
      </c>
      <c r="Q74" s="27" t="s">
        <v>148</v>
      </c>
      <c r="R74" s="27" t="s">
        <v>149</v>
      </c>
      <c r="S74" s="27" t="s">
        <v>150</v>
      </c>
      <c r="T74" s="27" t="s">
        <v>639</v>
      </c>
      <c r="U74" s="37">
        <v>20744</v>
      </c>
      <c r="V74" s="27" t="s">
        <v>640</v>
      </c>
      <c r="W74" s="27" t="s">
        <v>641</v>
      </c>
      <c r="X74" s="27" t="s">
        <v>231</v>
      </c>
      <c r="Y74" s="27" t="s">
        <v>222</v>
      </c>
      <c r="Z74" s="27" t="s">
        <v>642</v>
      </c>
      <c r="AA74" s="27" t="s">
        <v>211</v>
      </c>
      <c r="AB74" s="27" t="s">
        <v>233</v>
      </c>
      <c r="AC74" s="27" t="s">
        <v>160</v>
      </c>
      <c r="AD74" s="27" t="s">
        <v>160</v>
      </c>
      <c r="AE74" s="27" t="s">
        <v>224</v>
      </c>
      <c r="AF74" s="27" t="s">
        <v>176</v>
      </c>
      <c r="AG74" s="27" t="s">
        <v>177</v>
      </c>
      <c r="AI74" s="179"/>
      <c r="AP74" s="136">
        <v>45306</v>
      </c>
      <c r="AQ74" s="27" t="s">
        <v>65</v>
      </c>
      <c r="AR74" s="27" t="s">
        <v>234</v>
      </c>
      <c r="AT74" s="27" t="str">
        <f t="shared" si="2"/>
        <v>Inactivo</v>
      </c>
      <c r="AU74" s="27" cm="1">
        <f t="array" aca="1" ref="AU74" ca="1">_xlfn.IFS(AT74="","",AT74="Activo",TODAY()-H74,AT74="Inactivo",AP74-H74)</f>
        <v>563</v>
      </c>
      <c r="AV74" s="180">
        <f ca="1">IF(ISBLANK(Tabla1[[#This Row],[Fecha Nacimento (dd/mm/yyyy)]]),"",YEARFRAC(Tabla1[[#This Row],[Fecha Nacimento (dd/mm/yyyy)]],TODAY()))</f>
        <v>67.669444444444451</v>
      </c>
      <c r="AW74" s="141"/>
      <c r="AX74" s="27" t="str">
        <f t="shared" si="3"/>
        <v/>
      </c>
    </row>
    <row r="75" spans="1:50" s="27" customFormat="1" x14ac:dyDescent="0.25">
      <c r="A75" s="134">
        <v>73</v>
      </c>
      <c r="B75" s="27" t="s">
        <v>643</v>
      </c>
      <c r="C75" s="27" t="s">
        <v>644</v>
      </c>
      <c r="D75" s="27" t="s">
        <v>141</v>
      </c>
      <c r="E75" s="400">
        <v>41939066</v>
      </c>
      <c r="F75" s="27" t="s">
        <v>142</v>
      </c>
      <c r="G75" s="27" t="s">
        <v>143</v>
      </c>
      <c r="H75" s="136">
        <v>44765</v>
      </c>
      <c r="I75" s="136"/>
      <c r="J75" s="27" t="s">
        <v>144</v>
      </c>
      <c r="K75" s="140">
        <v>2021680</v>
      </c>
      <c r="L75" s="27" t="s">
        <v>145</v>
      </c>
      <c r="M75" s="27" t="s">
        <v>203</v>
      </c>
      <c r="N75" s="27" t="s">
        <v>145</v>
      </c>
      <c r="O75" s="139" t="s">
        <v>645</v>
      </c>
      <c r="Q75" s="27" t="s">
        <v>148</v>
      </c>
      <c r="R75" s="27" t="s">
        <v>377</v>
      </c>
      <c r="S75" s="27" t="s">
        <v>150</v>
      </c>
      <c r="T75" s="27" t="s">
        <v>646</v>
      </c>
      <c r="U75" s="37">
        <v>28400</v>
      </c>
      <c r="V75" s="27" t="s">
        <v>647</v>
      </c>
      <c r="W75" s="27" t="s">
        <v>648</v>
      </c>
      <c r="X75" s="27" t="s">
        <v>268</v>
      </c>
      <c r="Y75" s="27" t="s">
        <v>359</v>
      </c>
      <c r="Z75" s="27" t="s">
        <v>649</v>
      </c>
      <c r="AA75" s="27" t="s">
        <v>211</v>
      </c>
      <c r="AB75" s="27" t="s">
        <v>158</v>
      </c>
      <c r="AC75" s="27" t="s">
        <v>160</v>
      </c>
      <c r="AD75" s="27" t="s">
        <v>271</v>
      </c>
      <c r="AE75" s="27" t="s">
        <v>272</v>
      </c>
      <c r="AF75" s="27" t="s">
        <v>162</v>
      </c>
      <c r="AG75" s="27" t="s">
        <v>163</v>
      </c>
      <c r="AH75" s="27" t="s">
        <v>164</v>
      </c>
      <c r="AI75" s="179"/>
      <c r="AJ75" s="27" t="s">
        <v>164</v>
      </c>
      <c r="AK75" s="27" t="s">
        <v>214</v>
      </c>
      <c r="AL75" s="27" t="s">
        <v>214</v>
      </c>
      <c r="AM75" s="27" t="s">
        <v>164</v>
      </c>
      <c r="AN75" s="27" t="s">
        <v>214</v>
      </c>
      <c r="AO75" s="27" t="s">
        <v>164</v>
      </c>
      <c r="AP75" s="136"/>
      <c r="AT75" s="27" t="str">
        <f t="shared" si="2"/>
        <v>Activo</v>
      </c>
      <c r="AU75" s="27" cm="1">
        <f t="array" aca="1" ref="AU75" ca="1">_xlfn.IFS(AT75="","",AT75="Activo",TODAY()-H75,AT75="Inactivo",AP75-H75)</f>
        <v>695</v>
      </c>
      <c r="AV75" s="180">
        <f ca="1">IF(ISBLANK(Tabla1[[#This Row],[Fecha Nacimento (dd/mm/yyyy)]]),"",YEARFRAC(Tabla1[[#This Row],[Fecha Nacimento (dd/mm/yyyy)]],TODAY()))</f>
        <v>46.708333333333336</v>
      </c>
      <c r="AW75" s="141"/>
      <c r="AX75" s="27" t="str">
        <f t="shared" si="3"/>
        <v/>
      </c>
    </row>
    <row r="76" spans="1:50" s="27" customFormat="1" x14ac:dyDescent="0.25">
      <c r="A76" s="134">
        <v>74</v>
      </c>
      <c r="B76" s="27" t="s">
        <v>650</v>
      </c>
      <c r="C76" s="27" t="s">
        <v>651</v>
      </c>
      <c r="D76" s="27" t="s">
        <v>141</v>
      </c>
      <c r="E76" s="400">
        <v>43148847</v>
      </c>
      <c r="F76" s="27" t="s">
        <v>142</v>
      </c>
      <c r="G76" s="27" t="s">
        <v>143</v>
      </c>
      <c r="H76" s="136">
        <v>44774</v>
      </c>
      <c r="I76" s="136"/>
      <c r="J76" s="27" t="s">
        <v>144</v>
      </c>
      <c r="K76" s="140">
        <v>1300000</v>
      </c>
      <c r="L76" s="27" t="s">
        <v>145</v>
      </c>
      <c r="M76" s="27" t="s">
        <v>355</v>
      </c>
      <c r="N76" s="27" t="s">
        <v>145</v>
      </c>
      <c r="O76" s="139" t="s">
        <v>652</v>
      </c>
      <c r="Q76" s="27" t="s">
        <v>148</v>
      </c>
      <c r="R76" s="27" t="s">
        <v>608</v>
      </c>
      <c r="S76" s="27" t="s">
        <v>150</v>
      </c>
      <c r="T76" s="27" t="s">
        <v>653</v>
      </c>
      <c r="U76" s="37">
        <v>31066</v>
      </c>
      <c r="V76" s="27" t="s">
        <v>654</v>
      </c>
      <c r="W76" s="27" t="s">
        <v>217</v>
      </c>
      <c r="X76" s="27" t="s">
        <v>655</v>
      </c>
      <c r="Y76" s="27" t="s">
        <v>613</v>
      </c>
      <c r="Z76" s="27" t="s">
        <v>656</v>
      </c>
      <c r="AA76" s="27" t="s">
        <v>657</v>
      </c>
      <c r="AB76" s="27" t="s">
        <v>175</v>
      </c>
      <c r="AC76" s="27" t="s">
        <v>160</v>
      </c>
      <c r="AD76" s="27" t="s">
        <v>160</v>
      </c>
      <c r="AE76" s="27" t="s">
        <v>616</v>
      </c>
      <c r="AF76" s="27" t="s">
        <v>162</v>
      </c>
      <c r="AG76" s="27" t="s">
        <v>177</v>
      </c>
      <c r="AH76" s="27" t="s">
        <v>164</v>
      </c>
      <c r="AI76" s="179"/>
      <c r="AJ76" s="27" t="s">
        <v>164</v>
      </c>
      <c r="AK76" s="27" t="s">
        <v>214</v>
      </c>
      <c r="AL76" s="27" t="s">
        <v>214</v>
      </c>
      <c r="AM76" s="27" t="s">
        <v>164</v>
      </c>
      <c r="AN76" s="27" t="s">
        <v>214</v>
      </c>
      <c r="AO76" s="27" t="s">
        <v>214</v>
      </c>
      <c r="AP76" s="136"/>
      <c r="AT76" s="27" t="str">
        <f t="shared" si="2"/>
        <v>Activo</v>
      </c>
      <c r="AU76" s="27" cm="1">
        <f t="array" aca="1" ref="AU76" ca="1">_xlfn.IFS(AT76="","",AT76="Activo",TODAY()-H76,AT76="Inactivo",AP76-H76)</f>
        <v>686</v>
      </c>
      <c r="AV76" s="180">
        <f ca="1">IF(ISBLANK(Tabla1[[#This Row],[Fecha Nacimento (dd/mm/yyyy)]]),"",YEARFRAC(Tabla1[[#This Row],[Fecha Nacimento (dd/mm/yyyy)]],TODAY()))</f>
        <v>39.411111111111111</v>
      </c>
      <c r="AW76" s="141"/>
      <c r="AX76" s="27" t="str">
        <f t="shared" si="3"/>
        <v/>
      </c>
    </row>
    <row r="77" spans="1:50" s="27" customFormat="1" x14ac:dyDescent="0.25">
      <c r="A77" s="134">
        <v>75</v>
      </c>
      <c r="B77" s="27" t="s">
        <v>658</v>
      </c>
      <c r="C77" s="27" t="s">
        <v>166</v>
      </c>
      <c r="D77" s="27" t="s">
        <v>141</v>
      </c>
      <c r="E77" s="400">
        <v>7559732</v>
      </c>
      <c r="F77" s="27" t="s">
        <v>142</v>
      </c>
      <c r="G77" s="27" t="s">
        <v>143</v>
      </c>
      <c r="H77" s="136">
        <v>44795</v>
      </c>
      <c r="I77" s="136"/>
      <c r="J77" s="27" t="s">
        <v>144</v>
      </c>
      <c r="K77" s="140">
        <v>9990000</v>
      </c>
      <c r="L77" s="27" t="s">
        <v>164</v>
      </c>
      <c r="M77" s="27" t="s">
        <v>146</v>
      </c>
      <c r="O77" s="139" t="s">
        <v>659</v>
      </c>
      <c r="Q77" s="27" t="s">
        <v>148</v>
      </c>
      <c r="R77" s="27" t="s">
        <v>149</v>
      </c>
      <c r="S77" s="27" t="s">
        <v>150</v>
      </c>
      <c r="T77" s="27" t="s">
        <v>660</v>
      </c>
      <c r="U77" s="37">
        <v>25376</v>
      </c>
      <c r="V77" s="27" t="s">
        <v>152</v>
      </c>
      <c r="W77" s="27" t="s">
        <v>661</v>
      </c>
      <c r="X77" s="27" t="s">
        <v>154</v>
      </c>
      <c r="Y77" s="27" t="s">
        <v>155</v>
      </c>
      <c r="Z77" s="27" t="s">
        <v>662</v>
      </c>
      <c r="AA77" s="27" t="s">
        <v>157</v>
      </c>
      <c r="AB77" s="27" t="s">
        <v>158</v>
      </c>
      <c r="AC77" s="27" t="s">
        <v>159</v>
      </c>
      <c r="AD77" s="27" t="s">
        <v>160</v>
      </c>
      <c r="AE77" s="27" t="s">
        <v>161</v>
      </c>
      <c r="AF77" s="27" t="s">
        <v>176</v>
      </c>
      <c r="AG77" s="27" t="s">
        <v>163</v>
      </c>
      <c r="AH77" s="27" t="s">
        <v>164</v>
      </c>
      <c r="AI77" s="179"/>
      <c r="AP77" s="136"/>
      <c r="AT77" s="27" t="str">
        <f t="shared" si="2"/>
        <v>Activo</v>
      </c>
      <c r="AU77" s="27" cm="1">
        <f t="array" aca="1" ref="AU77" ca="1">_xlfn.IFS(AT77="","",AT77="Activo",TODAY()-H77,AT77="Inactivo",AP77-H77)</f>
        <v>665</v>
      </c>
      <c r="AV77" s="180">
        <f ca="1">IF(ISBLANK(Tabla1[[#This Row],[Fecha Nacimento (dd/mm/yyyy)]]),"",YEARFRAC(Tabla1[[#This Row],[Fecha Nacimento (dd/mm/yyyy)]],TODAY()))</f>
        <v>54.986111111111114</v>
      </c>
      <c r="AW77" s="141"/>
      <c r="AX77" s="27" t="str">
        <f t="shared" si="3"/>
        <v/>
      </c>
    </row>
    <row r="78" spans="1:50" s="27" customFormat="1" x14ac:dyDescent="0.25">
      <c r="A78" s="134">
        <v>76</v>
      </c>
      <c r="B78" s="27" t="s">
        <v>663</v>
      </c>
      <c r="C78" s="27" t="s">
        <v>664</v>
      </c>
      <c r="D78" s="27" t="s">
        <v>141</v>
      </c>
      <c r="E78" s="400">
        <v>41943826</v>
      </c>
      <c r="F78" s="27" t="s">
        <v>142</v>
      </c>
      <c r="G78" s="27" t="s">
        <v>143</v>
      </c>
      <c r="H78" s="136">
        <v>44805</v>
      </c>
      <c r="I78" s="136"/>
      <c r="J78" s="27" t="s">
        <v>144</v>
      </c>
      <c r="K78" s="137">
        <v>1300000</v>
      </c>
      <c r="L78" s="27" t="s">
        <v>145</v>
      </c>
      <c r="M78" s="27" t="s">
        <v>146</v>
      </c>
      <c r="O78" s="139" t="s">
        <v>665</v>
      </c>
      <c r="Q78" s="27" t="s">
        <v>148</v>
      </c>
      <c r="R78" s="27" t="s">
        <v>168</v>
      </c>
      <c r="S78" s="27" t="s">
        <v>150</v>
      </c>
      <c r="T78" s="27" t="s">
        <v>666</v>
      </c>
      <c r="U78" s="37">
        <v>29029</v>
      </c>
      <c r="V78" s="27" t="s">
        <v>667</v>
      </c>
      <c r="W78" s="27" t="s">
        <v>668</v>
      </c>
      <c r="X78" s="27" t="s">
        <v>154</v>
      </c>
      <c r="Y78" s="27" t="s">
        <v>543</v>
      </c>
      <c r="Z78" s="27" t="s">
        <v>559</v>
      </c>
      <c r="AA78" s="27" t="s">
        <v>545</v>
      </c>
      <c r="AB78" s="27" t="s">
        <v>158</v>
      </c>
      <c r="AC78" s="27" t="s">
        <v>159</v>
      </c>
      <c r="AD78" s="27" t="s">
        <v>160</v>
      </c>
      <c r="AE78" s="27" t="s">
        <v>161</v>
      </c>
      <c r="AF78" s="27" t="s">
        <v>162</v>
      </c>
      <c r="AG78" s="27" t="s">
        <v>177</v>
      </c>
      <c r="AH78" s="27" t="s">
        <v>164</v>
      </c>
      <c r="AI78" s="179"/>
      <c r="AP78" s="136"/>
      <c r="AT78" s="27" t="str">
        <f t="shared" si="2"/>
        <v>Activo</v>
      </c>
      <c r="AU78" s="27" cm="1">
        <f t="array" aca="1" ref="AU78" ca="1">_xlfn.IFS(AT78="","",AT78="Activo",TODAY()-H78,AT78="Inactivo",AP78-H78)</f>
        <v>655</v>
      </c>
      <c r="AV78" s="180">
        <f ca="1">IF(ISBLANK(Tabla1[[#This Row],[Fecha Nacimento (dd/mm/yyyy)]]),"",YEARFRAC(Tabla1[[#This Row],[Fecha Nacimento (dd/mm/yyyy)]],TODAY()))</f>
        <v>44.983333333333334</v>
      </c>
      <c r="AW78" s="141"/>
      <c r="AX78" s="27" t="str">
        <f t="shared" si="3"/>
        <v/>
      </c>
    </row>
    <row r="79" spans="1:50" s="27" customFormat="1" x14ac:dyDescent="0.25">
      <c r="A79" s="134">
        <v>77</v>
      </c>
      <c r="B79" s="27" t="s">
        <v>669</v>
      </c>
      <c r="C79" s="27" t="s">
        <v>670</v>
      </c>
      <c r="D79" s="27" t="s">
        <v>141</v>
      </c>
      <c r="E79" s="400">
        <v>94462631</v>
      </c>
      <c r="F79" s="27" t="s">
        <v>142</v>
      </c>
      <c r="G79" s="27" t="s">
        <v>143</v>
      </c>
      <c r="H79" s="136">
        <v>44805</v>
      </c>
      <c r="I79" s="136"/>
      <c r="J79" s="27" t="s">
        <v>144</v>
      </c>
      <c r="K79" s="138">
        <v>2088000</v>
      </c>
      <c r="L79" s="27" t="s">
        <v>145</v>
      </c>
      <c r="M79" s="27" t="s">
        <v>203</v>
      </c>
      <c r="N79" s="27" t="s">
        <v>145</v>
      </c>
      <c r="O79" s="139" t="s">
        <v>671</v>
      </c>
      <c r="Q79" s="27" t="s">
        <v>148</v>
      </c>
      <c r="R79" s="27" t="s">
        <v>149</v>
      </c>
      <c r="S79" s="27" t="s">
        <v>150</v>
      </c>
      <c r="T79" s="27" t="s">
        <v>672</v>
      </c>
      <c r="U79" s="37">
        <v>29739</v>
      </c>
      <c r="V79" s="27" t="s">
        <v>673</v>
      </c>
      <c r="W79" s="27" t="s">
        <v>674</v>
      </c>
      <c r="X79" s="27" t="s">
        <v>675</v>
      </c>
      <c r="Y79" s="27" t="s">
        <v>222</v>
      </c>
      <c r="Z79" s="27" t="s">
        <v>484</v>
      </c>
      <c r="AA79" s="27" t="s">
        <v>211</v>
      </c>
      <c r="AB79" s="27" t="s">
        <v>233</v>
      </c>
      <c r="AC79" s="27" t="s">
        <v>160</v>
      </c>
      <c r="AD79" s="27" t="s">
        <v>160</v>
      </c>
      <c r="AE79" s="27" t="s">
        <v>224</v>
      </c>
      <c r="AF79" s="27" t="s">
        <v>176</v>
      </c>
      <c r="AG79" s="27" t="s">
        <v>177</v>
      </c>
      <c r="AI79" s="179"/>
      <c r="AP79" s="136">
        <v>45306</v>
      </c>
      <c r="AQ79" s="27" t="s">
        <v>65</v>
      </c>
      <c r="AR79" s="27" t="s">
        <v>234</v>
      </c>
      <c r="AT79" s="27" t="str">
        <f t="shared" si="2"/>
        <v>Inactivo</v>
      </c>
      <c r="AU79" s="27" cm="1">
        <f t="array" aca="1" ref="AU79" ca="1">_xlfn.IFS(AT79="","",AT79="Activo",TODAY()-H79,AT79="Inactivo",AP79-H79)</f>
        <v>501</v>
      </c>
      <c r="AV79" s="180">
        <f ca="1">IF(ISBLANK(Tabla1[[#This Row],[Fecha Nacimento (dd/mm/yyyy)]]),"",YEARFRAC(Tabla1[[#This Row],[Fecha Nacimento (dd/mm/yyyy)]],TODAY()))</f>
        <v>43.041666666666664</v>
      </c>
      <c r="AW79" s="141"/>
      <c r="AX79" s="27" t="str">
        <f t="shared" si="3"/>
        <v/>
      </c>
    </row>
    <row r="80" spans="1:50" s="27" customFormat="1" x14ac:dyDescent="0.25">
      <c r="A80" s="134">
        <v>78</v>
      </c>
      <c r="B80" s="27" t="s">
        <v>676</v>
      </c>
      <c r="C80" s="27" t="s">
        <v>677</v>
      </c>
      <c r="D80" s="27" t="s">
        <v>141</v>
      </c>
      <c r="E80" s="400">
        <v>1094931656</v>
      </c>
      <c r="F80" s="27" t="s">
        <v>142</v>
      </c>
      <c r="G80" s="27" t="s">
        <v>143</v>
      </c>
      <c r="H80" s="136">
        <v>44817</v>
      </c>
      <c r="I80" s="136"/>
      <c r="J80" s="27" t="s">
        <v>144</v>
      </c>
      <c r="K80" s="137">
        <v>1300000</v>
      </c>
      <c r="L80" s="27" t="s">
        <v>145</v>
      </c>
      <c r="M80" s="27" t="s">
        <v>146</v>
      </c>
      <c r="O80" s="139" t="s">
        <v>678</v>
      </c>
      <c r="Q80" s="27" t="s">
        <v>148</v>
      </c>
      <c r="R80" s="27" t="s">
        <v>168</v>
      </c>
      <c r="S80" s="27" t="s">
        <v>150</v>
      </c>
      <c r="T80" s="27" t="s">
        <v>679</v>
      </c>
      <c r="U80" s="37">
        <v>33943</v>
      </c>
      <c r="V80" s="27" t="s">
        <v>680</v>
      </c>
      <c r="W80" s="27" t="s">
        <v>681</v>
      </c>
      <c r="X80" s="27" t="s">
        <v>154</v>
      </c>
      <c r="Y80" s="27" t="s">
        <v>543</v>
      </c>
      <c r="Z80" s="27" t="s">
        <v>559</v>
      </c>
      <c r="AA80" s="27" t="s">
        <v>545</v>
      </c>
      <c r="AB80" s="27" t="s">
        <v>493</v>
      </c>
      <c r="AC80" s="27" t="s">
        <v>271</v>
      </c>
      <c r="AD80" s="27" t="s">
        <v>160</v>
      </c>
      <c r="AE80" s="27" t="s">
        <v>161</v>
      </c>
      <c r="AF80" s="27" t="s">
        <v>162</v>
      </c>
      <c r="AG80" s="27" t="s">
        <v>177</v>
      </c>
      <c r="AH80" s="27" t="s">
        <v>164</v>
      </c>
      <c r="AI80" s="179"/>
      <c r="AP80" s="136">
        <v>45374</v>
      </c>
      <c r="AQ80" s="27" t="s">
        <v>52</v>
      </c>
      <c r="AT80" s="27" t="str">
        <f t="shared" si="2"/>
        <v>Inactivo</v>
      </c>
      <c r="AU80" s="27" cm="1">
        <f t="array" aca="1" ref="AU80" ca="1">_xlfn.IFS(AT80="","",AT80="Activo",TODAY()-H80,AT80="Inactivo",AP80-H80)</f>
        <v>557</v>
      </c>
      <c r="AV80" s="180">
        <f ca="1">IF(ISBLANK(Tabla1[[#This Row],[Fecha Nacimento (dd/mm/yyyy)]]),"",YEARFRAC(Tabla1[[#This Row],[Fecha Nacimento (dd/mm/yyyy)]],TODAY()))</f>
        <v>31.533333333333335</v>
      </c>
      <c r="AW80" s="141"/>
      <c r="AX80" s="27" t="str">
        <f t="shared" si="3"/>
        <v/>
      </c>
    </row>
    <row r="81" spans="1:50" s="27" customFormat="1" x14ac:dyDescent="0.25">
      <c r="A81" s="134">
        <v>79</v>
      </c>
      <c r="B81" s="27" t="s">
        <v>682</v>
      </c>
      <c r="C81" s="27" t="s">
        <v>683</v>
      </c>
      <c r="D81" s="27" t="s">
        <v>141</v>
      </c>
      <c r="E81" s="400">
        <v>1057759152</v>
      </c>
      <c r="F81" s="27" t="s">
        <v>142</v>
      </c>
      <c r="G81" s="27" t="s">
        <v>143</v>
      </c>
      <c r="H81" s="136">
        <v>44819</v>
      </c>
      <c r="I81" s="136"/>
      <c r="J81" s="27" t="s">
        <v>144</v>
      </c>
      <c r="K81" s="140">
        <v>1300000</v>
      </c>
      <c r="L81" s="27" t="s">
        <v>145</v>
      </c>
      <c r="M81" s="27" t="s">
        <v>355</v>
      </c>
      <c r="N81" s="135" t="s">
        <v>145</v>
      </c>
      <c r="O81" s="139" t="s">
        <v>684</v>
      </c>
      <c r="Q81" s="27" t="s">
        <v>205</v>
      </c>
      <c r="T81" s="27" t="s">
        <v>217</v>
      </c>
      <c r="U81" s="37"/>
      <c r="W81" s="27" t="s">
        <v>217</v>
      </c>
      <c r="X81" s="27" t="s">
        <v>685</v>
      </c>
      <c r="Y81" s="27" t="s">
        <v>613</v>
      </c>
      <c r="Z81" s="27" t="s">
        <v>656</v>
      </c>
      <c r="AA81" s="27" t="s">
        <v>657</v>
      </c>
      <c r="AB81" s="27" t="s">
        <v>175</v>
      </c>
      <c r="AC81" s="27" t="s">
        <v>160</v>
      </c>
      <c r="AD81" s="27" t="s">
        <v>160</v>
      </c>
      <c r="AE81" s="27" t="s">
        <v>616</v>
      </c>
      <c r="AF81" s="27" t="s">
        <v>162</v>
      </c>
      <c r="AG81" s="27" t="s">
        <v>177</v>
      </c>
      <c r="AH81" s="27" t="s">
        <v>164</v>
      </c>
      <c r="AI81" s="179"/>
      <c r="AJ81" s="27" t="s">
        <v>164</v>
      </c>
      <c r="AK81" s="27" t="s">
        <v>214</v>
      </c>
      <c r="AL81" s="27" t="s">
        <v>214</v>
      </c>
      <c r="AM81" s="27" t="s">
        <v>164</v>
      </c>
      <c r="AN81" s="27" t="s">
        <v>214</v>
      </c>
      <c r="AO81" s="27" t="s">
        <v>214</v>
      </c>
      <c r="AP81" s="136"/>
      <c r="AT81" s="27" t="str">
        <f t="shared" si="2"/>
        <v>Activo</v>
      </c>
      <c r="AU81" s="27" cm="1">
        <f t="array" aca="1" ref="AU81" ca="1">_xlfn.IFS(AT81="","",AT81="Activo",TODAY()-H81,AT81="Inactivo",AP81-H81)</f>
        <v>641</v>
      </c>
      <c r="AV81" s="180" t="str">
        <f ca="1">IF(ISBLANK(Tabla1[[#This Row],[Fecha Nacimento (dd/mm/yyyy)]]),"",YEARFRAC(Tabla1[[#This Row],[Fecha Nacimento (dd/mm/yyyy)]],TODAY()))</f>
        <v/>
      </c>
      <c r="AW81" s="141"/>
      <c r="AX81" s="27" t="str">
        <f t="shared" si="3"/>
        <v/>
      </c>
    </row>
    <row r="82" spans="1:50" s="27" customFormat="1" x14ac:dyDescent="0.25">
      <c r="A82" s="134">
        <v>80</v>
      </c>
      <c r="B82" s="27" t="s">
        <v>686</v>
      </c>
      <c r="C82" s="27" t="s">
        <v>687</v>
      </c>
      <c r="D82" s="27" t="s">
        <v>141</v>
      </c>
      <c r="E82" s="400">
        <v>1116444450</v>
      </c>
      <c r="F82" s="27" t="s">
        <v>142</v>
      </c>
      <c r="G82" s="27" t="s">
        <v>143</v>
      </c>
      <c r="H82" s="136">
        <v>44819</v>
      </c>
      <c r="I82" s="136"/>
      <c r="J82" s="27" t="s">
        <v>144</v>
      </c>
      <c r="K82" s="140">
        <v>1377391</v>
      </c>
      <c r="L82" s="27" t="s">
        <v>145</v>
      </c>
      <c r="M82" s="27" t="s">
        <v>227</v>
      </c>
      <c r="O82" s="139" t="s">
        <v>688</v>
      </c>
      <c r="Q82" s="27" t="s">
        <v>148</v>
      </c>
      <c r="R82" s="27" t="s">
        <v>168</v>
      </c>
      <c r="S82" s="27" t="s">
        <v>150</v>
      </c>
      <c r="T82" s="27" t="s">
        <v>689</v>
      </c>
      <c r="U82" s="37">
        <v>34734</v>
      </c>
      <c r="V82" s="27" t="s">
        <v>690</v>
      </c>
      <c r="W82" s="27" t="s">
        <v>691</v>
      </c>
      <c r="X82" s="27" t="s">
        <v>231</v>
      </c>
      <c r="Y82" s="27" t="s">
        <v>302</v>
      </c>
      <c r="Z82" s="27" t="s">
        <v>223</v>
      </c>
      <c r="AA82" s="27" t="s">
        <v>211</v>
      </c>
      <c r="AB82" s="27" t="s">
        <v>233</v>
      </c>
      <c r="AC82" s="27" t="s">
        <v>159</v>
      </c>
      <c r="AD82" s="27" t="s">
        <v>160</v>
      </c>
      <c r="AE82" s="27" t="s">
        <v>224</v>
      </c>
      <c r="AF82" s="27" t="s">
        <v>176</v>
      </c>
      <c r="AG82" s="27" t="s">
        <v>177</v>
      </c>
      <c r="AI82" s="179"/>
      <c r="AJ82" s="27" t="s">
        <v>164</v>
      </c>
      <c r="AL82" s="27" t="s">
        <v>164</v>
      </c>
      <c r="AM82" s="27" t="s">
        <v>145</v>
      </c>
      <c r="AO82" s="27" t="s">
        <v>145</v>
      </c>
      <c r="AP82" s="136">
        <v>45306</v>
      </c>
      <c r="AQ82" s="27" t="s">
        <v>65</v>
      </c>
      <c r="AR82" s="27" t="s">
        <v>234</v>
      </c>
      <c r="AT82" s="27" t="str">
        <f t="shared" si="2"/>
        <v>Inactivo</v>
      </c>
      <c r="AU82" s="27" cm="1">
        <f t="array" aca="1" ref="AU82" ca="1">_xlfn.IFS(AT82="","",AT82="Activo",TODAY()-H82,AT82="Inactivo",AP82-H82)</f>
        <v>487</v>
      </c>
      <c r="AV82" s="180">
        <f ca="1">IF(ISBLANK(Tabla1[[#This Row],[Fecha Nacimento (dd/mm/yyyy)]]),"",YEARFRAC(Tabla1[[#This Row],[Fecha Nacimento (dd/mm/yyyy)]],TODAY()))</f>
        <v>29.369444444444444</v>
      </c>
      <c r="AW82" s="141"/>
      <c r="AX82" s="27" t="str">
        <f t="shared" si="3"/>
        <v/>
      </c>
    </row>
    <row r="83" spans="1:50" s="27" customFormat="1" x14ac:dyDescent="0.25">
      <c r="A83" s="134">
        <v>81</v>
      </c>
      <c r="B83" s="141" t="s">
        <v>692</v>
      </c>
      <c r="C83" s="141" t="s">
        <v>693</v>
      </c>
      <c r="D83" s="27" t="s">
        <v>141</v>
      </c>
      <c r="E83" s="402">
        <v>10884368</v>
      </c>
      <c r="F83" s="141" t="s">
        <v>142</v>
      </c>
      <c r="G83" s="27" t="s">
        <v>143</v>
      </c>
      <c r="H83" s="142">
        <v>44835</v>
      </c>
      <c r="I83" s="136"/>
      <c r="J83" s="27" t="s">
        <v>144</v>
      </c>
      <c r="K83" s="143">
        <v>1300000</v>
      </c>
      <c r="L83" s="27" t="s">
        <v>164</v>
      </c>
      <c r="M83" s="141" t="s">
        <v>203</v>
      </c>
      <c r="O83" s="145" t="s">
        <v>694</v>
      </c>
      <c r="Q83" s="27" t="s">
        <v>205</v>
      </c>
      <c r="U83" s="181">
        <v>28313</v>
      </c>
      <c r="V83" s="141" t="s">
        <v>695</v>
      </c>
      <c r="W83" s="141" t="s">
        <v>696</v>
      </c>
      <c r="X83" s="141" t="s">
        <v>697</v>
      </c>
      <c r="Y83" s="141" t="s">
        <v>484</v>
      </c>
      <c r="Z83" s="141" t="s">
        <v>484</v>
      </c>
      <c r="AA83" s="141" t="s">
        <v>211</v>
      </c>
      <c r="AB83" s="141" t="s">
        <v>175</v>
      </c>
      <c r="AC83" s="141" t="s">
        <v>159</v>
      </c>
      <c r="AD83" s="141" t="s">
        <v>160</v>
      </c>
      <c r="AE83" s="27" t="s">
        <v>485</v>
      </c>
      <c r="AF83" s="27" t="s">
        <v>176</v>
      </c>
      <c r="AG83" s="27" t="s">
        <v>177</v>
      </c>
      <c r="AH83" s="27" t="s">
        <v>145</v>
      </c>
      <c r="AI83" s="179">
        <v>216000</v>
      </c>
      <c r="AJ83" s="27" t="s">
        <v>164</v>
      </c>
      <c r="AK83" s="27" t="s">
        <v>214</v>
      </c>
      <c r="AL83" s="27" t="s">
        <v>214</v>
      </c>
      <c r="AM83" s="27" t="s">
        <v>164</v>
      </c>
      <c r="AN83" s="27" t="s">
        <v>214</v>
      </c>
      <c r="AO83" s="27" t="s">
        <v>214</v>
      </c>
      <c r="AP83" s="136"/>
      <c r="AT83" s="27" t="str">
        <f t="shared" si="2"/>
        <v>Activo</v>
      </c>
      <c r="AU83" s="27" cm="1">
        <f t="array" aca="1" ref="AU83" ca="1">_xlfn.IFS(AT83="","",AT83="Activo",TODAY()-H83,AT83="Inactivo",AP83-H83)</f>
        <v>625</v>
      </c>
      <c r="AV83" s="180">
        <f ca="1">IF(ISBLANK(Tabla1[[#This Row],[Fecha Nacimento (dd/mm/yyyy)]]),"",YEARFRAC(Tabla1[[#This Row],[Fecha Nacimento (dd/mm/yyyy)]],TODAY()))</f>
        <v>46.944444444444443</v>
      </c>
      <c r="AW83" s="141"/>
      <c r="AX83" s="27" t="str">
        <f t="shared" si="3"/>
        <v/>
      </c>
    </row>
    <row r="84" spans="1:50" s="27" customFormat="1" x14ac:dyDescent="0.25">
      <c r="A84" s="134">
        <v>82</v>
      </c>
      <c r="B84" s="141" t="s">
        <v>698</v>
      </c>
      <c r="C84" s="141" t="s">
        <v>699</v>
      </c>
      <c r="D84" s="27" t="s">
        <v>141</v>
      </c>
      <c r="E84" s="402">
        <v>18415209</v>
      </c>
      <c r="F84" s="141" t="s">
        <v>142</v>
      </c>
      <c r="G84" s="27" t="s">
        <v>143</v>
      </c>
      <c r="H84" s="142">
        <v>44835</v>
      </c>
      <c r="I84" s="136"/>
      <c r="J84" s="27" t="s">
        <v>144</v>
      </c>
      <c r="K84" s="137">
        <v>1300000</v>
      </c>
      <c r="L84" s="27" t="s">
        <v>164</v>
      </c>
      <c r="M84" s="141" t="s">
        <v>203</v>
      </c>
      <c r="O84" s="145" t="s">
        <v>700</v>
      </c>
      <c r="Q84" s="27" t="s">
        <v>205</v>
      </c>
      <c r="U84" s="181">
        <v>26126</v>
      </c>
      <c r="V84" s="141" t="s">
        <v>701</v>
      </c>
      <c r="W84" s="141" t="s">
        <v>702</v>
      </c>
      <c r="X84" s="141" t="s">
        <v>703</v>
      </c>
      <c r="Y84" s="141" t="s">
        <v>351</v>
      </c>
      <c r="Z84" s="141" t="s">
        <v>352</v>
      </c>
      <c r="AA84" s="141" t="s">
        <v>211</v>
      </c>
      <c r="AB84" s="141" t="s">
        <v>175</v>
      </c>
      <c r="AC84" s="141" t="s">
        <v>160</v>
      </c>
      <c r="AD84" s="141" t="s">
        <v>160</v>
      </c>
      <c r="AE84" s="27" t="s">
        <v>213</v>
      </c>
      <c r="AF84" s="27" t="s">
        <v>176</v>
      </c>
      <c r="AG84" s="27" t="s">
        <v>177</v>
      </c>
      <c r="AH84" s="27" t="s">
        <v>145</v>
      </c>
      <c r="AI84" s="179">
        <v>352800</v>
      </c>
      <c r="AJ84" s="27" t="s">
        <v>164</v>
      </c>
      <c r="AK84" s="27" t="s">
        <v>214</v>
      </c>
      <c r="AL84" s="27" t="s">
        <v>214</v>
      </c>
      <c r="AM84" s="27" t="s">
        <v>164</v>
      </c>
      <c r="AN84" s="27" t="s">
        <v>214</v>
      </c>
      <c r="AO84" s="27" t="s">
        <v>214</v>
      </c>
      <c r="AP84" s="136"/>
      <c r="AT84" s="27" t="str">
        <f t="shared" si="2"/>
        <v>Activo</v>
      </c>
      <c r="AU84" s="27" cm="1">
        <f t="array" aca="1" ref="AU84" ca="1">_xlfn.IFS(AT84="","",AT84="Activo",TODAY()-H84,AT84="Inactivo",AP84-H84)</f>
        <v>625</v>
      </c>
      <c r="AV84" s="180">
        <f ca="1">IF(ISBLANK(Tabla1[[#This Row],[Fecha Nacimento (dd/mm/yyyy)]]),"",YEARFRAC(Tabla1[[#This Row],[Fecha Nacimento (dd/mm/yyyy)]],TODAY()))</f>
        <v>52.930555555555557</v>
      </c>
      <c r="AW84" s="141"/>
      <c r="AX84" s="27" t="str">
        <f t="shared" si="3"/>
        <v/>
      </c>
    </row>
    <row r="85" spans="1:50" s="27" customFormat="1" x14ac:dyDescent="0.25">
      <c r="A85" s="134">
        <v>83</v>
      </c>
      <c r="B85" s="27" t="s">
        <v>704</v>
      </c>
      <c r="C85" s="27" t="s">
        <v>705</v>
      </c>
      <c r="D85" s="27" t="s">
        <v>141</v>
      </c>
      <c r="E85" s="400">
        <v>1010064198</v>
      </c>
      <c r="F85" s="27" t="s">
        <v>142</v>
      </c>
      <c r="G85" s="27" t="s">
        <v>143</v>
      </c>
      <c r="H85" s="136">
        <v>44866</v>
      </c>
      <c r="I85" s="136" t="s">
        <v>217</v>
      </c>
      <c r="J85" s="27" t="s">
        <v>144</v>
      </c>
      <c r="K85" s="140">
        <v>2436000</v>
      </c>
      <c r="L85" s="27" t="s">
        <v>164</v>
      </c>
      <c r="M85" s="27" t="s">
        <v>203</v>
      </c>
      <c r="N85" s="27" t="s">
        <v>145</v>
      </c>
      <c r="O85" s="139" t="s">
        <v>706</v>
      </c>
      <c r="Q85" s="27" t="s">
        <v>148</v>
      </c>
      <c r="R85" s="27" t="s">
        <v>168</v>
      </c>
      <c r="S85" s="27" t="s">
        <v>150</v>
      </c>
      <c r="T85" s="27" t="s">
        <v>707</v>
      </c>
      <c r="U85" s="136"/>
      <c r="V85" s="27" t="s">
        <v>708</v>
      </c>
      <c r="W85" s="27" t="s">
        <v>709</v>
      </c>
      <c r="X85" s="27" t="s">
        <v>464</v>
      </c>
      <c r="Y85" s="27" t="s">
        <v>222</v>
      </c>
      <c r="Z85" s="27" t="s">
        <v>32</v>
      </c>
      <c r="AA85" s="27" t="s">
        <v>211</v>
      </c>
      <c r="AB85" s="27" t="s">
        <v>158</v>
      </c>
      <c r="AC85" s="27" t="s">
        <v>160</v>
      </c>
      <c r="AD85" s="27" t="s">
        <v>160</v>
      </c>
      <c r="AE85" s="27" t="s">
        <v>1</v>
      </c>
      <c r="AF85" s="27" t="s">
        <v>176</v>
      </c>
      <c r="AG85" s="27" t="s">
        <v>163</v>
      </c>
      <c r="AI85" s="179"/>
      <c r="AP85" s="136"/>
      <c r="AT85" s="27" t="str">
        <f t="shared" si="2"/>
        <v>Activo</v>
      </c>
      <c r="AU85" s="27" cm="1">
        <f t="array" aca="1" ref="AU85" ca="1">_xlfn.IFS(AT85="","",AT85="Activo",TODAY()-H85,AT85="Inactivo",AP85-H85)</f>
        <v>594</v>
      </c>
      <c r="AV85" s="180" t="str">
        <f ca="1">IF(ISBLANK(Tabla1[[#This Row],[Fecha Nacimento (dd/mm/yyyy)]]),"",YEARFRAC(Tabla1[[#This Row],[Fecha Nacimento (dd/mm/yyyy)]],TODAY()))</f>
        <v/>
      </c>
      <c r="AW85" s="141"/>
      <c r="AX85" s="27" t="str">
        <f t="shared" si="3"/>
        <v/>
      </c>
    </row>
    <row r="86" spans="1:50" s="27" customFormat="1" x14ac:dyDescent="0.25">
      <c r="A86" s="134">
        <v>84</v>
      </c>
      <c r="B86" s="27" t="s">
        <v>710</v>
      </c>
      <c r="C86" s="27" t="s">
        <v>711</v>
      </c>
      <c r="D86" s="27" t="s">
        <v>363</v>
      </c>
      <c r="E86" s="400">
        <v>6312904</v>
      </c>
      <c r="F86" s="27" t="s">
        <v>142</v>
      </c>
      <c r="G86" s="27" t="s">
        <v>143</v>
      </c>
      <c r="H86" s="136">
        <v>44866</v>
      </c>
      <c r="I86" s="136"/>
      <c r="J86" s="27" t="s">
        <v>144</v>
      </c>
      <c r="K86" s="140">
        <v>1300000</v>
      </c>
      <c r="L86" s="27" t="s">
        <v>164</v>
      </c>
      <c r="M86" s="27" t="s">
        <v>203</v>
      </c>
      <c r="Q86" s="27" t="s">
        <v>148</v>
      </c>
      <c r="R86" s="27" t="s">
        <v>168</v>
      </c>
      <c r="S86" s="27" t="s">
        <v>150</v>
      </c>
      <c r="T86" s="27" t="s">
        <v>712</v>
      </c>
      <c r="U86" s="37"/>
      <c r="V86" s="27" t="s">
        <v>217</v>
      </c>
      <c r="W86" s="38" t="s">
        <v>712</v>
      </c>
      <c r="X86" s="27" t="s">
        <v>343</v>
      </c>
      <c r="Y86" s="27" t="s">
        <v>172</v>
      </c>
      <c r="Z86" s="27" t="s">
        <v>713</v>
      </c>
      <c r="AA86" s="27" t="s">
        <v>211</v>
      </c>
      <c r="AB86" s="27" t="s">
        <v>259</v>
      </c>
      <c r="AC86" s="27" t="s">
        <v>271</v>
      </c>
      <c r="AD86" s="27" t="s">
        <v>271</v>
      </c>
      <c r="AE86" s="27" t="s">
        <v>431</v>
      </c>
      <c r="AF86" s="27" t="s">
        <v>176</v>
      </c>
      <c r="AG86" s="27" t="s">
        <v>177</v>
      </c>
      <c r="AH86" s="27" t="s">
        <v>145</v>
      </c>
      <c r="AI86" s="179">
        <v>52800</v>
      </c>
      <c r="AJ86" s="27" t="s">
        <v>304</v>
      </c>
      <c r="AK86" s="27" t="s">
        <v>214</v>
      </c>
      <c r="AL86" s="27" t="s">
        <v>214</v>
      </c>
      <c r="AM86" s="27" t="s">
        <v>164</v>
      </c>
      <c r="AN86" s="27" t="s">
        <v>214</v>
      </c>
      <c r="AO86" s="27" t="s">
        <v>214</v>
      </c>
      <c r="AP86" s="136"/>
      <c r="AT86" s="27" t="str">
        <f t="shared" si="2"/>
        <v>Activo</v>
      </c>
      <c r="AU86" s="27" cm="1">
        <f t="array" aca="1" ref="AU86" ca="1">_xlfn.IFS(AT86="","",AT86="Activo",TODAY()-H86,AT86="Inactivo",AP86-H86)</f>
        <v>594</v>
      </c>
      <c r="AV86" s="180" t="str">
        <f ca="1">IF(ISBLANK(Tabla1[[#This Row],[Fecha Nacimento (dd/mm/yyyy)]]),"",YEARFRAC(Tabla1[[#This Row],[Fecha Nacimento (dd/mm/yyyy)]],TODAY()))</f>
        <v/>
      </c>
      <c r="AW86" s="141"/>
      <c r="AX86" s="27" t="str">
        <f t="shared" si="3"/>
        <v/>
      </c>
    </row>
    <row r="87" spans="1:50" s="27" customFormat="1" x14ac:dyDescent="0.25">
      <c r="A87" s="134">
        <v>85</v>
      </c>
      <c r="B87" s="27" t="s">
        <v>714</v>
      </c>
      <c r="C87" s="27" t="s">
        <v>450</v>
      </c>
      <c r="D87" s="27" t="s">
        <v>141</v>
      </c>
      <c r="E87" s="400">
        <v>18401610</v>
      </c>
      <c r="F87" s="27" t="s">
        <v>142</v>
      </c>
      <c r="G87" s="27" t="s">
        <v>143</v>
      </c>
      <c r="H87" s="136">
        <v>44866</v>
      </c>
      <c r="I87" s="136"/>
      <c r="J87" s="27" t="s">
        <v>144</v>
      </c>
      <c r="K87" s="137">
        <v>1300000</v>
      </c>
      <c r="L87" s="27" t="s">
        <v>145</v>
      </c>
      <c r="M87" s="27" t="s">
        <v>203</v>
      </c>
      <c r="N87" s="27" t="s">
        <v>145</v>
      </c>
      <c r="O87" s="139" t="s">
        <v>715</v>
      </c>
      <c r="Q87" s="27" t="s">
        <v>148</v>
      </c>
      <c r="R87" s="27" t="s">
        <v>168</v>
      </c>
      <c r="S87" s="27" t="s">
        <v>150</v>
      </c>
      <c r="T87" s="27" t="s">
        <v>716</v>
      </c>
      <c r="U87" s="37">
        <v>30495</v>
      </c>
      <c r="V87" s="27" t="s">
        <v>717</v>
      </c>
      <c r="W87" s="27" t="s">
        <v>718</v>
      </c>
      <c r="X87" s="27" t="s">
        <v>268</v>
      </c>
      <c r="Y87" s="27" t="s">
        <v>367</v>
      </c>
      <c r="Z87" s="27" t="s">
        <v>368</v>
      </c>
      <c r="AA87" s="27" t="s">
        <v>211</v>
      </c>
      <c r="AB87" s="27" t="s">
        <v>259</v>
      </c>
      <c r="AC87" s="27" t="s">
        <v>159</v>
      </c>
      <c r="AD87" s="27" t="s">
        <v>271</v>
      </c>
      <c r="AE87" s="27" t="s">
        <v>272</v>
      </c>
      <c r="AF87" s="27" t="s">
        <v>176</v>
      </c>
      <c r="AG87" s="27" t="s">
        <v>177</v>
      </c>
      <c r="AH87" s="27" t="s">
        <v>145</v>
      </c>
      <c r="AI87" s="179">
        <v>300000</v>
      </c>
      <c r="AJ87" s="27" t="s">
        <v>164</v>
      </c>
      <c r="AK87" s="27" t="s">
        <v>214</v>
      </c>
      <c r="AL87" s="27" t="s">
        <v>214</v>
      </c>
      <c r="AM87" s="27" t="s">
        <v>164</v>
      </c>
      <c r="AN87" s="27" t="s">
        <v>214</v>
      </c>
      <c r="AO87" s="27" t="s">
        <v>164</v>
      </c>
      <c r="AP87" s="136"/>
      <c r="AT87" s="27" t="str">
        <f t="shared" si="2"/>
        <v>Activo</v>
      </c>
      <c r="AU87" s="27" cm="1">
        <f t="array" aca="1" ref="AU87" ca="1">_xlfn.IFS(AT87="","",AT87="Activo",TODAY()-H87,AT87="Inactivo",AP87-H87)</f>
        <v>594</v>
      </c>
      <c r="AV87" s="180">
        <f ca="1">IF(ISBLANK(Tabla1[[#This Row],[Fecha Nacimento (dd/mm/yyyy)]]),"",YEARFRAC(Tabla1[[#This Row],[Fecha Nacimento (dd/mm/yyyy)]],TODAY()))</f>
        <v>40.969444444444441</v>
      </c>
      <c r="AW87" s="141"/>
      <c r="AX87" s="27" t="str">
        <f t="shared" si="3"/>
        <v/>
      </c>
    </row>
    <row r="88" spans="1:50" s="27" customFormat="1" x14ac:dyDescent="0.25">
      <c r="A88" s="134">
        <v>86</v>
      </c>
      <c r="B88" s="27" t="s">
        <v>719</v>
      </c>
      <c r="C88" s="27" t="s">
        <v>720</v>
      </c>
      <c r="D88" s="27" t="s">
        <v>141</v>
      </c>
      <c r="E88" s="400">
        <v>1075684074</v>
      </c>
      <c r="F88" s="27" t="s">
        <v>142</v>
      </c>
      <c r="G88" s="27" t="s">
        <v>143</v>
      </c>
      <c r="H88" s="136">
        <v>44896</v>
      </c>
      <c r="I88" s="136"/>
      <c r="J88" s="27" t="s">
        <v>144</v>
      </c>
      <c r="K88" s="140">
        <v>1300000</v>
      </c>
      <c r="L88" s="27" t="s">
        <v>145</v>
      </c>
      <c r="M88" s="27" t="s">
        <v>355</v>
      </c>
      <c r="N88" s="27" t="s">
        <v>145</v>
      </c>
      <c r="O88" s="139" t="s">
        <v>721</v>
      </c>
      <c r="Q88" s="27" t="s">
        <v>148</v>
      </c>
      <c r="R88" s="27" t="s">
        <v>608</v>
      </c>
      <c r="S88" s="27" t="s">
        <v>150</v>
      </c>
      <c r="T88" s="27" t="s">
        <v>722</v>
      </c>
      <c r="U88" s="37">
        <v>35642</v>
      </c>
      <c r="V88" s="27" t="s">
        <v>723</v>
      </c>
      <c r="W88" s="27" t="s">
        <v>724</v>
      </c>
      <c r="X88" s="27" t="s">
        <v>655</v>
      </c>
      <c r="Y88" s="27" t="s">
        <v>613</v>
      </c>
      <c r="Z88" s="27" t="s">
        <v>656</v>
      </c>
      <c r="AA88" s="27" t="s">
        <v>657</v>
      </c>
      <c r="AB88" s="27" t="s">
        <v>725</v>
      </c>
      <c r="AC88" s="27" t="s">
        <v>271</v>
      </c>
      <c r="AD88" s="27" t="s">
        <v>271</v>
      </c>
      <c r="AE88" s="27" t="s">
        <v>616</v>
      </c>
      <c r="AF88" s="27" t="s">
        <v>162</v>
      </c>
      <c r="AG88" s="27" t="s">
        <v>177</v>
      </c>
      <c r="AH88" s="27" t="s">
        <v>164</v>
      </c>
      <c r="AI88" s="179"/>
      <c r="AJ88" s="27" t="s">
        <v>164</v>
      </c>
      <c r="AK88" s="27" t="s">
        <v>214</v>
      </c>
      <c r="AL88" s="27" t="s">
        <v>214</v>
      </c>
      <c r="AM88" s="27" t="s">
        <v>164</v>
      </c>
      <c r="AN88" s="27" t="s">
        <v>214</v>
      </c>
      <c r="AO88" s="27" t="s">
        <v>214</v>
      </c>
      <c r="AP88" s="136"/>
      <c r="AT88" s="27" t="str">
        <f t="shared" si="2"/>
        <v>Activo</v>
      </c>
      <c r="AU88" s="27" cm="1">
        <f t="array" aca="1" ref="AU88" ca="1">_xlfn.IFS(AT88="","",AT88="Activo",TODAY()-H88,AT88="Inactivo",AP88-H88)</f>
        <v>564</v>
      </c>
      <c r="AV88" s="180">
        <f ca="1">IF(ISBLANK(Tabla1[[#This Row],[Fecha Nacimento (dd/mm/yyyy)]]),"",YEARFRAC(Tabla1[[#This Row],[Fecha Nacimento (dd/mm/yyyy)]],TODAY()))</f>
        <v>26.880555555555556</v>
      </c>
      <c r="AW88" s="141"/>
      <c r="AX88" s="27" t="str">
        <f t="shared" si="3"/>
        <v/>
      </c>
    </row>
    <row r="89" spans="1:50" s="27" customFormat="1" x14ac:dyDescent="0.25">
      <c r="A89" s="134">
        <v>87</v>
      </c>
      <c r="B89" s="27" t="s">
        <v>726</v>
      </c>
      <c r="C89" s="27" t="s">
        <v>727</v>
      </c>
      <c r="D89" s="27" t="s">
        <v>141</v>
      </c>
      <c r="E89" s="400">
        <v>4404137</v>
      </c>
      <c r="F89" s="27" t="s">
        <v>142</v>
      </c>
      <c r="G89" s="27" t="s">
        <v>143</v>
      </c>
      <c r="H89" s="136">
        <v>44927</v>
      </c>
      <c r="I89" s="136"/>
      <c r="J89" s="27" t="s">
        <v>144</v>
      </c>
      <c r="K89" s="140">
        <v>1401515</v>
      </c>
      <c r="L89" s="27" t="s">
        <v>145</v>
      </c>
      <c r="M89" s="27" t="s">
        <v>262</v>
      </c>
      <c r="N89" s="27" t="s">
        <v>145</v>
      </c>
      <c r="O89" s="139" t="s">
        <v>728</v>
      </c>
      <c r="Q89" s="27" t="s">
        <v>148</v>
      </c>
      <c r="R89" s="27" t="s">
        <v>426</v>
      </c>
      <c r="S89" s="27" t="s">
        <v>150</v>
      </c>
      <c r="T89" s="27" t="s">
        <v>729</v>
      </c>
      <c r="U89" s="37">
        <v>29113</v>
      </c>
      <c r="V89" s="27" t="s">
        <v>730</v>
      </c>
      <c r="W89" s="27" t="s">
        <v>729</v>
      </c>
      <c r="X89" s="27" t="s">
        <v>731</v>
      </c>
      <c r="Y89" s="27" t="s">
        <v>401</v>
      </c>
      <c r="Z89" s="27" t="s">
        <v>401</v>
      </c>
      <c r="AA89" s="27" t="s">
        <v>211</v>
      </c>
      <c r="AB89" s="27" t="s">
        <v>725</v>
      </c>
      <c r="AC89" s="27" t="s">
        <v>271</v>
      </c>
      <c r="AD89" s="27" t="s">
        <v>271</v>
      </c>
      <c r="AE89" s="27" t="s">
        <v>732</v>
      </c>
      <c r="AF89" s="27" t="s">
        <v>176</v>
      </c>
      <c r="AG89" s="27" t="s">
        <v>163</v>
      </c>
      <c r="AH89" s="27" t="s">
        <v>164</v>
      </c>
      <c r="AI89" s="179"/>
      <c r="AJ89" s="27" t="s">
        <v>304</v>
      </c>
      <c r="AK89" s="27" t="s">
        <v>214</v>
      </c>
      <c r="AL89" s="27" t="s">
        <v>214</v>
      </c>
      <c r="AM89" s="27" t="s">
        <v>164</v>
      </c>
      <c r="AN89" s="27" t="s">
        <v>214</v>
      </c>
      <c r="AO89" s="27" t="s">
        <v>214</v>
      </c>
      <c r="AP89" s="136"/>
      <c r="AT89" s="27" t="str">
        <f t="shared" si="2"/>
        <v>Activo</v>
      </c>
      <c r="AU89" s="27" cm="1">
        <f t="array" aca="1" ref="AU89" ca="1">_xlfn.IFS(AT89="","",AT89="Activo",TODAY()-H89,AT89="Inactivo",AP89-H89)</f>
        <v>533</v>
      </c>
      <c r="AV89" s="180">
        <f ca="1">IF(ISBLANK(Tabla1[[#This Row],[Fecha Nacimento (dd/mm/yyyy)]]),"",YEARFRAC(Tabla1[[#This Row],[Fecha Nacimento (dd/mm/yyyy)]],TODAY()))</f>
        <v>44.755555555555553</v>
      </c>
      <c r="AW89" s="141"/>
      <c r="AX89" s="27" t="str">
        <f t="shared" si="3"/>
        <v/>
      </c>
    </row>
    <row r="90" spans="1:50" s="27" customFormat="1" x14ac:dyDescent="0.25">
      <c r="A90" s="134">
        <v>88</v>
      </c>
      <c r="B90" s="27" t="s">
        <v>733</v>
      </c>
      <c r="C90" s="27" t="s">
        <v>734</v>
      </c>
      <c r="D90" s="27" t="s">
        <v>141</v>
      </c>
      <c r="E90" s="400">
        <v>25019902</v>
      </c>
      <c r="F90" s="27" t="s">
        <v>142</v>
      </c>
      <c r="G90" s="27" t="s">
        <v>143</v>
      </c>
      <c r="H90" s="136">
        <v>44929</v>
      </c>
      <c r="I90" s="136" t="s">
        <v>217</v>
      </c>
      <c r="J90" s="27" t="s">
        <v>144</v>
      </c>
      <c r="K90" s="140">
        <v>1300000</v>
      </c>
      <c r="L90" s="27" t="s">
        <v>145</v>
      </c>
      <c r="M90" s="27" t="s">
        <v>203</v>
      </c>
      <c r="N90" s="27" t="s">
        <v>145</v>
      </c>
      <c r="O90" s="139" t="s">
        <v>735</v>
      </c>
      <c r="Q90" s="27" t="s">
        <v>148</v>
      </c>
      <c r="R90" s="27" t="s">
        <v>168</v>
      </c>
      <c r="S90" s="27" t="s">
        <v>150</v>
      </c>
      <c r="T90" s="27" t="s">
        <v>736</v>
      </c>
      <c r="U90" s="136"/>
      <c r="V90" s="27" t="s">
        <v>737</v>
      </c>
      <c r="W90" s="27" t="s">
        <v>738</v>
      </c>
      <c r="X90" s="27" t="s">
        <v>464</v>
      </c>
      <c r="Y90" s="27" t="s">
        <v>222</v>
      </c>
      <c r="Z90" s="27" t="s">
        <v>26</v>
      </c>
      <c r="AA90" s="27" t="s">
        <v>211</v>
      </c>
      <c r="AB90" s="27" t="s">
        <v>175</v>
      </c>
      <c r="AC90" s="27" t="s">
        <v>271</v>
      </c>
      <c r="AD90" s="27" t="s">
        <v>271</v>
      </c>
      <c r="AE90" s="27" t="s">
        <v>1</v>
      </c>
      <c r="AF90" s="27" t="s">
        <v>162</v>
      </c>
      <c r="AG90" s="27" t="s">
        <v>177</v>
      </c>
      <c r="AI90" s="179"/>
      <c r="AJ90" s="27" t="s">
        <v>145</v>
      </c>
      <c r="AL90" s="27" t="s">
        <v>164</v>
      </c>
      <c r="AP90" s="136"/>
      <c r="AT90" s="27" t="str">
        <f t="shared" si="2"/>
        <v>Activo</v>
      </c>
      <c r="AU90" s="27" cm="1">
        <f t="array" aca="1" ref="AU90" ca="1">_xlfn.IFS(AT90="","",AT90="Activo",TODAY()-H90,AT90="Inactivo",AP90-H90)</f>
        <v>531</v>
      </c>
      <c r="AV90" s="180" t="str">
        <f ca="1">IF(ISBLANK(Tabla1[[#This Row],[Fecha Nacimento (dd/mm/yyyy)]]),"",YEARFRAC(Tabla1[[#This Row],[Fecha Nacimento (dd/mm/yyyy)]],TODAY()))</f>
        <v/>
      </c>
      <c r="AW90" s="141"/>
      <c r="AX90" s="27" t="str">
        <f t="shared" si="3"/>
        <v/>
      </c>
    </row>
    <row r="91" spans="1:50" s="27" customFormat="1" x14ac:dyDescent="0.25">
      <c r="A91" s="134">
        <v>90</v>
      </c>
      <c r="B91" s="27" t="s">
        <v>739</v>
      </c>
      <c r="C91" s="27" t="s">
        <v>740</v>
      </c>
      <c r="D91" s="27" t="s">
        <v>141</v>
      </c>
      <c r="E91" s="400">
        <v>1091202104</v>
      </c>
      <c r="F91" s="27" t="s">
        <v>142</v>
      </c>
      <c r="G91" s="27" t="s">
        <v>143</v>
      </c>
      <c r="H91" s="136">
        <v>44947</v>
      </c>
      <c r="I91" s="136"/>
      <c r="J91" s="27" t="s">
        <v>144</v>
      </c>
      <c r="K91" s="137">
        <v>1300000</v>
      </c>
      <c r="L91" s="27" t="s">
        <v>145</v>
      </c>
      <c r="M91" s="27" t="s">
        <v>355</v>
      </c>
      <c r="N91" s="27" t="s">
        <v>145</v>
      </c>
      <c r="O91" s="139" t="s">
        <v>741</v>
      </c>
      <c r="Q91" s="27" t="s">
        <v>148</v>
      </c>
      <c r="R91" s="27" t="s">
        <v>608</v>
      </c>
      <c r="S91" s="27" t="s">
        <v>150</v>
      </c>
      <c r="T91" s="27" t="s">
        <v>742</v>
      </c>
      <c r="U91" s="37">
        <v>38006</v>
      </c>
      <c r="V91" s="183" t="s">
        <v>743</v>
      </c>
      <c r="W91" s="27" t="s">
        <v>744</v>
      </c>
      <c r="X91" s="27" t="s">
        <v>612</v>
      </c>
      <c r="Y91" s="27" t="s">
        <v>613</v>
      </c>
      <c r="Z91" s="27" t="s">
        <v>656</v>
      </c>
      <c r="AA91" s="27" t="s">
        <v>615</v>
      </c>
      <c r="AB91" s="27" t="s">
        <v>175</v>
      </c>
      <c r="AC91" s="27" t="s">
        <v>271</v>
      </c>
      <c r="AD91" s="27" t="s">
        <v>271</v>
      </c>
      <c r="AE91" s="27" t="s">
        <v>616</v>
      </c>
      <c r="AF91" s="27" t="s">
        <v>162</v>
      </c>
      <c r="AG91" s="27" t="s">
        <v>177</v>
      </c>
      <c r="AH91" s="27" t="s">
        <v>164</v>
      </c>
      <c r="AI91" s="179"/>
      <c r="AJ91" s="27" t="s">
        <v>164</v>
      </c>
      <c r="AK91" s="27" t="s">
        <v>214</v>
      </c>
      <c r="AL91" s="27" t="s">
        <v>214</v>
      </c>
      <c r="AM91" s="27" t="s">
        <v>164</v>
      </c>
      <c r="AN91" s="27" t="s">
        <v>214</v>
      </c>
      <c r="AO91" s="27" t="s">
        <v>214</v>
      </c>
      <c r="AP91" s="136">
        <v>45312</v>
      </c>
      <c r="AQ91" s="27" t="s">
        <v>52</v>
      </c>
      <c r="AT91" s="27" t="str">
        <f t="shared" si="2"/>
        <v>Inactivo</v>
      </c>
      <c r="AU91" s="27" cm="1">
        <f t="array" aca="1" ref="AU91" ca="1">_xlfn.IFS(AT91="","",AT91="Activo",TODAY()-H91,AT91="Inactivo",AP91-H91)</f>
        <v>365</v>
      </c>
      <c r="AV91" s="180">
        <f ca="1">IF(ISBLANK(Tabla1[[#This Row],[Fecha Nacimento (dd/mm/yyyy)]]),"",YEARFRAC(Tabla1[[#This Row],[Fecha Nacimento (dd/mm/yyyy)]],TODAY()))</f>
        <v>20.408333333333335</v>
      </c>
      <c r="AW91" s="141"/>
      <c r="AX91" s="27" t="str">
        <f t="shared" si="3"/>
        <v/>
      </c>
    </row>
    <row r="92" spans="1:50" s="27" customFormat="1" x14ac:dyDescent="0.25">
      <c r="A92" s="134">
        <v>91</v>
      </c>
      <c r="B92" s="27" t="s">
        <v>745</v>
      </c>
      <c r="C92" s="27" t="s">
        <v>746</v>
      </c>
      <c r="D92" s="27" t="s">
        <v>141</v>
      </c>
      <c r="E92" s="400">
        <v>1032492636</v>
      </c>
      <c r="F92" s="27" t="s">
        <v>142</v>
      </c>
      <c r="G92" s="27" t="s">
        <v>143</v>
      </c>
      <c r="H92" s="136">
        <v>44949</v>
      </c>
      <c r="I92" s="136"/>
      <c r="J92" s="27" t="s">
        <v>144</v>
      </c>
      <c r="K92" s="140">
        <v>1300000</v>
      </c>
      <c r="L92" s="27" t="s">
        <v>145</v>
      </c>
      <c r="M92" s="27" t="s">
        <v>262</v>
      </c>
      <c r="N92" s="27" t="s">
        <v>145</v>
      </c>
      <c r="O92" s="139" t="s">
        <v>747</v>
      </c>
      <c r="Q92" s="27" t="s">
        <v>148</v>
      </c>
      <c r="R92" s="27" t="s">
        <v>168</v>
      </c>
      <c r="S92" s="27" t="s">
        <v>150</v>
      </c>
      <c r="T92" s="141" t="s">
        <v>748</v>
      </c>
      <c r="U92" s="37">
        <v>35655</v>
      </c>
      <c r="V92" s="27" t="s">
        <v>749</v>
      </c>
      <c r="W92" s="27" t="s">
        <v>750</v>
      </c>
      <c r="X92" s="27" t="s">
        <v>751</v>
      </c>
      <c r="Y92" s="27" t="s">
        <v>752</v>
      </c>
      <c r="Z92" s="27" t="s">
        <v>753</v>
      </c>
      <c r="AA92" s="27" t="s">
        <v>302</v>
      </c>
      <c r="AB92" s="27" t="s">
        <v>158</v>
      </c>
      <c r="AC92" s="27" t="s">
        <v>271</v>
      </c>
      <c r="AD92" s="27" t="s">
        <v>271</v>
      </c>
      <c r="AE92" s="27" t="s">
        <v>494</v>
      </c>
      <c r="AF92" s="27" t="s">
        <v>162</v>
      </c>
      <c r="AG92" s="27" t="s">
        <v>177</v>
      </c>
      <c r="AH92" s="27" t="s">
        <v>145</v>
      </c>
      <c r="AI92" s="179">
        <v>500800</v>
      </c>
      <c r="AJ92" s="27" t="s">
        <v>164</v>
      </c>
      <c r="AK92" s="27" t="s">
        <v>214</v>
      </c>
      <c r="AL92" s="27" t="s">
        <v>164</v>
      </c>
      <c r="AM92" s="27" t="s">
        <v>164</v>
      </c>
      <c r="AN92" s="27" t="s">
        <v>214</v>
      </c>
      <c r="AO92" s="27" t="s">
        <v>164</v>
      </c>
      <c r="AP92" s="136">
        <v>45364</v>
      </c>
      <c r="AQ92" s="27" t="s">
        <v>60</v>
      </c>
      <c r="AT92" s="27" t="str">
        <f t="shared" si="2"/>
        <v>Inactivo</v>
      </c>
      <c r="AU92" s="27" cm="1">
        <f t="array" aca="1" ref="AU92" ca="1">_xlfn.IFS(AT92="","",AT92="Activo",TODAY()-H92,AT92="Inactivo",AP92-H92)</f>
        <v>415</v>
      </c>
      <c r="AV92" s="180">
        <f ca="1">IF(ISBLANK(Tabla1[[#This Row],[Fecha Nacimento (dd/mm/yyyy)]]),"",YEARFRAC(Tabla1[[#This Row],[Fecha Nacimento (dd/mm/yyyy)]],TODAY()))</f>
        <v>26.844444444444445</v>
      </c>
      <c r="AW92" s="141"/>
      <c r="AX92" s="27" t="str">
        <f t="shared" si="3"/>
        <v/>
      </c>
    </row>
    <row r="93" spans="1:50" s="27" customFormat="1" x14ac:dyDescent="0.25">
      <c r="A93" s="134">
        <v>92</v>
      </c>
      <c r="B93" s="27" t="s">
        <v>754</v>
      </c>
      <c r="C93" s="27" t="s">
        <v>755</v>
      </c>
      <c r="D93" s="27" t="s">
        <v>141</v>
      </c>
      <c r="E93" s="400">
        <v>24815705</v>
      </c>
      <c r="F93" s="27" t="s">
        <v>142</v>
      </c>
      <c r="G93" s="27" t="s">
        <v>143</v>
      </c>
      <c r="H93" s="136">
        <v>44949</v>
      </c>
      <c r="I93" s="136"/>
      <c r="J93" s="27" t="s">
        <v>144</v>
      </c>
      <c r="K93" s="140">
        <v>1500000</v>
      </c>
      <c r="L93" s="27" t="s">
        <v>145</v>
      </c>
      <c r="M93" s="27" t="s">
        <v>311</v>
      </c>
      <c r="O93" s="139" t="s">
        <v>756</v>
      </c>
      <c r="Q93" s="27" t="s">
        <v>148</v>
      </c>
      <c r="R93" s="27" t="s">
        <v>149</v>
      </c>
      <c r="S93" s="27" t="s">
        <v>150</v>
      </c>
      <c r="T93" s="27" t="s">
        <v>757</v>
      </c>
      <c r="U93" s="37">
        <v>30490</v>
      </c>
      <c r="V93" s="27" t="s">
        <v>758</v>
      </c>
      <c r="W93" s="27" t="s">
        <v>759</v>
      </c>
      <c r="X93" s="27" t="s">
        <v>316</v>
      </c>
      <c r="Y93" s="27" t="s">
        <v>302</v>
      </c>
      <c r="Z93" s="27" t="s">
        <v>509</v>
      </c>
      <c r="AA93" s="27" t="s">
        <v>302</v>
      </c>
      <c r="AB93" s="27" t="s">
        <v>158</v>
      </c>
      <c r="AC93" s="27" t="s">
        <v>160</v>
      </c>
      <c r="AD93" s="27" t="s">
        <v>160</v>
      </c>
      <c r="AE93" s="27" t="s">
        <v>224</v>
      </c>
      <c r="AF93" s="27" t="s">
        <v>162</v>
      </c>
      <c r="AG93" s="27" t="s">
        <v>177</v>
      </c>
      <c r="AI93" s="179"/>
      <c r="AP93" s="136">
        <v>45306</v>
      </c>
      <c r="AQ93" s="27" t="s">
        <v>65</v>
      </c>
      <c r="AR93" s="27" t="s">
        <v>234</v>
      </c>
      <c r="AT93" s="27" t="str">
        <f t="shared" si="2"/>
        <v>Inactivo</v>
      </c>
      <c r="AU93" s="27" cm="1">
        <f t="array" aca="1" ref="AU93" ca="1">_xlfn.IFS(AT93="","",AT93="Activo",TODAY()-H93,AT93="Inactivo",AP93-H93)</f>
        <v>357</v>
      </c>
      <c r="AV93" s="180">
        <f ca="1">IF(ISBLANK(Tabla1[[#This Row],[Fecha Nacimento (dd/mm/yyyy)]]),"",YEARFRAC(Tabla1[[#This Row],[Fecha Nacimento (dd/mm/yyyy)]],TODAY()))</f>
        <v>40.983333333333334</v>
      </c>
      <c r="AW93" s="141"/>
      <c r="AX93" s="27" t="str">
        <f t="shared" si="3"/>
        <v/>
      </c>
    </row>
    <row r="94" spans="1:50" s="27" customFormat="1" x14ac:dyDescent="0.25">
      <c r="A94" s="134">
        <v>93</v>
      </c>
      <c r="B94" s="27" t="s">
        <v>760</v>
      </c>
      <c r="C94" s="27" t="s">
        <v>761</v>
      </c>
      <c r="D94" s="27" t="s">
        <v>141</v>
      </c>
      <c r="E94" s="400">
        <v>1097399501</v>
      </c>
      <c r="F94" s="27" t="s">
        <v>142</v>
      </c>
      <c r="G94" s="27" t="s">
        <v>143</v>
      </c>
      <c r="H94" s="136">
        <v>44958</v>
      </c>
      <c r="I94" s="136" t="s">
        <v>217</v>
      </c>
      <c r="J94" s="27" t="s">
        <v>144</v>
      </c>
      <c r="K94" s="140">
        <v>1300000</v>
      </c>
      <c r="L94" s="27" t="s">
        <v>145</v>
      </c>
      <c r="M94" s="27" t="s">
        <v>203</v>
      </c>
      <c r="N94" s="27" t="s">
        <v>145</v>
      </c>
      <c r="O94" s="139" t="s">
        <v>762</v>
      </c>
      <c r="Q94" s="27" t="s">
        <v>148</v>
      </c>
      <c r="R94" s="27" t="s">
        <v>168</v>
      </c>
      <c r="S94" s="27" t="s">
        <v>150</v>
      </c>
      <c r="T94" s="27" t="s">
        <v>763</v>
      </c>
      <c r="U94" s="136"/>
      <c r="V94" s="27" t="s">
        <v>764</v>
      </c>
      <c r="W94" s="27" t="s">
        <v>765</v>
      </c>
      <c r="X94" s="27" t="s">
        <v>464</v>
      </c>
      <c r="Y94" s="27" t="s">
        <v>222</v>
      </c>
      <c r="Z94" s="27" t="s">
        <v>19</v>
      </c>
      <c r="AA94" s="27" t="s">
        <v>211</v>
      </c>
      <c r="AB94" s="27" t="s">
        <v>158</v>
      </c>
      <c r="AC94" s="27" t="s">
        <v>271</v>
      </c>
      <c r="AD94" s="27" t="s">
        <v>160</v>
      </c>
      <c r="AE94" s="27" t="s">
        <v>1</v>
      </c>
      <c r="AF94" s="27" t="s">
        <v>162</v>
      </c>
      <c r="AG94" s="27" t="s">
        <v>177</v>
      </c>
      <c r="AI94" s="179"/>
      <c r="AP94" s="136"/>
      <c r="AT94" s="27" t="str">
        <f t="shared" si="2"/>
        <v>Activo</v>
      </c>
      <c r="AU94" s="27" cm="1">
        <f t="array" aca="1" ref="AU94" ca="1">_xlfn.IFS(AT94="","",AT94="Activo",TODAY()-H94,AT94="Inactivo",AP94-H94)</f>
        <v>502</v>
      </c>
      <c r="AV94" s="180" t="str">
        <f ca="1">IF(ISBLANK(Tabla1[[#This Row],[Fecha Nacimento (dd/mm/yyyy)]]),"",YEARFRAC(Tabla1[[#This Row],[Fecha Nacimento (dd/mm/yyyy)]],TODAY()))</f>
        <v/>
      </c>
      <c r="AW94" s="141"/>
      <c r="AX94" s="27" t="str">
        <f t="shared" si="3"/>
        <v/>
      </c>
    </row>
    <row r="95" spans="1:50" s="27" customFormat="1" x14ac:dyDescent="0.25">
      <c r="A95" s="134">
        <v>94</v>
      </c>
      <c r="B95" s="27" t="s">
        <v>766</v>
      </c>
      <c r="C95" s="27" t="s">
        <v>767</v>
      </c>
      <c r="D95" s="27" t="s">
        <v>141</v>
      </c>
      <c r="E95" s="400">
        <v>1007397516</v>
      </c>
      <c r="F95" s="27" t="s">
        <v>142</v>
      </c>
      <c r="G95" s="27" t="s">
        <v>143</v>
      </c>
      <c r="H95" s="136">
        <v>44958</v>
      </c>
      <c r="I95" s="136"/>
      <c r="J95" s="27" t="s">
        <v>144</v>
      </c>
      <c r="K95" s="137">
        <v>1300000</v>
      </c>
      <c r="L95" s="27" t="s">
        <v>145</v>
      </c>
      <c r="M95" s="27" t="s">
        <v>203</v>
      </c>
      <c r="N95" s="27" t="s">
        <v>145</v>
      </c>
      <c r="O95" s="139" t="s">
        <v>768</v>
      </c>
      <c r="Q95" s="27" t="s">
        <v>148</v>
      </c>
      <c r="R95" s="27" t="s">
        <v>149</v>
      </c>
      <c r="S95" s="27" t="s">
        <v>150</v>
      </c>
      <c r="T95" s="27" t="s">
        <v>769</v>
      </c>
      <c r="U95" s="37">
        <v>35677</v>
      </c>
      <c r="V95" s="27" t="s">
        <v>770</v>
      </c>
      <c r="W95" s="27" t="s">
        <v>771</v>
      </c>
      <c r="X95" s="27" t="s">
        <v>675</v>
      </c>
      <c r="Y95" s="27" t="s">
        <v>222</v>
      </c>
      <c r="Z95" s="27" t="s">
        <v>223</v>
      </c>
      <c r="AA95" s="27" t="s">
        <v>211</v>
      </c>
      <c r="AB95" s="27" t="s">
        <v>233</v>
      </c>
      <c r="AC95" s="27" t="s">
        <v>159</v>
      </c>
      <c r="AD95" s="27" t="s">
        <v>160</v>
      </c>
      <c r="AE95" s="27" t="s">
        <v>224</v>
      </c>
      <c r="AF95" s="27" t="s">
        <v>176</v>
      </c>
      <c r="AG95" s="27" t="s">
        <v>177</v>
      </c>
      <c r="AI95" s="179"/>
      <c r="AP95" s="136">
        <v>45306</v>
      </c>
      <c r="AQ95" s="27" t="s">
        <v>65</v>
      </c>
      <c r="AR95" s="27" t="s">
        <v>234</v>
      </c>
      <c r="AT95" s="27" t="str">
        <f t="shared" si="2"/>
        <v>Inactivo</v>
      </c>
      <c r="AU95" s="27" cm="1">
        <f t="array" aca="1" ref="AU95" ca="1">_xlfn.IFS(AT95="","",AT95="Activo",TODAY()-H95,AT95="Inactivo",AP95-H95)</f>
        <v>348</v>
      </c>
      <c r="AV95" s="180">
        <f ca="1">IF(ISBLANK(Tabla1[[#This Row],[Fecha Nacimento (dd/mm/yyyy)]]),"",YEARFRAC(Tabla1[[#This Row],[Fecha Nacimento (dd/mm/yyyy)]],TODAY()))</f>
        <v>26.786111111111111</v>
      </c>
      <c r="AW95" s="141"/>
      <c r="AX95" s="27" t="str">
        <f t="shared" si="3"/>
        <v/>
      </c>
    </row>
    <row r="96" spans="1:50" s="27" customFormat="1" x14ac:dyDescent="0.25">
      <c r="A96" s="134">
        <v>95</v>
      </c>
      <c r="B96" s="27" t="s">
        <v>772</v>
      </c>
      <c r="C96" s="27" t="s">
        <v>773</v>
      </c>
      <c r="D96" s="27" t="s">
        <v>141</v>
      </c>
      <c r="E96" s="400">
        <v>1113042417</v>
      </c>
      <c r="F96" s="27" t="s">
        <v>142</v>
      </c>
      <c r="G96" s="27" t="s">
        <v>143</v>
      </c>
      <c r="H96" s="136">
        <v>44958</v>
      </c>
      <c r="I96" s="136"/>
      <c r="J96" s="27" t="s">
        <v>144</v>
      </c>
      <c r="K96" s="137">
        <v>1300000</v>
      </c>
      <c r="L96" s="27" t="s">
        <v>145</v>
      </c>
      <c r="M96" s="27" t="s">
        <v>203</v>
      </c>
      <c r="N96" s="27" t="s">
        <v>145</v>
      </c>
      <c r="O96" s="139" t="s">
        <v>774</v>
      </c>
      <c r="Q96" s="27" t="s">
        <v>148</v>
      </c>
      <c r="R96" s="27" t="s">
        <v>149</v>
      </c>
      <c r="S96" s="27" t="s">
        <v>150</v>
      </c>
      <c r="T96" s="27" t="s">
        <v>775</v>
      </c>
      <c r="U96" s="37">
        <v>35861</v>
      </c>
      <c r="V96" s="27" t="s">
        <v>776</v>
      </c>
      <c r="W96" s="27" t="s">
        <v>777</v>
      </c>
      <c r="X96" s="27" t="s">
        <v>675</v>
      </c>
      <c r="Y96" s="27" t="s">
        <v>222</v>
      </c>
      <c r="Z96" s="27" t="s">
        <v>223</v>
      </c>
      <c r="AA96" s="27" t="s">
        <v>211</v>
      </c>
      <c r="AB96" s="27" t="s">
        <v>186</v>
      </c>
      <c r="AC96" s="27" t="s">
        <v>160</v>
      </c>
      <c r="AD96" s="27" t="s">
        <v>160</v>
      </c>
      <c r="AE96" s="27" t="s">
        <v>224</v>
      </c>
      <c r="AF96" s="27" t="s">
        <v>176</v>
      </c>
      <c r="AG96" s="27" t="s">
        <v>177</v>
      </c>
      <c r="AI96" s="179"/>
      <c r="AP96" s="136">
        <v>45306</v>
      </c>
      <c r="AQ96" s="27" t="s">
        <v>65</v>
      </c>
      <c r="AR96" s="27" t="s">
        <v>234</v>
      </c>
      <c r="AT96" s="27" t="str">
        <f t="shared" si="2"/>
        <v>Inactivo</v>
      </c>
      <c r="AU96" s="27" cm="1">
        <f t="array" aca="1" ref="AU96" ca="1">_xlfn.IFS(AT96="","",AT96="Activo",TODAY()-H96,AT96="Inactivo",AP96-H96)</f>
        <v>348</v>
      </c>
      <c r="AV96" s="180">
        <f ca="1">IF(ISBLANK(Tabla1[[#This Row],[Fecha Nacimento (dd/mm/yyyy)]]),"",YEARFRAC(Tabla1[[#This Row],[Fecha Nacimento (dd/mm/yyyy)]],TODAY()))</f>
        <v>26.277777777777779</v>
      </c>
      <c r="AW96" s="141"/>
      <c r="AX96" s="27" t="str">
        <f t="shared" si="3"/>
        <v/>
      </c>
    </row>
    <row r="97" spans="1:50" s="27" customFormat="1" x14ac:dyDescent="0.25">
      <c r="A97" s="134">
        <v>96</v>
      </c>
      <c r="B97" s="27" t="s">
        <v>658</v>
      </c>
      <c r="C97" s="27" t="s">
        <v>778</v>
      </c>
      <c r="D97" s="27" t="s">
        <v>141</v>
      </c>
      <c r="E97" s="400">
        <v>89000785</v>
      </c>
      <c r="F97" s="27" t="s">
        <v>142</v>
      </c>
      <c r="G97" s="27" t="s">
        <v>143</v>
      </c>
      <c r="H97" s="136">
        <v>44959</v>
      </c>
      <c r="I97" s="136"/>
      <c r="J97" s="27" t="s">
        <v>144</v>
      </c>
      <c r="K97" s="137">
        <v>1300000</v>
      </c>
      <c r="L97" s="27" t="s">
        <v>145</v>
      </c>
      <c r="M97" s="27" t="s">
        <v>146</v>
      </c>
      <c r="O97" s="139" t="s">
        <v>779</v>
      </c>
      <c r="Q97" s="27" t="s">
        <v>148</v>
      </c>
      <c r="R97" s="27" t="s">
        <v>168</v>
      </c>
      <c r="S97" s="27" t="s">
        <v>150</v>
      </c>
      <c r="T97" s="27" t="s">
        <v>780</v>
      </c>
      <c r="U97" s="37">
        <v>27208</v>
      </c>
      <c r="V97" s="27" t="s">
        <v>781</v>
      </c>
      <c r="W97" s="27" t="s">
        <v>782</v>
      </c>
      <c r="X97" s="27" t="s">
        <v>154</v>
      </c>
      <c r="Y97" s="27" t="s">
        <v>172</v>
      </c>
      <c r="Z97" s="27" t="s">
        <v>552</v>
      </c>
      <c r="AA97" s="27" t="s">
        <v>174</v>
      </c>
      <c r="AB97" s="27" t="s">
        <v>186</v>
      </c>
      <c r="AC97" s="27" t="s">
        <v>160</v>
      </c>
      <c r="AD97" s="27" t="s">
        <v>160</v>
      </c>
      <c r="AE97" s="27" t="s">
        <v>161</v>
      </c>
      <c r="AF97" s="27" t="s">
        <v>176</v>
      </c>
      <c r="AG97" s="27" t="s">
        <v>177</v>
      </c>
      <c r="AH97" s="27" t="s">
        <v>164</v>
      </c>
      <c r="AI97" s="179"/>
      <c r="AP97" s="136"/>
      <c r="AT97" s="27" t="str">
        <f t="shared" si="2"/>
        <v>Activo</v>
      </c>
      <c r="AU97" s="27" cm="1">
        <f t="array" aca="1" ref="AU97" ca="1">_xlfn.IFS(AT97="","",AT97="Activo",TODAY()-H97,AT97="Inactivo",AP97-H97)</f>
        <v>501</v>
      </c>
      <c r="AV97" s="180">
        <f ca="1">IF(ISBLANK(Tabla1[[#This Row],[Fecha Nacimento (dd/mm/yyyy)]]),"",YEARFRAC(Tabla1[[#This Row],[Fecha Nacimento (dd/mm/yyyy)]],TODAY()))</f>
        <v>49.969444444444441</v>
      </c>
      <c r="AW97" s="141"/>
      <c r="AX97" s="27" t="str">
        <f t="shared" si="3"/>
        <v/>
      </c>
    </row>
    <row r="98" spans="1:50" s="27" customFormat="1" x14ac:dyDescent="0.25">
      <c r="A98" s="134">
        <v>97</v>
      </c>
      <c r="B98" s="27" t="s">
        <v>783</v>
      </c>
      <c r="C98" s="27" t="s">
        <v>784</v>
      </c>
      <c r="D98" s="27" t="s">
        <v>141</v>
      </c>
      <c r="E98" s="400">
        <v>1094952340</v>
      </c>
      <c r="F98" s="27" t="s">
        <v>142</v>
      </c>
      <c r="G98" s="27" t="s">
        <v>143</v>
      </c>
      <c r="H98" s="136">
        <v>44964</v>
      </c>
      <c r="I98" s="136"/>
      <c r="J98" s="27" t="s">
        <v>144</v>
      </c>
      <c r="K98" s="137">
        <v>1300000</v>
      </c>
      <c r="L98" s="27" t="s">
        <v>145</v>
      </c>
      <c r="M98" s="27" t="s">
        <v>355</v>
      </c>
      <c r="N98" s="27" t="s">
        <v>145</v>
      </c>
      <c r="O98" s="27" t="s">
        <v>217</v>
      </c>
      <c r="Q98" s="27" t="s">
        <v>148</v>
      </c>
      <c r="R98" s="27" t="s">
        <v>371</v>
      </c>
      <c r="S98" s="27" t="s">
        <v>150</v>
      </c>
      <c r="T98" s="27" t="s">
        <v>785</v>
      </c>
      <c r="U98" s="37">
        <v>34993</v>
      </c>
      <c r="V98" s="27" t="s">
        <v>786</v>
      </c>
      <c r="W98" s="27" t="s">
        <v>217</v>
      </c>
      <c r="X98" s="27" t="s">
        <v>268</v>
      </c>
      <c r="Y98" s="27" t="s">
        <v>367</v>
      </c>
      <c r="Z98" s="27" t="s">
        <v>368</v>
      </c>
      <c r="AA98" s="27" t="s">
        <v>211</v>
      </c>
      <c r="AB98" s="27" t="s">
        <v>259</v>
      </c>
      <c r="AC98" s="27" t="s">
        <v>160</v>
      </c>
      <c r="AD98" s="27" t="s">
        <v>271</v>
      </c>
      <c r="AE98" s="27" t="s">
        <v>272</v>
      </c>
      <c r="AF98" s="27" t="s">
        <v>162</v>
      </c>
      <c r="AG98" s="27" t="s">
        <v>177</v>
      </c>
      <c r="AH98" s="27" t="s">
        <v>164</v>
      </c>
      <c r="AI98" s="179"/>
      <c r="AJ98" s="27" t="s">
        <v>164</v>
      </c>
      <c r="AK98" s="27" t="s">
        <v>214</v>
      </c>
      <c r="AL98" s="27" t="s">
        <v>214</v>
      </c>
      <c r="AM98" s="27" t="s">
        <v>164</v>
      </c>
      <c r="AN98" s="27" t="s">
        <v>214</v>
      </c>
      <c r="AO98" s="27" t="s">
        <v>164</v>
      </c>
      <c r="AP98" s="136"/>
      <c r="AT98" s="27" t="str">
        <f t="shared" si="2"/>
        <v>Activo</v>
      </c>
      <c r="AU98" s="27" cm="1">
        <f t="array" aca="1" ref="AU98" ca="1">_xlfn.IFS(AT98="","",AT98="Activo",TODAY()-H98,AT98="Inactivo",AP98-H98)</f>
        <v>496</v>
      </c>
      <c r="AV98" s="180">
        <f ca="1">IF(ISBLANK(Tabla1[[#This Row],[Fecha Nacimento (dd/mm/yyyy)]]),"",YEARFRAC(Tabla1[[#This Row],[Fecha Nacimento (dd/mm/yyyy)]],TODAY()))</f>
        <v>28.655555555555555</v>
      </c>
      <c r="AW98" s="141"/>
      <c r="AX98" s="27" t="str">
        <f t="shared" si="3"/>
        <v/>
      </c>
    </row>
    <row r="99" spans="1:50" s="27" customFormat="1" x14ac:dyDescent="0.25">
      <c r="A99" s="134">
        <v>98</v>
      </c>
      <c r="B99" s="27" t="s">
        <v>787</v>
      </c>
      <c r="C99" s="27" t="s">
        <v>788</v>
      </c>
      <c r="D99" s="27" t="s">
        <v>141</v>
      </c>
      <c r="E99" s="400">
        <v>9912051</v>
      </c>
      <c r="F99" s="27" t="s">
        <v>142</v>
      </c>
      <c r="G99" s="27" t="s">
        <v>143</v>
      </c>
      <c r="H99" s="136">
        <v>44965</v>
      </c>
      <c r="I99" s="136"/>
      <c r="J99" s="27" t="s">
        <v>144</v>
      </c>
      <c r="K99" s="140">
        <v>1300000</v>
      </c>
      <c r="L99" s="27" t="s">
        <v>164</v>
      </c>
      <c r="M99" s="27" t="s">
        <v>203</v>
      </c>
      <c r="O99" s="139" t="s">
        <v>789</v>
      </c>
      <c r="Q99" s="27" t="s">
        <v>148</v>
      </c>
      <c r="R99" s="27" t="s">
        <v>149</v>
      </c>
      <c r="S99" s="27" t="s">
        <v>150</v>
      </c>
      <c r="T99" s="27" t="s">
        <v>790</v>
      </c>
      <c r="U99" s="37">
        <v>30926</v>
      </c>
      <c r="V99" s="27" t="s">
        <v>791</v>
      </c>
      <c r="W99" s="27" t="s">
        <v>792</v>
      </c>
      <c r="X99" s="27" t="s">
        <v>793</v>
      </c>
      <c r="Y99" s="27" t="s">
        <v>172</v>
      </c>
      <c r="Z99" s="141" t="s">
        <v>430</v>
      </c>
      <c r="AA99" s="27" t="s">
        <v>211</v>
      </c>
      <c r="AB99" s="27" t="s">
        <v>175</v>
      </c>
      <c r="AC99" s="27" t="s">
        <v>271</v>
      </c>
      <c r="AD99" s="27" t="s">
        <v>271</v>
      </c>
      <c r="AE99" s="27" t="s">
        <v>431</v>
      </c>
      <c r="AF99" s="27" t="s">
        <v>176</v>
      </c>
      <c r="AG99" s="27" t="s">
        <v>177</v>
      </c>
      <c r="AH99" s="27" t="s">
        <v>145</v>
      </c>
      <c r="AI99" s="179">
        <v>332800</v>
      </c>
      <c r="AJ99" s="27" t="s">
        <v>304</v>
      </c>
      <c r="AK99" s="27" t="s">
        <v>214</v>
      </c>
      <c r="AL99" s="27" t="s">
        <v>214</v>
      </c>
      <c r="AM99" s="27" t="s">
        <v>164</v>
      </c>
      <c r="AN99" s="27" t="s">
        <v>214</v>
      </c>
      <c r="AO99" s="27" t="s">
        <v>214</v>
      </c>
      <c r="AP99" s="136">
        <v>45322</v>
      </c>
      <c r="AQ99" s="27" t="s">
        <v>52</v>
      </c>
      <c r="AT99" s="27" t="str">
        <f t="shared" si="2"/>
        <v>Inactivo</v>
      </c>
      <c r="AU99" s="27" cm="1">
        <f t="array" aca="1" ref="AU99" ca="1">_xlfn.IFS(AT99="","",AT99="Activo",TODAY()-H99,AT99="Inactivo",AP99-H99)</f>
        <v>357</v>
      </c>
      <c r="AV99" s="180">
        <f ca="1">IF(ISBLANK(Tabla1[[#This Row],[Fecha Nacimento (dd/mm/yyyy)]]),"",YEARFRAC(Tabla1[[#This Row],[Fecha Nacimento (dd/mm/yyyy)]],TODAY()))</f>
        <v>39.794444444444444</v>
      </c>
      <c r="AW99" s="141"/>
      <c r="AX99" s="27" t="str">
        <f t="shared" si="3"/>
        <v/>
      </c>
    </row>
    <row r="100" spans="1:50" s="27" customFormat="1" x14ac:dyDescent="0.25">
      <c r="A100" s="134">
        <v>99</v>
      </c>
      <c r="B100" s="27" t="s">
        <v>794</v>
      </c>
      <c r="C100" s="27" t="s">
        <v>795</v>
      </c>
      <c r="D100" s="27" t="s">
        <v>141</v>
      </c>
      <c r="E100" s="400">
        <v>1006439026</v>
      </c>
      <c r="F100" s="27" t="s">
        <v>142</v>
      </c>
      <c r="G100" s="27" t="s">
        <v>143</v>
      </c>
      <c r="H100" s="136">
        <v>44970</v>
      </c>
      <c r="I100" s="136"/>
      <c r="J100" s="27" t="s">
        <v>144</v>
      </c>
      <c r="K100" s="137">
        <v>1300000</v>
      </c>
      <c r="L100" s="27" t="s">
        <v>145</v>
      </c>
      <c r="M100" s="27" t="s">
        <v>203</v>
      </c>
      <c r="O100" s="139" t="s">
        <v>796</v>
      </c>
      <c r="Q100" s="27" t="s">
        <v>148</v>
      </c>
      <c r="R100" s="27" t="s">
        <v>149</v>
      </c>
      <c r="S100" s="27" t="s">
        <v>150</v>
      </c>
      <c r="T100" s="27" t="s">
        <v>797</v>
      </c>
      <c r="U100" s="37"/>
      <c r="V100" s="27" t="s">
        <v>798</v>
      </c>
      <c r="W100" s="27" t="s">
        <v>799</v>
      </c>
      <c r="X100" s="27" t="s">
        <v>231</v>
      </c>
      <c r="Y100" s="27" t="s">
        <v>222</v>
      </c>
      <c r="Z100" s="27" t="s">
        <v>223</v>
      </c>
      <c r="AA100" s="27" t="s">
        <v>211</v>
      </c>
      <c r="AB100" s="27" t="s">
        <v>175</v>
      </c>
      <c r="AC100" s="27" t="s">
        <v>160</v>
      </c>
      <c r="AD100" s="27" t="s">
        <v>160</v>
      </c>
      <c r="AE100" s="27" t="s">
        <v>224</v>
      </c>
      <c r="AF100" s="27" t="s">
        <v>176</v>
      </c>
      <c r="AG100" s="27" t="s">
        <v>177</v>
      </c>
      <c r="AI100" s="179"/>
      <c r="AP100" s="136">
        <v>45306</v>
      </c>
      <c r="AQ100" s="27" t="s">
        <v>65</v>
      </c>
      <c r="AR100" s="27" t="s">
        <v>234</v>
      </c>
      <c r="AT100" s="27" t="str">
        <f t="shared" si="2"/>
        <v>Inactivo</v>
      </c>
      <c r="AU100" s="27" cm="1">
        <f t="array" aca="1" ref="AU100" ca="1">_xlfn.IFS(AT100="","",AT100="Activo",TODAY()-H100,AT100="Inactivo",AP100-H100)</f>
        <v>336</v>
      </c>
      <c r="AV100" s="180" t="str">
        <f ca="1">IF(ISBLANK(Tabla1[[#This Row],[Fecha Nacimento (dd/mm/yyyy)]]),"",YEARFRAC(Tabla1[[#This Row],[Fecha Nacimento (dd/mm/yyyy)]],TODAY()))</f>
        <v/>
      </c>
      <c r="AW100" s="141"/>
      <c r="AX100" s="27" t="str">
        <f t="shared" si="3"/>
        <v/>
      </c>
    </row>
    <row r="101" spans="1:50" s="27" customFormat="1" x14ac:dyDescent="0.25">
      <c r="A101" s="134">
        <v>100</v>
      </c>
      <c r="B101" s="27" t="s">
        <v>800</v>
      </c>
      <c r="C101" s="27" t="s">
        <v>624</v>
      </c>
      <c r="D101" s="27" t="s">
        <v>141</v>
      </c>
      <c r="E101" s="400">
        <v>66681660</v>
      </c>
      <c r="F101" s="27" t="s">
        <v>142</v>
      </c>
      <c r="G101" s="27" t="s">
        <v>143</v>
      </c>
      <c r="H101" s="136">
        <v>44970</v>
      </c>
      <c r="I101" s="136"/>
      <c r="J101" s="27" t="s">
        <v>144</v>
      </c>
      <c r="K101" s="137">
        <v>1300000</v>
      </c>
      <c r="L101" s="27" t="s">
        <v>145</v>
      </c>
      <c r="M101" s="27" t="s">
        <v>203</v>
      </c>
      <c r="O101" s="139" t="s">
        <v>801</v>
      </c>
      <c r="Q101" s="27" t="s">
        <v>148</v>
      </c>
      <c r="R101" s="27" t="s">
        <v>149</v>
      </c>
      <c r="S101" s="27" t="s">
        <v>150</v>
      </c>
      <c r="T101" s="27" t="s">
        <v>802</v>
      </c>
      <c r="U101" s="37"/>
      <c r="V101" s="27" t="s">
        <v>803</v>
      </c>
      <c r="W101" s="27" t="s">
        <v>804</v>
      </c>
      <c r="X101" s="27" t="s">
        <v>231</v>
      </c>
      <c r="Y101" s="27" t="s">
        <v>222</v>
      </c>
      <c r="Z101" s="27" t="s">
        <v>223</v>
      </c>
      <c r="AA101" s="27" t="s">
        <v>211</v>
      </c>
      <c r="AB101" s="27" t="s">
        <v>416</v>
      </c>
      <c r="AC101" s="27" t="s">
        <v>160</v>
      </c>
      <c r="AD101" s="27" t="s">
        <v>160</v>
      </c>
      <c r="AE101" s="27" t="s">
        <v>224</v>
      </c>
      <c r="AF101" s="27" t="s">
        <v>162</v>
      </c>
      <c r="AG101" s="27" t="s">
        <v>177</v>
      </c>
      <c r="AI101" s="179"/>
      <c r="AP101" s="136">
        <v>45283</v>
      </c>
      <c r="AQ101" s="27" t="s">
        <v>52</v>
      </c>
      <c r="AT101" s="27" t="str">
        <f t="shared" si="2"/>
        <v>Inactivo</v>
      </c>
      <c r="AU101" s="27" cm="1">
        <f t="array" aca="1" ref="AU101" ca="1">_xlfn.IFS(AT101="","",AT101="Activo",TODAY()-H101,AT101="Inactivo",AP101-H101)</f>
        <v>313</v>
      </c>
      <c r="AV101" s="180" t="str">
        <f ca="1">IF(ISBLANK(Tabla1[[#This Row],[Fecha Nacimento (dd/mm/yyyy)]]),"",YEARFRAC(Tabla1[[#This Row],[Fecha Nacimento (dd/mm/yyyy)]],TODAY()))</f>
        <v/>
      </c>
      <c r="AW101" s="141"/>
      <c r="AX101" s="27" t="str">
        <f t="shared" si="3"/>
        <v/>
      </c>
    </row>
    <row r="102" spans="1:50" s="27" customFormat="1" x14ac:dyDescent="0.25">
      <c r="A102" s="134">
        <v>101</v>
      </c>
      <c r="B102" s="27" t="s">
        <v>805</v>
      </c>
      <c r="C102" s="27" t="s">
        <v>806</v>
      </c>
      <c r="D102" s="27" t="s">
        <v>141</v>
      </c>
      <c r="E102" s="400">
        <v>94287680</v>
      </c>
      <c r="F102" s="27" t="s">
        <v>142</v>
      </c>
      <c r="G102" s="27" t="s">
        <v>143</v>
      </c>
      <c r="H102" s="136">
        <v>44970</v>
      </c>
      <c r="I102" s="136"/>
      <c r="J102" s="27" t="s">
        <v>144</v>
      </c>
      <c r="K102" s="137">
        <v>1300000</v>
      </c>
      <c r="L102" s="27" t="s">
        <v>145</v>
      </c>
      <c r="M102" s="27" t="s">
        <v>203</v>
      </c>
      <c r="O102" s="139" t="s">
        <v>807</v>
      </c>
      <c r="Q102" s="27" t="s">
        <v>148</v>
      </c>
      <c r="R102" s="27" t="s">
        <v>149</v>
      </c>
      <c r="S102" s="27" t="s">
        <v>150</v>
      </c>
      <c r="T102" s="27" t="s">
        <v>808</v>
      </c>
      <c r="U102" s="37"/>
      <c r="V102" s="27" t="s">
        <v>809</v>
      </c>
      <c r="W102" s="27" t="s">
        <v>810</v>
      </c>
      <c r="X102" s="27" t="s">
        <v>231</v>
      </c>
      <c r="Y102" s="27" t="s">
        <v>222</v>
      </c>
      <c r="Z102" s="27" t="s">
        <v>223</v>
      </c>
      <c r="AA102" s="27" t="s">
        <v>211</v>
      </c>
      <c r="AB102" s="27" t="s">
        <v>416</v>
      </c>
      <c r="AC102" s="27" t="s">
        <v>160</v>
      </c>
      <c r="AD102" s="27" t="s">
        <v>160</v>
      </c>
      <c r="AE102" s="27" t="s">
        <v>224</v>
      </c>
      <c r="AF102" s="27" t="s">
        <v>176</v>
      </c>
      <c r="AG102" s="27" t="s">
        <v>177</v>
      </c>
      <c r="AI102" s="179"/>
      <c r="AP102" s="136">
        <v>45306</v>
      </c>
      <c r="AQ102" s="27" t="s">
        <v>65</v>
      </c>
      <c r="AR102" s="27" t="s">
        <v>234</v>
      </c>
      <c r="AT102" s="27" t="str">
        <f t="shared" si="2"/>
        <v>Inactivo</v>
      </c>
      <c r="AU102" s="27" cm="1">
        <f t="array" aca="1" ref="AU102" ca="1">_xlfn.IFS(AT102="","",AT102="Activo",TODAY()-H102,AT102="Inactivo",AP102-H102)</f>
        <v>336</v>
      </c>
      <c r="AV102" s="180" t="str">
        <f ca="1">IF(ISBLANK(Tabla1[[#This Row],[Fecha Nacimento (dd/mm/yyyy)]]),"",YEARFRAC(Tabla1[[#This Row],[Fecha Nacimento (dd/mm/yyyy)]],TODAY()))</f>
        <v/>
      </c>
      <c r="AW102" s="141"/>
      <c r="AX102" s="27" t="str">
        <f t="shared" si="3"/>
        <v/>
      </c>
    </row>
    <row r="103" spans="1:50" s="27" customFormat="1" x14ac:dyDescent="0.25">
      <c r="A103" s="134">
        <v>102</v>
      </c>
      <c r="B103" s="27" t="s">
        <v>811</v>
      </c>
      <c r="C103" s="27" t="s">
        <v>812</v>
      </c>
      <c r="D103" s="27" t="s">
        <v>141</v>
      </c>
      <c r="E103" s="400">
        <v>1116432789</v>
      </c>
      <c r="F103" s="27" t="s">
        <v>142</v>
      </c>
      <c r="G103" s="27" t="s">
        <v>143</v>
      </c>
      <c r="H103" s="136">
        <v>44970</v>
      </c>
      <c r="I103" s="136"/>
      <c r="J103" s="27" t="s">
        <v>144</v>
      </c>
      <c r="K103" s="137">
        <v>1300000</v>
      </c>
      <c r="L103" s="27" t="s">
        <v>145</v>
      </c>
      <c r="M103" s="27" t="s">
        <v>203</v>
      </c>
      <c r="O103" s="139" t="s">
        <v>813</v>
      </c>
      <c r="Q103" s="27" t="s">
        <v>148</v>
      </c>
      <c r="R103" s="27" t="s">
        <v>149</v>
      </c>
      <c r="S103" s="27" t="s">
        <v>150</v>
      </c>
      <c r="T103" s="27" t="s">
        <v>814</v>
      </c>
      <c r="U103" s="37">
        <v>31050</v>
      </c>
      <c r="V103" s="27" t="s">
        <v>815</v>
      </c>
      <c r="W103" s="27" t="s">
        <v>816</v>
      </c>
      <c r="X103" s="27" t="s">
        <v>231</v>
      </c>
      <c r="Y103" s="27" t="s">
        <v>222</v>
      </c>
      <c r="Z103" s="27" t="s">
        <v>223</v>
      </c>
      <c r="AA103" s="27" t="s">
        <v>211</v>
      </c>
      <c r="AB103" s="27" t="s">
        <v>233</v>
      </c>
      <c r="AC103" s="27" t="s">
        <v>160</v>
      </c>
      <c r="AD103" s="27" t="s">
        <v>160</v>
      </c>
      <c r="AE103" s="27" t="s">
        <v>224</v>
      </c>
      <c r="AF103" s="27" t="s">
        <v>162</v>
      </c>
      <c r="AG103" s="27" t="s">
        <v>177</v>
      </c>
      <c r="AI103" s="179"/>
      <c r="AP103" s="136">
        <v>45306</v>
      </c>
      <c r="AQ103" s="27" t="s">
        <v>65</v>
      </c>
      <c r="AR103" s="27" t="s">
        <v>234</v>
      </c>
      <c r="AT103" s="27" t="str">
        <f t="shared" si="2"/>
        <v>Inactivo</v>
      </c>
      <c r="AU103" s="27" cm="1">
        <f t="array" aca="1" ref="AU103" ca="1">_xlfn.IFS(AT103="","",AT103="Activo",TODAY()-H103,AT103="Inactivo",AP103-H103)</f>
        <v>336</v>
      </c>
      <c r="AV103" s="180">
        <f ca="1">IF(ISBLANK(Tabla1[[#This Row],[Fecha Nacimento (dd/mm/yyyy)]]),"",YEARFRAC(Tabla1[[#This Row],[Fecha Nacimento (dd/mm/yyyy)]],TODAY()))</f>
        <v>39.455555555555556</v>
      </c>
      <c r="AW103" s="141"/>
      <c r="AX103" s="27" t="str">
        <f t="shared" si="3"/>
        <v/>
      </c>
    </row>
    <row r="104" spans="1:50" s="27" customFormat="1" x14ac:dyDescent="0.25">
      <c r="A104" s="134">
        <v>103</v>
      </c>
      <c r="B104" s="27" t="s">
        <v>817</v>
      </c>
      <c r="C104" s="27" t="s">
        <v>818</v>
      </c>
      <c r="D104" s="27" t="s">
        <v>141</v>
      </c>
      <c r="E104" s="400">
        <v>1193092418</v>
      </c>
      <c r="F104" s="27" t="s">
        <v>142</v>
      </c>
      <c r="G104" s="27" t="s">
        <v>143</v>
      </c>
      <c r="H104" s="136">
        <v>44973</v>
      </c>
      <c r="I104" s="136"/>
      <c r="J104" s="27" t="s">
        <v>144</v>
      </c>
      <c r="K104" s="137">
        <v>1300000</v>
      </c>
      <c r="L104" s="27" t="s">
        <v>145</v>
      </c>
      <c r="M104" s="27" t="s">
        <v>146</v>
      </c>
      <c r="O104" s="139" t="s">
        <v>819</v>
      </c>
      <c r="Q104" s="27" t="s">
        <v>148</v>
      </c>
      <c r="R104" s="27" t="s">
        <v>168</v>
      </c>
      <c r="S104" s="27" t="s">
        <v>150</v>
      </c>
      <c r="T104" s="27" t="s">
        <v>820</v>
      </c>
      <c r="U104" s="37">
        <v>34221</v>
      </c>
      <c r="V104" s="27" t="s">
        <v>821</v>
      </c>
      <c r="W104" s="27" t="s">
        <v>822</v>
      </c>
      <c r="X104" s="27" t="s">
        <v>154</v>
      </c>
      <c r="Y104" s="27" t="s">
        <v>543</v>
      </c>
      <c r="Z104" s="27" t="s">
        <v>559</v>
      </c>
      <c r="AA104" s="27" t="s">
        <v>545</v>
      </c>
      <c r="AB104" s="27" t="s">
        <v>158</v>
      </c>
      <c r="AC104" s="27" t="s">
        <v>271</v>
      </c>
      <c r="AD104" s="27" t="s">
        <v>160</v>
      </c>
      <c r="AE104" s="27" t="s">
        <v>161</v>
      </c>
      <c r="AF104" s="27" t="s">
        <v>162</v>
      </c>
      <c r="AG104" s="27" t="s">
        <v>177</v>
      </c>
      <c r="AH104" s="27" t="s">
        <v>164</v>
      </c>
      <c r="AI104" s="179"/>
      <c r="AP104" s="136"/>
      <c r="AT104" s="27" t="str">
        <f t="shared" si="2"/>
        <v>Activo</v>
      </c>
      <c r="AU104" s="27" cm="1">
        <f t="array" aca="1" ref="AU104" ca="1">_xlfn.IFS(AT104="","",AT104="Activo",TODAY()-H104,AT104="Inactivo",AP104-H104)</f>
        <v>487</v>
      </c>
      <c r="AV104" s="180">
        <f ca="1">IF(ISBLANK(Tabla1[[#This Row],[Fecha Nacimento (dd/mm/yyyy)]]),"",YEARFRAC(Tabla1[[#This Row],[Fecha Nacimento (dd/mm/yyyy)]],TODAY()))</f>
        <v>30.772222222222222</v>
      </c>
      <c r="AW104" s="141"/>
      <c r="AX104" s="27" t="str">
        <f t="shared" si="3"/>
        <v/>
      </c>
    </row>
    <row r="105" spans="1:50" s="27" customFormat="1" x14ac:dyDescent="0.25">
      <c r="A105" s="134">
        <v>104</v>
      </c>
      <c r="B105" s="27" t="s">
        <v>823</v>
      </c>
      <c r="C105" s="27" t="s">
        <v>824</v>
      </c>
      <c r="D105" s="27" t="s">
        <v>141</v>
      </c>
      <c r="E105" s="400">
        <v>1094897704</v>
      </c>
      <c r="F105" s="27" t="s">
        <v>142</v>
      </c>
      <c r="G105" s="27" t="s">
        <v>143</v>
      </c>
      <c r="H105" s="136">
        <v>44978</v>
      </c>
      <c r="I105" s="136"/>
      <c r="J105" s="27" t="s">
        <v>144</v>
      </c>
      <c r="K105" s="137">
        <v>1300000</v>
      </c>
      <c r="L105" s="27" t="s">
        <v>145</v>
      </c>
      <c r="M105" s="27" t="s">
        <v>355</v>
      </c>
      <c r="N105" s="27" t="s">
        <v>145</v>
      </c>
      <c r="O105" s="139" t="s">
        <v>825</v>
      </c>
      <c r="Q105" s="27" t="s">
        <v>148</v>
      </c>
      <c r="R105" s="27" t="s">
        <v>168</v>
      </c>
      <c r="S105" s="27" t="s">
        <v>150</v>
      </c>
      <c r="T105" s="27" t="s">
        <v>826</v>
      </c>
      <c r="U105" s="37">
        <v>32231</v>
      </c>
      <c r="V105" s="27" t="s">
        <v>827</v>
      </c>
      <c r="W105" s="27" t="s">
        <v>217</v>
      </c>
      <c r="X105" s="27" t="s">
        <v>268</v>
      </c>
      <c r="Y105" s="27" t="s">
        <v>155</v>
      </c>
      <c r="Z105" s="27" t="s">
        <v>828</v>
      </c>
      <c r="AA105" s="27" t="s">
        <v>211</v>
      </c>
      <c r="AB105" s="27" t="s">
        <v>158</v>
      </c>
      <c r="AC105" s="27" t="s">
        <v>160</v>
      </c>
      <c r="AD105" s="27" t="s">
        <v>271</v>
      </c>
      <c r="AE105" s="27" t="s">
        <v>272</v>
      </c>
      <c r="AF105" s="27" t="s">
        <v>176</v>
      </c>
      <c r="AG105" s="27" t="s">
        <v>177</v>
      </c>
      <c r="AH105" s="27" t="s">
        <v>164</v>
      </c>
      <c r="AI105" s="179"/>
      <c r="AJ105" s="27" t="s">
        <v>164</v>
      </c>
      <c r="AK105" s="27" t="s">
        <v>214</v>
      </c>
      <c r="AL105" s="27" t="s">
        <v>214</v>
      </c>
      <c r="AM105" s="27" t="s">
        <v>164</v>
      </c>
      <c r="AN105" s="27" t="s">
        <v>214</v>
      </c>
      <c r="AO105" s="27" t="s">
        <v>164</v>
      </c>
      <c r="AP105" s="136">
        <v>45256</v>
      </c>
      <c r="AQ105" s="27" t="s">
        <v>52</v>
      </c>
      <c r="AT105" s="27" t="str">
        <f t="shared" si="2"/>
        <v>Inactivo</v>
      </c>
      <c r="AU105" s="27" cm="1">
        <f t="array" aca="1" ref="AU105" ca="1">_xlfn.IFS(AT105="","",AT105="Activo",TODAY()-H105,AT105="Inactivo",AP105-H105)</f>
        <v>278</v>
      </c>
      <c r="AV105" s="180">
        <f ca="1">IF(ISBLANK(Tabla1[[#This Row],[Fecha Nacimento (dd/mm/yyyy)]]),"",YEARFRAC(Tabla1[[#This Row],[Fecha Nacimento (dd/mm/yyyy)]],TODAY()))</f>
        <v>36.216666666666669</v>
      </c>
      <c r="AW105" s="141"/>
      <c r="AX105" s="27" t="str">
        <f t="shared" si="3"/>
        <v/>
      </c>
    </row>
    <row r="106" spans="1:50" s="27" customFormat="1" x14ac:dyDescent="0.25">
      <c r="A106" s="134">
        <v>105</v>
      </c>
      <c r="B106" s="27" t="s">
        <v>829</v>
      </c>
      <c r="C106" s="27" t="s">
        <v>830</v>
      </c>
      <c r="D106" s="27" t="s">
        <v>141</v>
      </c>
      <c r="E106" s="400">
        <v>41942754</v>
      </c>
      <c r="F106" s="27" t="s">
        <v>142</v>
      </c>
      <c r="G106" s="27" t="s">
        <v>143</v>
      </c>
      <c r="H106" s="136">
        <v>44980</v>
      </c>
      <c r="I106" s="136">
        <v>45296</v>
      </c>
      <c r="J106" s="27" t="s">
        <v>144</v>
      </c>
      <c r="K106" s="140">
        <v>1900000</v>
      </c>
      <c r="L106" s="27" t="s">
        <v>145</v>
      </c>
      <c r="M106" s="27" t="s">
        <v>203</v>
      </c>
      <c r="N106" s="27" t="s">
        <v>145</v>
      </c>
      <c r="O106" s="139" t="s">
        <v>831</v>
      </c>
      <c r="Q106" s="27" t="s">
        <v>148</v>
      </c>
      <c r="R106" s="27" t="s">
        <v>168</v>
      </c>
      <c r="S106" s="27" t="s">
        <v>150</v>
      </c>
      <c r="T106" s="27" t="s">
        <v>832</v>
      </c>
      <c r="U106" s="136"/>
      <c r="V106" s="27" t="s">
        <v>833</v>
      </c>
      <c r="W106" s="27" t="s">
        <v>834</v>
      </c>
      <c r="X106" s="27" t="s">
        <v>464</v>
      </c>
      <c r="Y106" s="27" t="s">
        <v>155</v>
      </c>
      <c r="Z106" s="27" t="s">
        <v>835</v>
      </c>
      <c r="AA106" s="27" t="s">
        <v>211</v>
      </c>
      <c r="AB106" s="27" t="s">
        <v>259</v>
      </c>
      <c r="AC106" s="27" t="s">
        <v>159</v>
      </c>
      <c r="AD106" s="27" t="s">
        <v>160</v>
      </c>
      <c r="AE106" s="27" t="s">
        <v>1</v>
      </c>
      <c r="AF106" s="27" t="s">
        <v>162</v>
      </c>
      <c r="AG106" s="27" t="s">
        <v>177</v>
      </c>
      <c r="AI106" s="179"/>
      <c r="AP106" s="136">
        <v>45296</v>
      </c>
      <c r="AT106" s="27" t="str">
        <f t="shared" si="2"/>
        <v>Inactivo</v>
      </c>
      <c r="AU106" s="27" cm="1">
        <f t="array" aca="1" ref="AU106" ca="1">_xlfn.IFS(AT106="","",AT106="Activo",TODAY()-H106,AT106="Inactivo",AP106-H106)</f>
        <v>316</v>
      </c>
      <c r="AV106" s="180" t="str">
        <f ca="1">IF(ISBLANK(Tabla1[[#This Row],[Fecha Nacimento (dd/mm/yyyy)]]),"",YEARFRAC(Tabla1[[#This Row],[Fecha Nacimento (dd/mm/yyyy)]],TODAY()))</f>
        <v/>
      </c>
      <c r="AW106" s="141"/>
      <c r="AX106" s="27" t="str">
        <f t="shared" si="3"/>
        <v/>
      </c>
    </row>
    <row r="107" spans="1:50" s="27" customFormat="1" x14ac:dyDescent="0.25">
      <c r="A107" s="134">
        <v>106</v>
      </c>
      <c r="B107" s="27" t="s">
        <v>836</v>
      </c>
      <c r="C107" s="27" t="s">
        <v>837</v>
      </c>
      <c r="D107" s="27" t="s">
        <v>141</v>
      </c>
      <c r="E107" s="400">
        <v>9698154</v>
      </c>
      <c r="F107" s="27" t="s">
        <v>142</v>
      </c>
      <c r="G107" s="27" t="s">
        <v>143</v>
      </c>
      <c r="H107" s="136">
        <v>44986</v>
      </c>
      <c r="I107" s="136">
        <v>45260</v>
      </c>
      <c r="J107" s="27" t="s">
        <v>144</v>
      </c>
      <c r="K107" s="140">
        <v>2100000</v>
      </c>
      <c r="L107" s="27" t="s">
        <v>145</v>
      </c>
      <c r="M107" s="27" t="s">
        <v>203</v>
      </c>
      <c r="N107" s="27" t="s">
        <v>145</v>
      </c>
      <c r="O107" s="139" t="s">
        <v>838</v>
      </c>
      <c r="Q107" s="27" t="s">
        <v>148</v>
      </c>
      <c r="R107" s="27" t="s">
        <v>168</v>
      </c>
      <c r="S107" s="27" t="s">
        <v>150</v>
      </c>
      <c r="T107" s="27" t="s">
        <v>839</v>
      </c>
      <c r="U107" s="136"/>
      <c r="V107" s="27" t="s">
        <v>840</v>
      </c>
      <c r="W107" s="27" t="s">
        <v>841</v>
      </c>
      <c r="X107" s="27" t="s">
        <v>464</v>
      </c>
      <c r="Y107" s="27" t="s">
        <v>222</v>
      </c>
      <c r="Z107" s="27" t="s">
        <v>32</v>
      </c>
      <c r="AA107" s="27" t="s">
        <v>211</v>
      </c>
      <c r="AB107" s="27" t="s">
        <v>212</v>
      </c>
      <c r="AC107" s="27" t="s">
        <v>159</v>
      </c>
      <c r="AD107" s="27" t="s">
        <v>160</v>
      </c>
      <c r="AE107" s="27" t="s">
        <v>1</v>
      </c>
      <c r="AF107" s="27" t="s">
        <v>176</v>
      </c>
      <c r="AG107" s="27" t="s">
        <v>177</v>
      </c>
      <c r="AI107" s="179"/>
      <c r="AP107" s="136">
        <v>45260</v>
      </c>
      <c r="AQ107" s="27" t="s">
        <v>52</v>
      </c>
      <c r="AT107" s="27" t="str">
        <f t="shared" si="2"/>
        <v>Inactivo</v>
      </c>
      <c r="AU107" s="27" cm="1">
        <f t="array" aca="1" ref="AU107" ca="1">_xlfn.IFS(AT107="","",AT107="Activo",TODAY()-H107,AT107="Inactivo",AP107-H107)</f>
        <v>274</v>
      </c>
      <c r="AV107" s="180" t="str">
        <f ca="1">IF(ISBLANK(Tabla1[[#This Row],[Fecha Nacimento (dd/mm/yyyy)]]),"",YEARFRAC(Tabla1[[#This Row],[Fecha Nacimento (dd/mm/yyyy)]],TODAY()))</f>
        <v/>
      </c>
      <c r="AW107" s="141"/>
      <c r="AX107" s="27" t="str">
        <f t="shared" si="3"/>
        <v/>
      </c>
    </row>
    <row r="108" spans="1:50" s="27" customFormat="1" x14ac:dyDescent="0.25">
      <c r="A108" s="134">
        <v>107</v>
      </c>
      <c r="B108" s="27" t="s">
        <v>842</v>
      </c>
      <c r="C108" s="27" t="s">
        <v>843</v>
      </c>
      <c r="D108" s="27" t="s">
        <v>141</v>
      </c>
      <c r="E108" s="403">
        <v>75033317</v>
      </c>
      <c r="F108" s="135" t="s">
        <v>142</v>
      </c>
      <c r="G108" s="27" t="s">
        <v>143</v>
      </c>
      <c r="H108" s="136">
        <v>44992</v>
      </c>
      <c r="I108" s="136"/>
      <c r="J108" s="27" t="s">
        <v>144</v>
      </c>
      <c r="K108" s="137">
        <v>1300000</v>
      </c>
      <c r="L108" s="27" t="s">
        <v>164</v>
      </c>
      <c r="M108" s="135" t="s">
        <v>262</v>
      </c>
      <c r="N108" s="135" t="s">
        <v>145</v>
      </c>
      <c r="O108" s="139" t="s">
        <v>844</v>
      </c>
      <c r="Q108" s="135" t="s">
        <v>205</v>
      </c>
      <c r="R108" s="135"/>
      <c r="S108" s="135"/>
      <c r="T108" s="28"/>
      <c r="U108" s="37">
        <v>26204</v>
      </c>
      <c r="V108" s="27" t="s">
        <v>845</v>
      </c>
      <c r="W108" s="27">
        <v>3122021021</v>
      </c>
      <c r="X108" s="27" t="s">
        <v>846</v>
      </c>
      <c r="Y108" s="27" t="s">
        <v>351</v>
      </c>
      <c r="Z108" s="27" t="s">
        <v>223</v>
      </c>
      <c r="AA108" s="27" t="s">
        <v>847</v>
      </c>
      <c r="AB108" s="27" t="s">
        <v>175</v>
      </c>
      <c r="AC108" s="135" t="s">
        <v>160</v>
      </c>
      <c r="AD108" s="135" t="s">
        <v>160</v>
      </c>
      <c r="AE108" s="27" t="s">
        <v>848</v>
      </c>
      <c r="AF108" s="27" t="s">
        <v>176</v>
      </c>
      <c r="AG108" s="27" t="s">
        <v>177</v>
      </c>
      <c r="AH108" s="27" t="s">
        <v>164</v>
      </c>
      <c r="AI108" s="184"/>
      <c r="AJ108" s="27" t="s">
        <v>164</v>
      </c>
      <c r="AK108" s="27" t="s">
        <v>214</v>
      </c>
      <c r="AL108" s="27" t="s">
        <v>164</v>
      </c>
      <c r="AM108" s="27" t="s">
        <v>164</v>
      </c>
      <c r="AN108" s="27" t="s">
        <v>214</v>
      </c>
      <c r="AO108" s="27" t="s">
        <v>164</v>
      </c>
      <c r="AP108" s="136">
        <v>45129</v>
      </c>
      <c r="AQ108" s="27" t="s">
        <v>52</v>
      </c>
      <c r="AT108" s="27" t="str">
        <f t="shared" si="2"/>
        <v>Inactivo</v>
      </c>
      <c r="AU108" s="27" cm="1">
        <f t="array" aca="1" ref="AU108" ca="1">_xlfn.IFS(AT108="","",AT108="Activo",TODAY()-H108,AT108="Inactivo",AP108-H108)</f>
        <v>137</v>
      </c>
      <c r="AV108" s="180">
        <f ca="1">IF(ISBLANK(Tabla1[[#This Row],[Fecha Nacimento (dd/mm/yyyy)]]),"",YEARFRAC(Tabla1[[#This Row],[Fecha Nacimento (dd/mm/yyyy)]],TODAY()))</f>
        <v>52.719444444444441</v>
      </c>
      <c r="AW108" s="141"/>
      <c r="AX108" s="27" t="str">
        <f t="shared" si="3"/>
        <v/>
      </c>
    </row>
    <row r="109" spans="1:50" s="27" customFormat="1" x14ac:dyDescent="0.25">
      <c r="A109" s="134">
        <v>108</v>
      </c>
      <c r="B109" s="27" t="s">
        <v>276</v>
      </c>
      <c r="C109" s="27" t="s">
        <v>849</v>
      </c>
      <c r="D109" s="27" t="s">
        <v>141</v>
      </c>
      <c r="E109" s="400">
        <v>24660447</v>
      </c>
      <c r="F109" s="27" t="s">
        <v>142</v>
      </c>
      <c r="G109" s="27" t="s">
        <v>143</v>
      </c>
      <c r="H109" s="136">
        <v>44994</v>
      </c>
      <c r="I109" s="136"/>
      <c r="J109" s="27" t="s">
        <v>144</v>
      </c>
      <c r="K109" s="137">
        <v>1300000</v>
      </c>
      <c r="L109" s="27" t="s">
        <v>145</v>
      </c>
      <c r="M109" s="27" t="s">
        <v>355</v>
      </c>
      <c r="N109" s="27" t="s">
        <v>145</v>
      </c>
      <c r="O109" s="139" t="s">
        <v>850</v>
      </c>
      <c r="Q109" s="27" t="s">
        <v>148</v>
      </c>
      <c r="R109" s="27" t="s">
        <v>426</v>
      </c>
      <c r="S109" s="27" t="s">
        <v>150</v>
      </c>
      <c r="T109" s="27" t="s">
        <v>851</v>
      </c>
      <c r="U109" s="37">
        <v>26727</v>
      </c>
      <c r="V109" s="27" t="s">
        <v>852</v>
      </c>
      <c r="W109" s="27">
        <v>3128968010</v>
      </c>
      <c r="X109" s="27" t="s">
        <v>268</v>
      </c>
      <c r="Y109" s="27" t="s">
        <v>359</v>
      </c>
      <c r="Z109" s="27" t="s">
        <v>853</v>
      </c>
      <c r="AA109" s="27" t="s">
        <v>211</v>
      </c>
      <c r="AB109" s="27" t="s">
        <v>175</v>
      </c>
      <c r="AC109" s="27" t="s">
        <v>159</v>
      </c>
      <c r="AD109" s="27" t="s">
        <v>271</v>
      </c>
      <c r="AE109" s="27" t="s">
        <v>272</v>
      </c>
      <c r="AF109" s="27" t="s">
        <v>162</v>
      </c>
      <c r="AG109" s="27" t="s">
        <v>177</v>
      </c>
      <c r="AH109" s="27" t="s">
        <v>145</v>
      </c>
      <c r="AI109" s="179">
        <v>400000</v>
      </c>
      <c r="AJ109" s="27" t="s">
        <v>164</v>
      </c>
      <c r="AK109" s="27" t="s">
        <v>214</v>
      </c>
      <c r="AL109" s="27" t="s">
        <v>214</v>
      </c>
      <c r="AM109" s="27" t="s">
        <v>164</v>
      </c>
      <c r="AN109" s="27" t="s">
        <v>214</v>
      </c>
      <c r="AO109" s="27" t="s">
        <v>164</v>
      </c>
      <c r="AP109" s="136">
        <v>45332</v>
      </c>
      <c r="AQ109" s="27" t="s">
        <v>52</v>
      </c>
      <c r="AT109" s="27" t="str">
        <f t="shared" si="2"/>
        <v>Inactivo</v>
      </c>
      <c r="AU109" s="27" cm="1">
        <f t="array" aca="1" ref="AU109" ca="1">_xlfn.IFS(AT109="","",AT109="Activo",TODAY()-H109,AT109="Inactivo",AP109-H109)</f>
        <v>338</v>
      </c>
      <c r="AV109" s="180">
        <f ca="1">IF(ISBLANK(Tabla1[[#This Row],[Fecha Nacimento (dd/mm/yyyy)]]),"",YEARFRAC(Tabla1[[#This Row],[Fecha Nacimento (dd/mm/yyyy)]],TODAY()))</f>
        <v>51.286111111111111</v>
      </c>
      <c r="AW109" s="141"/>
      <c r="AX109" s="27" t="str">
        <f t="shared" si="3"/>
        <v/>
      </c>
    </row>
    <row r="110" spans="1:50" s="27" customFormat="1" x14ac:dyDescent="0.25">
      <c r="A110" s="134">
        <v>109</v>
      </c>
      <c r="B110" s="27" t="s">
        <v>854</v>
      </c>
      <c r="C110" s="27" t="s">
        <v>855</v>
      </c>
      <c r="D110" s="27" t="s">
        <v>141</v>
      </c>
      <c r="E110" s="400">
        <v>9728802</v>
      </c>
      <c r="F110" s="27" t="s">
        <v>142</v>
      </c>
      <c r="G110" s="27" t="s">
        <v>143</v>
      </c>
      <c r="H110" s="136">
        <v>45003</v>
      </c>
      <c r="I110" s="136"/>
      <c r="J110" s="27" t="s">
        <v>144</v>
      </c>
      <c r="K110" s="137">
        <v>1300000</v>
      </c>
      <c r="L110" s="27" t="s">
        <v>145</v>
      </c>
      <c r="M110" s="27" t="s">
        <v>203</v>
      </c>
      <c r="N110" s="27" t="s">
        <v>145</v>
      </c>
      <c r="O110" s="139" t="s">
        <v>856</v>
      </c>
      <c r="Q110" s="27" t="s">
        <v>148</v>
      </c>
      <c r="R110" s="27" t="s">
        <v>371</v>
      </c>
      <c r="S110" s="27" t="s">
        <v>150</v>
      </c>
      <c r="T110" s="27" t="s">
        <v>857</v>
      </c>
      <c r="U110" s="37">
        <v>29203</v>
      </c>
      <c r="V110" s="27" t="s">
        <v>858</v>
      </c>
      <c r="W110" s="27" t="s">
        <v>859</v>
      </c>
      <c r="X110" s="27" t="s">
        <v>268</v>
      </c>
      <c r="Y110" s="27" t="s">
        <v>367</v>
      </c>
      <c r="Z110" s="27" t="s">
        <v>368</v>
      </c>
      <c r="AA110" s="27" t="s">
        <v>211</v>
      </c>
      <c r="AB110" s="27" t="s">
        <v>175</v>
      </c>
      <c r="AC110" s="27" t="s">
        <v>160</v>
      </c>
      <c r="AD110" s="27" t="s">
        <v>271</v>
      </c>
      <c r="AE110" s="27" t="s">
        <v>272</v>
      </c>
      <c r="AF110" s="27" t="s">
        <v>176</v>
      </c>
      <c r="AG110" s="27" t="s">
        <v>177</v>
      </c>
      <c r="AH110" s="27" t="s">
        <v>164</v>
      </c>
      <c r="AI110" s="179"/>
      <c r="AJ110" s="27" t="s">
        <v>164</v>
      </c>
      <c r="AK110" s="27" t="s">
        <v>214</v>
      </c>
      <c r="AL110" s="27" t="s">
        <v>214</v>
      </c>
      <c r="AM110" s="27" t="s">
        <v>164</v>
      </c>
      <c r="AN110" s="27" t="s">
        <v>214</v>
      </c>
      <c r="AO110" s="27" t="s">
        <v>164</v>
      </c>
      <c r="AP110" s="136">
        <v>45291</v>
      </c>
      <c r="AQ110" s="27" t="s">
        <v>52</v>
      </c>
      <c r="AT110" s="27" t="str">
        <f t="shared" si="2"/>
        <v>Inactivo</v>
      </c>
      <c r="AU110" s="27" cm="1">
        <f t="array" aca="1" ref="AU110" ca="1">_xlfn.IFS(AT110="","",AT110="Activo",TODAY()-H110,AT110="Inactivo",AP110-H110)</f>
        <v>288</v>
      </c>
      <c r="AV110" s="180">
        <f ca="1">IF(ISBLANK(Tabla1[[#This Row],[Fecha Nacimento (dd/mm/yyyy)]]),"",YEARFRAC(Tabla1[[#This Row],[Fecha Nacimento (dd/mm/yyyy)]],TODAY()))</f>
        <v>44.508333333333333</v>
      </c>
      <c r="AW110" s="141"/>
      <c r="AX110" s="27" t="str">
        <f t="shared" si="3"/>
        <v/>
      </c>
    </row>
    <row r="111" spans="1:50" s="27" customFormat="1" x14ac:dyDescent="0.25">
      <c r="A111" s="134">
        <v>110</v>
      </c>
      <c r="B111" s="27" t="s">
        <v>860</v>
      </c>
      <c r="C111" s="27" t="s">
        <v>861</v>
      </c>
      <c r="D111" s="27" t="s">
        <v>141</v>
      </c>
      <c r="E111" s="400">
        <v>1094953812</v>
      </c>
      <c r="F111" s="27" t="s">
        <v>142</v>
      </c>
      <c r="G111" s="27" t="s">
        <v>143</v>
      </c>
      <c r="H111" s="136">
        <v>45006</v>
      </c>
      <c r="I111" s="136"/>
      <c r="J111" s="27" t="s">
        <v>144</v>
      </c>
      <c r="K111" s="140">
        <v>1350000</v>
      </c>
      <c r="L111" s="27" t="s">
        <v>145</v>
      </c>
      <c r="M111" s="27" t="s">
        <v>262</v>
      </c>
      <c r="N111" s="27" t="s">
        <v>145</v>
      </c>
      <c r="O111" s="139" t="s">
        <v>862</v>
      </c>
      <c r="Q111" s="27" t="s">
        <v>148</v>
      </c>
      <c r="R111" s="27" t="s">
        <v>168</v>
      </c>
      <c r="S111" s="27" t="s">
        <v>150</v>
      </c>
      <c r="T111" s="28" t="s">
        <v>863</v>
      </c>
      <c r="U111" s="37">
        <v>35050</v>
      </c>
      <c r="V111" s="27" t="s">
        <v>864</v>
      </c>
      <c r="W111" s="27" t="s">
        <v>865</v>
      </c>
      <c r="X111" s="27" t="s">
        <v>316</v>
      </c>
      <c r="Y111" s="27" t="s">
        <v>523</v>
      </c>
      <c r="Z111" s="27" t="s">
        <v>866</v>
      </c>
      <c r="AA111" s="27" t="s">
        <v>302</v>
      </c>
      <c r="AB111" s="27" t="s">
        <v>158</v>
      </c>
      <c r="AC111" s="27" t="s">
        <v>160</v>
      </c>
      <c r="AD111" s="27" t="s">
        <v>271</v>
      </c>
      <c r="AE111" s="27" t="s">
        <v>494</v>
      </c>
      <c r="AF111" s="27" t="s">
        <v>162</v>
      </c>
      <c r="AG111" s="27" t="s">
        <v>163</v>
      </c>
      <c r="AH111" s="27" t="s">
        <v>145</v>
      </c>
      <c r="AI111" s="179">
        <v>850000</v>
      </c>
      <c r="AJ111" s="27" t="s">
        <v>164</v>
      </c>
      <c r="AK111" s="27" t="s">
        <v>214</v>
      </c>
      <c r="AL111" s="27" t="s">
        <v>164</v>
      </c>
      <c r="AM111" s="27" t="s">
        <v>164</v>
      </c>
      <c r="AN111" s="27" t="s">
        <v>214</v>
      </c>
      <c r="AO111" s="27" t="s">
        <v>164</v>
      </c>
      <c r="AP111" s="136">
        <v>45338</v>
      </c>
      <c r="AQ111" s="27" t="s">
        <v>52</v>
      </c>
      <c r="AT111" s="27" t="str">
        <f t="shared" si="2"/>
        <v>Inactivo</v>
      </c>
      <c r="AU111" s="27" cm="1">
        <f t="array" aca="1" ref="AU111" ca="1">_xlfn.IFS(AT111="","",AT111="Activo",TODAY()-H111,AT111="Inactivo",AP111-H111)</f>
        <v>332</v>
      </c>
      <c r="AV111" s="180">
        <f ca="1">IF(ISBLANK(Tabla1[[#This Row],[Fecha Nacimento (dd/mm/yyyy)]]),"",YEARFRAC(Tabla1[[#This Row],[Fecha Nacimento (dd/mm/yyyy)]],TODAY()))</f>
        <v>28.5</v>
      </c>
      <c r="AW111" s="141"/>
      <c r="AX111" s="27" t="str">
        <f t="shared" si="3"/>
        <v/>
      </c>
    </row>
    <row r="112" spans="1:50" s="27" customFormat="1" x14ac:dyDescent="0.25">
      <c r="A112" s="134">
        <v>111</v>
      </c>
      <c r="B112" s="27" t="s">
        <v>42</v>
      </c>
      <c r="C112" s="27" t="s">
        <v>867</v>
      </c>
      <c r="D112" s="27" t="s">
        <v>141</v>
      </c>
      <c r="E112" s="400">
        <v>1094978377</v>
      </c>
      <c r="F112" s="27" t="s">
        <v>142</v>
      </c>
      <c r="G112" s="27" t="s">
        <v>143</v>
      </c>
      <c r="H112" s="136">
        <v>45006</v>
      </c>
      <c r="I112" s="136" t="s">
        <v>217</v>
      </c>
      <c r="J112" s="27" t="s">
        <v>144</v>
      </c>
      <c r="K112" s="140">
        <v>1300000</v>
      </c>
      <c r="L112" s="27" t="s">
        <v>145</v>
      </c>
      <c r="M112" s="27" t="s">
        <v>203</v>
      </c>
      <c r="N112" s="27" t="s">
        <v>145</v>
      </c>
      <c r="O112" s="139" t="s">
        <v>868</v>
      </c>
      <c r="Q112" s="27" t="s">
        <v>148</v>
      </c>
      <c r="R112" s="27" t="s">
        <v>168</v>
      </c>
      <c r="S112" s="27" t="s">
        <v>150</v>
      </c>
      <c r="T112" s="27" t="s">
        <v>869</v>
      </c>
      <c r="U112" s="136"/>
      <c r="V112" s="27" t="s">
        <v>870</v>
      </c>
      <c r="W112" s="27" t="s">
        <v>871</v>
      </c>
      <c r="X112" s="27" t="s">
        <v>464</v>
      </c>
      <c r="Y112" s="27" t="s">
        <v>222</v>
      </c>
      <c r="Z112" s="27" t="s">
        <v>15</v>
      </c>
      <c r="AA112" s="27" t="s">
        <v>211</v>
      </c>
      <c r="AB112" s="27" t="s">
        <v>175</v>
      </c>
      <c r="AC112" s="27" t="s">
        <v>160</v>
      </c>
      <c r="AD112" s="27" t="s">
        <v>160</v>
      </c>
      <c r="AE112" s="27" t="s">
        <v>1</v>
      </c>
      <c r="AF112" s="27" t="s">
        <v>162</v>
      </c>
      <c r="AG112" s="27" t="s">
        <v>177</v>
      </c>
      <c r="AI112" s="179"/>
      <c r="AP112" s="136"/>
      <c r="AT112" s="27" t="str">
        <f t="shared" si="2"/>
        <v>Activo</v>
      </c>
      <c r="AU112" s="27" cm="1">
        <f t="array" aca="1" ref="AU112" ca="1">_xlfn.IFS(AT112="","",AT112="Activo",TODAY()-H112,AT112="Inactivo",AP112-H112)</f>
        <v>454</v>
      </c>
      <c r="AV112" s="180" t="str">
        <f ca="1">IF(ISBLANK(Tabla1[[#This Row],[Fecha Nacimento (dd/mm/yyyy)]]),"",YEARFRAC(Tabla1[[#This Row],[Fecha Nacimento (dd/mm/yyyy)]],TODAY()))</f>
        <v/>
      </c>
      <c r="AW112" s="141"/>
      <c r="AX112" s="27" t="str">
        <f t="shared" si="3"/>
        <v/>
      </c>
    </row>
    <row r="113" spans="1:50" s="27" customFormat="1" x14ac:dyDescent="0.25">
      <c r="A113" s="134">
        <v>112</v>
      </c>
      <c r="B113" s="27" t="s">
        <v>872</v>
      </c>
      <c r="C113" s="27" t="s">
        <v>873</v>
      </c>
      <c r="D113" s="27" t="s">
        <v>141</v>
      </c>
      <c r="E113" s="400">
        <v>1094951170</v>
      </c>
      <c r="F113" s="27" t="s">
        <v>142</v>
      </c>
      <c r="G113" s="27" t="s">
        <v>143</v>
      </c>
      <c r="H113" s="136">
        <v>45032</v>
      </c>
      <c r="I113" s="136"/>
      <c r="J113" s="27" t="s">
        <v>144</v>
      </c>
      <c r="K113" s="140">
        <v>1300000</v>
      </c>
      <c r="L113" s="27" t="s">
        <v>145</v>
      </c>
      <c r="M113" s="27" t="s">
        <v>355</v>
      </c>
      <c r="N113" s="27" t="s">
        <v>145</v>
      </c>
      <c r="O113" s="139" t="s">
        <v>874</v>
      </c>
      <c r="Q113" s="27" t="s">
        <v>148</v>
      </c>
      <c r="R113" s="27" t="s">
        <v>168</v>
      </c>
      <c r="S113" s="27" t="s">
        <v>150</v>
      </c>
      <c r="T113" s="27" t="s">
        <v>875</v>
      </c>
      <c r="U113" s="37">
        <v>34935</v>
      </c>
      <c r="V113" s="27" t="s">
        <v>876</v>
      </c>
      <c r="W113" s="27" t="s">
        <v>877</v>
      </c>
      <c r="X113" s="27" t="s">
        <v>878</v>
      </c>
      <c r="Y113" s="27" t="s">
        <v>879</v>
      </c>
      <c r="Z113" s="27" t="s">
        <v>880</v>
      </c>
      <c r="AA113" s="27" t="s">
        <v>881</v>
      </c>
      <c r="AB113" s="27" t="s">
        <v>186</v>
      </c>
      <c r="AC113" s="27" t="s">
        <v>271</v>
      </c>
      <c r="AD113" s="27" t="s">
        <v>160</v>
      </c>
      <c r="AE113" s="27" t="s">
        <v>616</v>
      </c>
      <c r="AF113" s="27" t="s">
        <v>176</v>
      </c>
      <c r="AG113" s="27" t="s">
        <v>177</v>
      </c>
      <c r="AH113" s="27" t="s">
        <v>164</v>
      </c>
      <c r="AI113" s="179"/>
      <c r="AJ113" s="27" t="s">
        <v>164</v>
      </c>
      <c r="AK113" s="27" t="s">
        <v>214</v>
      </c>
      <c r="AL113" s="27" t="s">
        <v>214</v>
      </c>
      <c r="AM113" s="27" t="s">
        <v>164</v>
      </c>
      <c r="AN113" s="27" t="s">
        <v>214</v>
      </c>
      <c r="AO113" s="27" t="s">
        <v>214</v>
      </c>
      <c r="AP113" s="136">
        <v>45366</v>
      </c>
      <c r="AQ113" s="27" t="s">
        <v>65</v>
      </c>
      <c r="AT113" s="27" t="str">
        <f t="shared" si="2"/>
        <v>Inactivo</v>
      </c>
      <c r="AU113" s="27" cm="1">
        <f t="array" aca="1" ref="AU113" ca="1">_xlfn.IFS(AT113="","",AT113="Activo",TODAY()-H113,AT113="Inactivo",AP113-H113)</f>
        <v>334</v>
      </c>
      <c r="AV113" s="180">
        <f ca="1">IF(ISBLANK(Tabla1[[#This Row],[Fecha Nacimento (dd/mm/yyyy)]]),"",YEARFRAC(Tabla1[[#This Row],[Fecha Nacimento (dd/mm/yyyy)]],TODAY()))</f>
        <v>28.81388888888889</v>
      </c>
      <c r="AW113" s="141"/>
      <c r="AX113" s="27" t="str">
        <f t="shared" si="3"/>
        <v/>
      </c>
    </row>
    <row r="114" spans="1:50" s="27" customFormat="1" x14ac:dyDescent="0.25">
      <c r="A114" s="134">
        <v>113</v>
      </c>
      <c r="B114" s="27" t="s">
        <v>882</v>
      </c>
      <c r="C114" s="27" t="s">
        <v>226</v>
      </c>
      <c r="D114" s="27" t="s">
        <v>141</v>
      </c>
      <c r="E114" s="400">
        <v>2699869</v>
      </c>
      <c r="F114" s="27" t="s">
        <v>142</v>
      </c>
      <c r="G114" s="27" t="s">
        <v>143</v>
      </c>
      <c r="H114" s="136">
        <v>45032</v>
      </c>
      <c r="I114" s="136"/>
      <c r="J114" s="27" t="s">
        <v>144</v>
      </c>
      <c r="K114" s="137">
        <v>1300000</v>
      </c>
      <c r="L114" s="27" t="s">
        <v>145</v>
      </c>
      <c r="M114" s="27" t="s">
        <v>203</v>
      </c>
      <c r="O114" s="139" t="s">
        <v>883</v>
      </c>
      <c r="Q114" s="27" t="s">
        <v>148</v>
      </c>
      <c r="R114" s="27" t="s">
        <v>149</v>
      </c>
      <c r="S114" s="27" t="s">
        <v>150</v>
      </c>
      <c r="T114" s="27" t="s">
        <v>884</v>
      </c>
      <c r="U114" s="37">
        <v>25593</v>
      </c>
      <c r="V114" s="27" t="s">
        <v>885</v>
      </c>
      <c r="W114" s="27" t="s">
        <v>886</v>
      </c>
      <c r="X114" s="27" t="s">
        <v>231</v>
      </c>
      <c r="Y114" s="27" t="s">
        <v>887</v>
      </c>
      <c r="Z114" s="27" t="s">
        <v>223</v>
      </c>
      <c r="AA114" s="27" t="s">
        <v>211</v>
      </c>
      <c r="AB114" s="27" t="s">
        <v>175</v>
      </c>
      <c r="AC114" s="27" t="s">
        <v>160</v>
      </c>
      <c r="AD114" s="27" t="s">
        <v>160</v>
      </c>
      <c r="AE114" s="27" t="s">
        <v>224</v>
      </c>
      <c r="AF114" s="27" t="s">
        <v>176</v>
      </c>
      <c r="AG114" s="27" t="s">
        <v>177</v>
      </c>
      <c r="AI114" s="179"/>
      <c r="AP114" s="136">
        <v>45306</v>
      </c>
      <c r="AQ114" s="27" t="s">
        <v>65</v>
      </c>
      <c r="AR114" s="27" t="s">
        <v>234</v>
      </c>
      <c r="AT114" s="27" t="str">
        <f t="shared" si="2"/>
        <v>Inactivo</v>
      </c>
      <c r="AU114" s="27" cm="1">
        <f t="array" aca="1" ref="AU114" ca="1">_xlfn.IFS(AT114="","",AT114="Activo",TODAY()-H114,AT114="Inactivo",AP114-H114)</f>
        <v>274</v>
      </c>
      <c r="AV114" s="180">
        <f ca="1">IF(ISBLANK(Tabla1[[#This Row],[Fecha Nacimento (dd/mm/yyyy)]]),"",YEARFRAC(Tabla1[[#This Row],[Fecha Nacimento (dd/mm/yyyy)]],TODAY()))</f>
        <v>54.394444444444446</v>
      </c>
      <c r="AW114" s="141"/>
      <c r="AX114" s="27" t="str">
        <f t="shared" si="3"/>
        <v/>
      </c>
    </row>
    <row r="115" spans="1:50" s="27" customFormat="1" x14ac:dyDescent="0.25">
      <c r="A115" s="134">
        <v>114</v>
      </c>
      <c r="B115" s="27" t="s">
        <v>714</v>
      </c>
      <c r="C115" s="27" t="s">
        <v>888</v>
      </c>
      <c r="D115" s="27" t="s">
        <v>141</v>
      </c>
      <c r="E115" s="400">
        <v>94232663</v>
      </c>
      <c r="F115" s="27" t="s">
        <v>142</v>
      </c>
      <c r="G115" s="27" t="s">
        <v>143</v>
      </c>
      <c r="H115" s="136">
        <v>45033</v>
      </c>
      <c r="I115" s="136"/>
      <c r="J115" s="27" t="s">
        <v>144</v>
      </c>
      <c r="K115" s="138">
        <v>1412000</v>
      </c>
      <c r="L115" s="27" t="s">
        <v>145</v>
      </c>
      <c r="M115" s="27" t="s">
        <v>355</v>
      </c>
      <c r="O115" s="139" t="s">
        <v>889</v>
      </c>
      <c r="Q115" s="27" t="s">
        <v>148</v>
      </c>
      <c r="R115" s="27" t="s">
        <v>149</v>
      </c>
      <c r="S115" s="27" t="s">
        <v>150</v>
      </c>
      <c r="T115" s="27" t="s">
        <v>890</v>
      </c>
      <c r="U115" s="37">
        <v>28349</v>
      </c>
      <c r="V115" s="27" t="s">
        <v>891</v>
      </c>
      <c r="W115" s="27" t="s">
        <v>892</v>
      </c>
      <c r="X115" s="27" t="s">
        <v>231</v>
      </c>
      <c r="Y115" s="27" t="s">
        <v>887</v>
      </c>
      <c r="Z115" s="27" t="s">
        <v>893</v>
      </c>
      <c r="AA115" s="27" t="s">
        <v>211</v>
      </c>
      <c r="AB115" s="27" t="s">
        <v>212</v>
      </c>
      <c r="AC115" s="27" t="s">
        <v>159</v>
      </c>
      <c r="AD115" s="27" t="s">
        <v>160</v>
      </c>
      <c r="AE115" s="27" t="s">
        <v>224</v>
      </c>
      <c r="AF115" s="27" t="s">
        <v>176</v>
      </c>
      <c r="AG115" s="27" t="s">
        <v>177</v>
      </c>
      <c r="AI115" s="179"/>
      <c r="AP115" s="136">
        <v>45306</v>
      </c>
      <c r="AQ115" s="27" t="s">
        <v>65</v>
      </c>
      <c r="AR115" s="27" t="s">
        <v>234</v>
      </c>
      <c r="AT115" s="27" t="str">
        <f t="shared" si="2"/>
        <v>Inactivo</v>
      </c>
      <c r="AU115" s="27" cm="1">
        <f t="array" aca="1" ref="AU115" ca="1">_xlfn.IFS(AT115="","",AT115="Activo",TODAY()-H115,AT115="Inactivo",AP115-H115)</f>
        <v>273</v>
      </c>
      <c r="AV115" s="180">
        <f ca="1">IF(ISBLANK(Tabla1[[#This Row],[Fecha Nacimento (dd/mm/yyyy)]]),"",YEARFRAC(Tabla1[[#This Row],[Fecha Nacimento (dd/mm/yyyy)]],TODAY()))</f>
        <v>46.847222222222221</v>
      </c>
      <c r="AW115" s="141"/>
      <c r="AX115" s="27" t="str">
        <f t="shared" si="3"/>
        <v/>
      </c>
    </row>
    <row r="116" spans="1:50" s="27" customFormat="1" x14ac:dyDescent="0.25">
      <c r="A116" s="134">
        <v>115</v>
      </c>
      <c r="B116" s="27" t="s">
        <v>894</v>
      </c>
      <c r="C116" s="27" t="s">
        <v>895</v>
      </c>
      <c r="D116" s="27" t="s">
        <v>141</v>
      </c>
      <c r="E116" s="400">
        <v>1116435166</v>
      </c>
      <c r="F116" s="27" t="s">
        <v>142</v>
      </c>
      <c r="G116" s="27" t="s">
        <v>143</v>
      </c>
      <c r="H116" s="136">
        <v>45033</v>
      </c>
      <c r="I116" s="136"/>
      <c r="J116" s="27" t="s">
        <v>144</v>
      </c>
      <c r="K116" s="138">
        <v>1412000</v>
      </c>
      <c r="L116" s="27" t="s">
        <v>145</v>
      </c>
      <c r="M116" s="27" t="s">
        <v>203</v>
      </c>
      <c r="N116" s="27" t="s">
        <v>145</v>
      </c>
      <c r="O116" s="139" t="s">
        <v>896</v>
      </c>
      <c r="Q116" s="27" t="s">
        <v>148</v>
      </c>
      <c r="R116" s="27" t="s">
        <v>149</v>
      </c>
      <c r="S116" s="27" t="s">
        <v>150</v>
      </c>
      <c r="T116" s="27" t="s">
        <v>897</v>
      </c>
      <c r="U116" s="37">
        <v>32013</v>
      </c>
      <c r="V116" s="27" t="s">
        <v>885</v>
      </c>
      <c r="W116" s="27" t="s">
        <v>898</v>
      </c>
      <c r="X116" s="27" t="s">
        <v>231</v>
      </c>
      <c r="Y116" s="27" t="s">
        <v>887</v>
      </c>
      <c r="Z116" s="27" t="s">
        <v>893</v>
      </c>
      <c r="AA116" s="27" t="s">
        <v>211</v>
      </c>
      <c r="AB116" s="27" t="s">
        <v>416</v>
      </c>
      <c r="AC116" s="27" t="s">
        <v>160</v>
      </c>
      <c r="AD116" s="27" t="s">
        <v>160</v>
      </c>
      <c r="AE116" s="27" t="s">
        <v>224</v>
      </c>
      <c r="AF116" s="27" t="s">
        <v>176</v>
      </c>
      <c r="AG116" s="27" t="s">
        <v>177</v>
      </c>
      <c r="AI116" s="179"/>
      <c r="AJ116" s="27" t="s">
        <v>145</v>
      </c>
      <c r="AL116" s="27" t="s">
        <v>145</v>
      </c>
      <c r="AM116" s="27" t="s">
        <v>145</v>
      </c>
      <c r="AO116" s="27" t="s">
        <v>145</v>
      </c>
      <c r="AP116" s="136">
        <v>45306</v>
      </c>
      <c r="AQ116" s="27" t="s">
        <v>65</v>
      </c>
      <c r="AR116" s="27" t="s">
        <v>234</v>
      </c>
      <c r="AT116" s="27" t="str">
        <f t="shared" si="2"/>
        <v>Inactivo</v>
      </c>
      <c r="AU116" s="27" cm="1">
        <f t="array" aca="1" ref="AU116" ca="1">_xlfn.IFS(AT116="","",AT116="Activo",TODAY()-H116,AT116="Inactivo",AP116-H116)</f>
        <v>273</v>
      </c>
      <c r="AV116" s="180">
        <f ca="1">IF(ISBLANK(Tabla1[[#This Row],[Fecha Nacimento (dd/mm/yyyy)]]),"",YEARFRAC(Tabla1[[#This Row],[Fecha Nacimento (dd/mm/yyyy)]],TODAY()))</f>
        <v>36.81388888888889</v>
      </c>
      <c r="AW116" s="141"/>
      <c r="AX116" s="27" t="str">
        <f t="shared" si="3"/>
        <v/>
      </c>
    </row>
    <row r="117" spans="1:50" s="27" customFormat="1" x14ac:dyDescent="0.25">
      <c r="A117" s="134">
        <v>116</v>
      </c>
      <c r="B117" s="27" t="s">
        <v>899</v>
      </c>
      <c r="C117" s="27" t="s">
        <v>900</v>
      </c>
      <c r="D117" s="27" t="s">
        <v>141</v>
      </c>
      <c r="E117" s="400">
        <v>1007757162</v>
      </c>
      <c r="F117" s="27" t="s">
        <v>142</v>
      </c>
      <c r="G117" s="27" t="s">
        <v>143</v>
      </c>
      <c r="H117" s="136">
        <v>45033</v>
      </c>
      <c r="I117" s="136"/>
      <c r="J117" s="27" t="s">
        <v>144</v>
      </c>
      <c r="K117" s="137">
        <v>1300000</v>
      </c>
      <c r="L117" s="27" t="s">
        <v>145</v>
      </c>
      <c r="M117" s="27" t="s">
        <v>203</v>
      </c>
      <c r="N117" s="27" t="s">
        <v>145</v>
      </c>
      <c r="O117" s="139" t="s">
        <v>901</v>
      </c>
      <c r="Q117" s="27" t="s">
        <v>148</v>
      </c>
      <c r="R117" s="27" t="s">
        <v>168</v>
      </c>
      <c r="S117" s="27" t="s">
        <v>150</v>
      </c>
      <c r="T117" s="27" t="s">
        <v>902</v>
      </c>
      <c r="U117" s="37">
        <v>37172</v>
      </c>
      <c r="V117" s="27" t="s">
        <v>903</v>
      </c>
      <c r="W117" s="27" t="s">
        <v>904</v>
      </c>
      <c r="X117" s="27" t="s">
        <v>675</v>
      </c>
      <c r="Y117" s="27" t="s">
        <v>887</v>
      </c>
      <c r="Z117" s="27" t="s">
        <v>223</v>
      </c>
      <c r="AA117" s="27" t="s">
        <v>211</v>
      </c>
      <c r="AB117" s="27" t="s">
        <v>175</v>
      </c>
      <c r="AC117" s="27" t="s">
        <v>160</v>
      </c>
      <c r="AD117" s="27" t="s">
        <v>160</v>
      </c>
      <c r="AE117" s="27" t="s">
        <v>224</v>
      </c>
      <c r="AF117" s="27" t="s">
        <v>176</v>
      </c>
      <c r="AG117" s="27" t="s">
        <v>177</v>
      </c>
      <c r="AI117" s="179"/>
      <c r="AP117" s="136">
        <v>45306</v>
      </c>
      <c r="AQ117" s="27" t="s">
        <v>65</v>
      </c>
      <c r="AR117" s="27" t="s">
        <v>234</v>
      </c>
      <c r="AT117" s="27" t="str">
        <f t="shared" si="2"/>
        <v>Inactivo</v>
      </c>
      <c r="AU117" s="27" cm="1">
        <f t="array" aca="1" ref="AU117" ca="1">_xlfn.IFS(AT117="","",AT117="Activo",TODAY()-H117,AT117="Inactivo",AP117-H117)</f>
        <v>273</v>
      </c>
      <c r="AV117" s="180">
        <f ca="1">IF(ISBLANK(Tabla1[[#This Row],[Fecha Nacimento (dd/mm/yyyy)]]),"",YEARFRAC(Tabla1[[#This Row],[Fecha Nacimento (dd/mm/yyyy)]],TODAY()))</f>
        <v>22.691666666666666</v>
      </c>
      <c r="AW117" s="141"/>
      <c r="AX117" s="27" t="str">
        <f t="shared" si="3"/>
        <v/>
      </c>
    </row>
    <row r="118" spans="1:50" s="27" customFormat="1" x14ac:dyDescent="0.25">
      <c r="A118" s="134">
        <v>117</v>
      </c>
      <c r="B118" s="27" t="s">
        <v>905</v>
      </c>
      <c r="C118" s="27" t="s">
        <v>906</v>
      </c>
      <c r="D118" s="27" t="s">
        <v>141</v>
      </c>
      <c r="E118" s="400">
        <v>1097406710</v>
      </c>
      <c r="F118" s="27" t="s">
        <v>142</v>
      </c>
      <c r="G118" s="27" t="s">
        <v>143</v>
      </c>
      <c r="H118" s="136">
        <v>45035</v>
      </c>
      <c r="I118" s="136" t="s">
        <v>217</v>
      </c>
      <c r="J118" s="27" t="s">
        <v>144</v>
      </c>
      <c r="K118" s="140">
        <v>1300000</v>
      </c>
      <c r="L118" s="27" t="s">
        <v>145</v>
      </c>
      <c r="M118" s="27" t="s">
        <v>203</v>
      </c>
      <c r="N118" s="27" t="s">
        <v>145</v>
      </c>
      <c r="O118" s="139" t="s">
        <v>907</v>
      </c>
      <c r="Q118" s="27" t="s">
        <v>148</v>
      </c>
      <c r="R118" s="27" t="s">
        <v>168</v>
      </c>
      <c r="S118" s="27" t="s">
        <v>150</v>
      </c>
      <c r="T118" s="27" t="s">
        <v>908</v>
      </c>
      <c r="U118" s="136"/>
      <c r="V118" s="27" t="s">
        <v>909</v>
      </c>
      <c r="W118" s="27" t="s">
        <v>910</v>
      </c>
      <c r="X118" s="27" t="s">
        <v>464</v>
      </c>
      <c r="Y118" s="27" t="s">
        <v>222</v>
      </c>
      <c r="Z118" s="27" t="s">
        <v>15</v>
      </c>
      <c r="AA118" s="27" t="s">
        <v>211</v>
      </c>
      <c r="AB118" s="27" t="s">
        <v>911</v>
      </c>
      <c r="AC118" s="27" t="s">
        <v>160</v>
      </c>
      <c r="AD118" s="27" t="s">
        <v>160</v>
      </c>
      <c r="AE118" s="27" t="s">
        <v>1</v>
      </c>
      <c r="AF118" s="27" t="s">
        <v>162</v>
      </c>
      <c r="AG118" s="27" t="s">
        <v>177</v>
      </c>
      <c r="AI118" s="179"/>
      <c r="AP118" s="136"/>
      <c r="AT118" s="27" t="str">
        <f t="shared" si="2"/>
        <v>Activo</v>
      </c>
      <c r="AU118" s="27" cm="1">
        <f t="array" aca="1" ref="AU118" ca="1">_xlfn.IFS(AT118="","",AT118="Activo",TODAY()-H118,AT118="Inactivo",AP118-H118)</f>
        <v>425</v>
      </c>
      <c r="AV118" s="180" t="str">
        <f ca="1">IF(ISBLANK(Tabla1[[#This Row],[Fecha Nacimento (dd/mm/yyyy)]]),"",YEARFRAC(Tabla1[[#This Row],[Fecha Nacimento (dd/mm/yyyy)]],TODAY()))</f>
        <v/>
      </c>
      <c r="AW118" s="141"/>
      <c r="AX118" s="27" t="str">
        <f t="shared" si="3"/>
        <v/>
      </c>
    </row>
    <row r="119" spans="1:50" s="186" customFormat="1" x14ac:dyDescent="0.25">
      <c r="A119" s="134">
        <v>118</v>
      </c>
      <c r="B119" s="27" t="s">
        <v>912</v>
      </c>
      <c r="C119" s="27" t="s">
        <v>913</v>
      </c>
      <c r="D119" s="27" t="s">
        <v>569</v>
      </c>
      <c r="E119" s="400">
        <v>6310402</v>
      </c>
      <c r="F119" s="27" t="s">
        <v>142</v>
      </c>
      <c r="G119" s="27" t="s">
        <v>143</v>
      </c>
      <c r="H119" s="136">
        <v>45036</v>
      </c>
      <c r="I119" s="136"/>
      <c r="J119" s="27" t="s">
        <v>144</v>
      </c>
      <c r="K119" s="140">
        <v>1300000</v>
      </c>
      <c r="L119" s="27" t="s">
        <v>145</v>
      </c>
      <c r="M119" s="27" t="s">
        <v>146</v>
      </c>
      <c r="N119" s="27"/>
      <c r="O119" s="139" t="s">
        <v>914</v>
      </c>
      <c r="P119" s="27"/>
      <c r="Q119" s="27" t="s">
        <v>148</v>
      </c>
      <c r="R119" s="27" t="s">
        <v>168</v>
      </c>
      <c r="S119" s="27" t="s">
        <v>150</v>
      </c>
      <c r="T119" s="27" t="s">
        <v>915</v>
      </c>
      <c r="U119" s="37">
        <v>36551</v>
      </c>
      <c r="V119" s="27" t="s">
        <v>916</v>
      </c>
      <c r="W119" s="27" t="s">
        <v>917</v>
      </c>
      <c r="X119" s="27" t="s">
        <v>154</v>
      </c>
      <c r="Y119" s="27" t="s">
        <v>172</v>
      </c>
      <c r="Z119" s="27" t="s">
        <v>552</v>
      </c>
      <c r="AA119" s="27" t="s">
        <v>174</v>
      </c>
      <c r="AB119" s="27" t="s">
        <v>175</v>
      </c>
      <c r="AC119" s="27" t="s">
        <v>160</v>
      </c>
      <c r="AD119" s="27" t="s">
        <v>160</v>
      </c>
      <c r="AE119" s="27" t="s">
        <v>161</v>
      </c>
      <c r="AF119" s="27" t="s">
        <v>176</v>
      </c>
      <c r="AG119" s="27" t="s">
        <v>177</v>
      </c>
      <c r="AH119" s="27" t="s">
        <v>164</v>
      </c>
      <c r="AI119" s="179"/>
      <c r="AJ119" s="27"/>
      <c r="AK119" s="27"/>
      <c r="AL119" s="27"/>
      <c r="AM119" s="27"/>
      <c r="AN119" s="27"/>
      <c r="AO119" s="27"/>
      <c r="AP119" s="136">
        <v>45306</v>
      </c>
      <c r="AQ119" s="27" t="s">
        <v>52</v>
      </c>
      <c r="AR119" s="27"/>
      <c r="AS119" s="27"/>
      <c r="AT119" s="27" t="str">
        <f t="shared" si="2"/>
        <v>Inactivo</v>
      </c>
      <c r="AU119" s="27" cm="1">
        <f t="array" aca="1" ref="AU119" ca="1">_xlfn.IFS(AT119="","",AT119="Activo",TODAY()-H119,AT119="Inactivo",AP119-H119)</f>
        <v>270</v>
      </c>
      <c r="AV119" s="180">
        <f ca="1">IF(ISBLANK(Tabla1[[#This Row],[Fecha Nacimento (dd/mm/yyyy)]]),"",YEARFRAC(Tabla1[[#This Row],[Fecha Nacimento (dd/mm/yyyy)]],TODAY()))</f>
        <v>24.391666666666666</v>
      </c>
      <c r="AW119" s="185"/>
      <c r="AX119" s="186" t="str">
        <f t="shared" si="3"/>
        <v/>
      </c>
    </row>
    <row r="120" spans="1:50" s="27" customFormat="1" x14ac:dyDescent="0.25">
      <c r="A120" s="134">
        <v>119</v>
      </c>
      <c r="B120" s="27" t="s">
        <v>918</v>
      </c>
      <c r="C120" s="27" t="s">
        <v>919</v>
      </c>
      <c r="D120" s="27" t="s">
        <v>141</v>
      </c>
      <c r="E120" s="400">
        <v>79222044</v>
      </c>
      <c r="F120" s="27" t="s">
        <v>142</v>
      </c>
      <c r="G120" s="27" t="s">
        <v>143</v>
      </c>
      <c r="H120" s="136">
        <v>45047</v>
      </c>
      <c r="I120" s="136"/>
      <c r="J120" s="27" t="s">
        <v>144</v>
      </c>
      <c r="K120" s="140">
        <v>1300000</v>
      </c>
      <c r="L120" s="27" t="s">
        <v>164</v>
      </c>
      <c r="M120" s="27" t="s">
        <v>203</v>
      </c>
      <c r="O120" s="139" t="s">
        <v>920</v>
      </c>
      <c r="Q120" s="27" t="s">
        <v>148</v>
      </c>
      <c r="R120" s="27" t="s">
        <v>426</v>
      </c>
      <c r="S120" s="27" t="s">
        <v>150</v>
      </c>
      <c r="T120" s="27" t="s">
        <v>921</v>
      </c>
      <c r="U120" s="37">
        <v>30963</v>
      </c>
      <c r="V120" s="27" t="s">
        <v>447</v>
      </c>
      <c r="W120" s="27" t="s">
        <v>921</v>
      </c>
      <c r="X120" s="27" t="s">
        <v>343</v>
      </c>
      <c r="Y120" s="27" t="s">
        <v>172</v>
      </c>
      <c r="Z120" s="27" t="s">
        <v>223</v>
      </c>
      <c r="AA120" s="27" t="s">
        <v>211</v>
      </c>
      <c r="AB120" s="27" t="s">
        <v>175</v>
      </c>
      <c r="AC120" s="27" t="s">
        <v>159</v>
      </c>
      <c r="AD120" s="27" t="s">
        <v>271</v>
      </c>
      <c r="AE120" s="27" t="s">
        <v>431</v>
      </c>
      <c r="AF120" s="27" t="s">
        <v>176</v>
      </c>
      <c r="AG120" s="27" t="s">
        <v>177</v>
      </c>
      <c r="AH120" s="27" t="s">
        <v>145</v>
      </c>
      <c r="AI120" s="179">
        <v>12800</v>
      </c>
      <c r="AJ120" s="27" t="s">
        <v>304</v>
      </c>
      <c r="AK120" s="27" t="s">
        <v>214</v>
      </c>
      <c r="AL120" s="27" t="s">
        <v>214</v>
      </c>
      <c r="AM120" s="27" t="s">
        <v>164</v>
      </c>
      <c r="AN120" s="27" t="s">
        <v>214</v>
      </c>
      <c r="AO120" s="27" t="s">
        <v>214</v>
      </c>
      <c r="AP120" s="136"/>
      <c r="AT120" s="27" t="str">
        <f t="shared" si="2"/>
        <v>Activo</v>
      </c>
      <c r="AU120" s="27" cm="1">
        <f t="array" aca="1" ref="AU120" ca="1">_xlfn.IFS(AT120="","",AT120="Activo",TODAY()-H120,AT120="Inactivo",AP120-H120)</f>
        <v>413</v>
      </c>
      <c r="AV120" s="180">
        <f ca="1">IF(ISBLANK(Tabla1[[#This Row],[Fecha Nacimento (dd/mm/yyyy)]]),"",YEARFRAC(Tabla1[[#This Row],[Fecha Nacimento (dd/mm/yyyy)]],TODAY()))</f>
        <v>39.69166666666667</v>
      </c>
      <c r="AW120" s="141"/>
      <c r="AX120" s="27" t="str">
        <f t="shared" si="3"/>
        <v/>
      </c>
    </row>
    <row r="121" spans="1:50" s="27" customFormat="1" x14ac:dyDescent="0.25">
      <c r="A121" s="134">
        <v>120</v>
      </c>
      <c r="B121" s="141" t="s">
        <v>922</v>
      </c>
      <c r="C121" s="141" t="s">
        <v>923</v>
      </c>
      <c r="D121" s="27" t="s">
        <v>141</v>
      </c>
      <c r="E121" s="402">
        <v>5292057</v>
      </c>
      <c r="F121" s="141" t="s">
        <v>142</v>
      </c>
      <c r="G121" s="27" t="s">
        <v>143</v>
      </c>
      <c r="H121" s="142">
        <v>45047</v>
      </c>
      <c r="I121" s="136"/>
      <c r="J121" s="27" t="s">
        <v>144</v>
      </c>
      <c r="K121" s="137">
        <v>1300000</v>
      </c>
      <c r="L121" s="27" t="s">
        <v>164</v>
      </c>
      <c r="M121" s="141" t="s">
        <v>203</v>
      </c>
      <c r="O121" s="145" t="s">
        <v>924</v>
      </c>
      <c r="Q121" s="27" t="s">
        <v>205</v>
      </c>
      <c r="U121" s="181">
        <v>31366</v>
      </c>
      <c r="V121" s="141" t="s">
        <v>925</v>
      </c>
      <c r="W121" s="141" t="s">
        <v>926</v>
      </c>
      <c r="X121" s="141" t="s">
        <v>350</v>
      </c>
      <c r="Y121" s="141" t="s">
        <v>209</v>
      </c>
      <c r="Z121" s="141" t="s">
        <v>927</v>
      </c>
      <c r="AA121" s="141" t="s">
        <v>211</v>
      </c>
      <c r="AB121" s="141" t="s">
        <v>175</v>
      </c>
      <c r="AC121" s="141" t="s">
        <v>159</v>
      </c>
      <c r="AD121" s="141" t="s">
        <v>160</v>
      </c>
      <c r="AE121" s="27" t="s">
        <v>213</v>
      </c>
      <c r="AF121" s="27" t="s">
        <v>176</v>
      </c>
      <c r="AG121" s="27" t="s">
        <v>177</v>
      </c>
      <c r="AH121" s="27" t="s">
        <v>164</v>
      </c>
      <c r="AI121" s="179"/>
      <c r="AJ121" s="27" t="s">
        <v>164</v>
      </c>
      <c r="AK121" s="27" t="s">
        <v>214</v>
      </c>
      <c r="AL121" s="27" t="s">
        <v>214</v>
      </c>
      <c r="AM121" s="27" t="s">
        <v>164</v>
      </c>
      <c r="AN121" s="27" t="s">
        <v>214</v>
      </c>
      <c r="AO121" s="27" t="s">
        <v>214</v>
      </c>
      <c r="AP121" s="136">
        <v>45366</v>
      </c>
      <c r="AQ121" s="27" t="s">
        <v>52</v>
      </c>
      <c r="AT121" s="27" t="str">
        <f t="shared" si="2"/>
        <v>Inactivo</v>
      </c>
      <c r="AU121" s="27" cm="1">
        <f t="array" aca="1" ref="AU121" ca="1">_xlfn.IFS(AT121="","",AT121="Activo",TODAY()-H121,AT121="Inactivo",AP121-H121)</f>
        <v>319</v>
      </c>
      <c r="AV121" s="180">
        <f ca="1">IF(ISBLANK(Tabla1[[#This Row],[Fecha Nacimento (dd/mm/yyyy)]]),"",YEARFRAC(Tabla1[[#This Row],[Fecha Nacimento (dd/mm/yyyy)]],TODAY()))</f>
        <v>38.588888888888889</v>
      </c>
      <c r="AW121" s="141"/>
      <c r="AX121" s="27" t="str">
        <f t="shared" si="3"/>
        <v/>
      </c>
    </row>
    <row r="122" spans="1:50" s="27" customFormat="1" x14ac:dyDescent="0.25">
      <c r="A122" s="134">
        <v>121</v>
      </c>
      <c r="B122" s="27" t="s">
        <v>928</v>
      </c>
      <c r="C122" s="27" t="s">
        <v>929</v>
      </c>
      <c r="D122" s="27" t="s">
        <v>141</v>
      </c>
      <c r="E122" s="403">
        <v>9729537</v>
      </c>
      <c r="F122" s="27" t="s">
        <v>142</v>
      </c>
      <c r="G122" s="27" t="s">
        <v>143</v>
      </c>
      <c r="H122" s="136">
        <v>45047</v>
      </c>
      <c r="I122" s="136"/>
      <c r="J122" s="27" t="s">
        <v>144</v>
      </c>
      <c r="K122" s="137">
        <v>1300000</v>
      </c>
      <c r="L122" s="27" t="s">
        <v>145</v>
      </c>
      <c r="M122" s="27" t="s">
        <v>355</v>
      </c>
      <c r="N122" s="27" t="s">
        <v>145</v>
      </c>
      <c r="O122" s="27" t="s">
        <v>930</v>
      </c>
      <c r="Q122" s="27" t="s">
        <v>148</v>
      </c>
      <c r="R122" s="27" t="s">
        <v>168</v>
      </c>
      <c r="S122" s="27" t="s">
        <v>150</v>
      </c>
      <c r="T122" s="28" t="s">
        <v>931</v>
      </c>
      <c r="U122" s="37">
        <v>29928</v>
      </c>
      <c r="V122" s="27" t="s">
        <v>932</v>
      </c>
      <c r="W122" s="27">
        <v>3207842346</v>
      </c>
      <c r="X122" s="27" t="s">
        <v>268</v>
      </c>
      <c r="Y122" s="27" t="s">
        <v>367</v>
      </c>
      <c r="Z122" s="27" t="s">
        <v>368</v>
      </c>
      <c r="AA122" s="27" t="s">
        <v>211</v>
      </c>
      <c r="AB122" s="27" t="s">
        <v>158</v>
      </c>
      <c r="AC122" s="135" t="s">
        <v>160</v>
      </c>
      <c r="AD122" s="135" t="s">
        <v>271</v>
      </c>
      <c r="AE122" s="27" t="s">
        <v>272</v>
      </c>
      <c r="AF122" s="27" t="s">
        <v>176</v>
      </c>
      <c r="AG122" s="27" t="s">
        <v>177</v>
      </c>
      <c r="AH122" s="27" t="s">
        <v>145</v>
      </c>
      <c r="AI122" s="179">
        <v>300000</v>
      </c>
      <c r="AJ122" s="27" t="s">
        <v>164</v>
      </c>
      <c r="AK122" s="27" t="s">
        <v>214</v>
      </c>
      <c r="AL122" s="27" t="s">
        <v>214</v>
      </c>
      <c r="AM122" s="27" t="s">
        <v>164</v>
      </c>
      <c r="AN122" s="27" t="s">
        <v>214</v>
      </c>
      <c r="AO122" s="27" t="s">
        <v>164</v>
      </c>
      <c r="AP122" s="136">
        <v>45213</v>
      </c>
      <c r="AQ122" s="27" t="s">
        <v>55</v>
      </c>
      <c r="AT122" s="27" t="str">
        <f t="shared" si="2"/>
        <v>Inactivo</v>
      </c>
      <c r="AU122" s="27" cm="1">
        <f t="array" aca="1" ref="AU122" ca="1">_xlfn.IFS(AT122="","",AT122="Activo",TODAY()-H122,AT122="Inactivo",AP122-H122)</f>
        <v>166</v>
      </c>
      <c r="AV122" s="180">
        <f ca="1">IF(ISBLANK(Tabla1[[#This Row],[Fecha Nacimento (dd/mm/yyyy)]]),"",YEARFRAC(Tabla1[[#This Row],[Fecha Nacimento (dd/mm/yyyy)]],TODAY()))</f>
        <v>42.524999999999999</v>
      </c>
      <c r="AW122" s="141"/>
      <c r="AX122" s="27" t="str">
        <f t="shared" si="3"/>
        <v/>
      </c>
    </row>
    <row r="123" spans="1:50" s="27" customFormat="1" x14ac:dyDescent="0.25">
      <c r="A123" s="134">
        <v>122</v>
      </c>
      <c r="B123" s="27" t="s">
        <v>933</v>
      </c>
      <c r="C123" s="27" t="s">
        <v>934</v>
      </c>
      <c r="D123" s="27" t="s">
        <v>141</v>
      </c>
      <c r="E123" s="400">
        <v>1094924581</v>
      </c>
      <c r="F123" s="27" t="s">
        <v>142</v>
      </c>
      <c r="G123" s="27" t="s">
        <v>143</v>
      </c>
      <c r="H123" s="136">
        <v>45054</v>
      </c>
      <c r="I123" s="136" t="s">
        <v>217</v>
      </c>
      <c r="J123" s="27" t="s">
        <v>144</v>
      </c>
      <c r="K123" s="140">
        <v>5000000</v>
      </c>
      <c r="L123" s="27" t="s">
        <v>164</v>
      </c>
      <c r="M123" s="27" t="s">
        <v>203</v>
      </c>
      <c r="N123" s="27" t="s">
        <v>145</v>
      </c>
      <c r="O123" s="139" t="s">
        <v>935</v>
      </c>
      <c r="Q123" s="27" t="s">
        <v>148</v>
      </c>
      <c r="R123" s="27" t="s">
        <v>168</v>
      </c>
      <c r="S123" s="27" t="s">
        <v>150</v>
      </c>
      <c r="T123" s="27" t="s">
        <v>936</v>
      </c>
      <c r="U123" s="136"/>
      <c r="V123" s="27" t="s">
        <v>937</v>
      </c>
      <c r="W123" s="27" t="s">
        <v>938</v>
      </c>
      <c r="X123" s="27" t="s">
        <v>464</v>
      </c>
      <c r="Y123" s="27" t="s">
        <v>155</v>
      </c>
      <c r="Z123" s="27" t="s">
        <v>21</v>
      </c>
      <c r="AA123" s="27" t="s">
        <v>211</v>
      </c>
      <c r="AB123" s="27" t="s">
        <v>259</v>
      </c>
      <c r="AC123" s="27" t="s">
        <v>160</v>
      </c>
      <c r="AD123" s="27" t="s">
        <v>160</v>
      </c>
      <c r="AE123" s="27" t="s">
        <v>1</v>
      </c>
      <c r="AF123" s="27" t="s">
        <v>176</v>
      </c>
      <c r="AG123" s="27" t="s">
        <v>163</v>
      </c>
      <c r="AI123" s="179"/>
      <c r="AP123" s="136"/>
      <c r="AT123" s="27" t="str">
        <f t="shared" si="2"/>
        <v>Activo</v>
      </c>
      <c r="AU123" s="27" cm="1">
        <f t="array" aca="1" ref="AU123" ca="1">_xlfn.IFS(AT123="","",AT123="Activo",TODAY()-H123,AT123="Inactivo",AP123-H123)</f>
        <v>406</v>
      </c>
      <c r="AV123" s="180" t="str">
        <f ca="1">IF(ISBLANK(Tabla1[[#This Row],[Fecha Nacimento (dd/mm/yyyy)]]),"",YEARFRAC(Tabla1[[#This Row],[Fecha Nacimento (dd/mm/yyyy)]],TODAY()))</f>
        <v/>
      </c>
      <c r="AW123" s="141"/>
      <c r="AX123" s="27" t="str">
        <f t="shared" si="3"/>
        <v/>
      </c>
    </row>
    <row r="124" spans="1:50" s="27" customFormat="1" x14ac:dyDescent="0.25">
      <c r="A124" s="134">
        <v>123</v>
      </c>
      <c r="B124" s="27" t="s">
        <v>939</v>
      </c>
      <c r="C124" s="27" t="s">
        <v>940</v>
      </c>
      <c r="D124" s="27" t="s">
        <v>141</v>
      </c>
      <c r="E124" s="400">
        <v>1032449657</v>
      </c>
      <c r="F124" s="27" t="s">
        <v>142</v>
      </c>
      <c r="G124" s="27" t="s">
        <v>143</v>
      </c>
      <c r="H124" s="136">
        <v>45060</v>
      </c>
      <c r="I124" s="136"/>
      <c r="J124" s="27" t="s">
        <v>144</v>
      </c>
      <c r="K124" s="137">
        <v>1300000</v>
      </c>
      <c r="L124" s="27" t="s">
        <v>145</v>
      </c>
      <c r="M124" s="27" t="s">
        <v>355</v>
      </c>
      <c r="N124" s="27" t="s">
        <v>145</v>
      </c>
      <c r="O124" s="139" t="s">
        <v>941</v>
      </c>
      <c r="Q124" s="27" t="s">
        <v>148</v>
      </c>
      <c r="R124" s="27" t="s">
        <v>942</v>
      </c>
      <c r="S124" s="27" t="s">
        <v>150</v>
      </c>
      <c r="T124" s="27" t="s">
        <v>943</v>
      </c>
      <c r="U124" s="37">
        <v>33720</v>
      </c>
      <c r="V124" s="27" t="s">
        <v>944</v>
      </c>
      <c r="W124" s="27" t="s">
        <v>945</v>
      </c>
      <c r="X124" s="27" t="s">
        <v>268</v>
      </c>
      <c r="Y124" s="27" t="s">
        <v>367</v>
      </c>
      <c r="Z124" s="27" t="s">
        <v>368</v>
      </c>
      <c r="AA124" s="27" t="s">
        <v>211</v>
      </c>
      <c r="AB124" s="27" t="s">
        <v>175</v>
      </c>
      <c r="AC124" s="27" t="s">
        <v>271</v>
      </c>
      <c r="AD124" s="27" t="s">
        <v>160</v>
      </c>
      <c r="AE124" s="27" t="s">
        <v>272</v>
      </c>
      <c r="AF124" s="27" t="s">
        <v>176</v>
      </c>
      <c r="AG124" s="27" t="s">
        <v>177</v>
      </c>
      <c r="AH124" s="27" t="s">
        <v>145</v>
      </c>
      <c r="AI124" s="179">
        <v>400000</v>
      </c>
      <c r="AJ124" s="27" t="s">
        <v>164</v>
      </c>
      <c r="AK124" s="27" t="s">
        <v>214</v>
      </c>
      <c r="AL124" s="27" t="s">
        <v>214</v>
      </c>
      <c r="AM124" s="27" t="s">
        <v>164</v>
      </c>
      <c r="AN124" s="27" t="s">
        <v>214</v>
      </c>
      <c r="AO124" s="27" t="s">
        <v>164</v>
      </c>
      <c r="AP124" s="136"/>
      <c r="AT124" s="27" t="str">
        <f t="shared" si="2"/>
        <v>Activo</v>
      </c>
      <c r="AU124" s="27" cm="1">
        <f t="array" aca="1" ref="AU124" ca="1">_xlfn.IFS(AT124="","",AT124="Activo",TODAY()-H124,AT124="Inactivo",AP124-H124)</f>
        <v>400</v>
      </c>
      <c r="AV124" s="180">
        <f ca="1">IF(ISBLANK(Tabla1[[#This Row],[Fecha Nacimento (dd/mm/yyyy)]]),"",YEARFRAC(Tabla1[[#This Row],[Fecha Nacimento (dd/mm/yyyy)]],TODAY()))</f>
        <v>32.141666666666666</v>
      </c>
      <c r="AW124" s="141"/>
      <c r="AX124" s="27" t="str">
        <f t="shared" si="3"/>
        <v/>
      </c>
    </row>
    <row r="125" spans="1:50" s="27" customFormat="1" x14ac:dyDescent="0.25">
      <c r="A125" s="134">
        <v>124</v>
      </c>
      <c r="B125" s="27" t="s">
        <v>946</v>
      </c>
      <c r="C125" s="27" t="s">
        <v>947</v>
      </c>
      <c r="D125" s="27" t="s">
        <v>569</v>
      </c>
      <c r="E125" s="400">
        <v>4347947</v>
      </c>
      <c r="F125" s="27" t="s">
        <v>142</v>
      </c>
      <c r="G125" s="27" t="s">
        <v>143</v>
      </c>
      <c r="H125" s="136">
        <v>45063</v>
      </c>
      <c r="I125" s="136"/>
      <c r="J125" s="27" t="s">
        <v>144</v>
      </c>
      <c r="K125" s="137">
        <v>1300000</v>
      </c>
      <c r="L125" s="27" t="s">
        <v>145</v>
      </c>
      <c r="M125" s="27" t="s">
        <v>146</v>
      </c>
      <c r="O125" s="139" t="s">
        <v>948</v>
      </c>
      <c r="Q125" s="27" t="s">
        <v>148</v>
      </c>
      <c r="R125" s="27" t="s">
        <v>168</v>
      </c>
      <c r="S125" s="27" t="s">
        <v>150</v>
      </c>
      <c r="T125" s="27" t="s">
        <v>949</v>
      </c>
      <c r="U125" s="37">
        <v>34241</v>
      </c>
      <c r="V125" s="27" t="s">
        <v>572</v>
      </c>
      <c r="W125" s="27" t="s">
        <v>950</v>
      </c>
      <c r="X125" s="27" t="s">
        <v>154</v>
      </c>
      <c r="Y125" s="27" t="s">
        <v>172</v>
      </c>
      <c r="Z125" s="27" t="s">
        <v>552</v>
      </c>
      <c r="AA125" s="27" t="s">
        <v>174</v>
      </c>
      <c r="AB125" s="27" t="s">
        <v>158</v>
      </c>
      <c r="AC125" s="27" t="s">
        <v>160</v>
      </c>
      <c r="AD125" s="27" t="s">
        <v>160</v>
      </c>
      <c r="AE125" s="27" t="s">
        <v>161</v>
      </c>
      <c r="AF125" s="27" t="s">
        <v>176</v>
      </c>
      <c r="AG125" s="27" t="s">
        <v>177</v>
      </c>
      <c r="AH125" s="27" t="s">
        <v>164</v>
      </c>
      <c r="AI125" s="179"/>
      <c r="AP125" s="136"/>
      <c r="AT125" s="27" t="str">
        <f t="shared" si="2"/>
        <v>Activo</v>
      </c>
      <c r="AU125" s="27" cm="1">
        <f t="array" aca="1" ref="AU125" ca="1">_xlfn.IFS(AT125="","",AT125="Activo",TODAY()-H125,AT125="Inactivo",AP125-H125)</f>
        <v>397</v>
      </c>
      <c r="AV125" s="180">
        <f ca="1">IF(ISBLANK(Tabla1[[#This Row],[Fecha Nacimento (dd/mm/yyyy)]]),"",YEARFRAC(Tabla1[[#This Row],[Fecha Nacimento (dd/mm/yyyy)]],TODAY()))</f>
        <v>30.716666666666665</v>
      </c>
      <c r="AW125" s="141"/>
      <c r="AX125" s="27" t="str">
        <f t="shared" si="3"/>
        <v/>
      </c>
    </row>
    <row r="126" spans="1:50" s="27" customFormat="1" x14ac:dyDescent="0.25">
      <c r="A126" s="134">
        <v>125</v>
      </c>
      <c r="B126" s="27" t="s">
        <v>951</v>
      </c>
      <c r="C126" s="27" t="s">
        <v>952</v>
      </c>
      <c r="D126" s="27" t="s">
        <v>141</v>
      </c>
      <c r="E126" s="400">
        <v>79514224</v>
      </c>
      <c r="F126" s="27" t="s">
        <v>142</v>
      </c>
      <c r="G126" s="27" t="s">
        <v>143</v>
      </c>
      <c r="H126" s="136">
        <v>45077</v>
      </c>
      <c r="I126" s="136"/>
      <c r="J126" s="27" t="s">
        <v>144</v>
      </c>
      <c r="K126" s="137">
        <v>1300000</v>
      </c>
      <c r="L126" s="27" t="s">
        <v>145</v>
      </c>
      <c r="M126" s="27" t="s">
        <v>146</v>
      </c>
      <c r="O126" s="139" t="s">
        <v>953</v>
      </c>
      <c r="Q126" s="27" t="s">
        <v>148</v>
      </c>
      <c r="R126" s="27" t="s">
        <v>168</v>
      </c>
      <c r="S126" s="27" t="s">
        <v>150</v>
      </c>
      <c r="T126" s="27" t="s">
        <v>954</v>
      </c>
      <c r="U126" s="37">
        <v>25358</v>
      </c>
      <c r="V126" s="27" t="s">
        <v>955</v>
      </c>
      <c r="W126" s="27" t="s">
        <v>956</v>
      </c>
      <c r="X126" s="27" t="s">
        <v>154</v>
      </c>
      <c r="Y126" s="27" t="s">
        <v>172</v>
      </c>
      <c r="Z126" s="27" t="s">
        <v>566</v>
      </c>
      <c r="AA126" s="27" t="s">
        <v>174</v>
      </c>
      <c r="AB126" s="27" t="s">
        <v>175</v>
      </c>
      <c r="AC126" s="27" t="s">
        <v>159</v>
      </c>
      <c r="AD126" s="27" t="s">
        <v>160</v>
      </c>
      <c r="AE126" s="27" t="s">
        <v>161</v>
      </c>
      <c r="AF126" s="27" t="s">
        <v>176</v>
      </c>
      <c r="AG126" s="27" t="s">
        <v>177</v>
      </c>
      <c r="AH126" s="27" t="s">
        <v>164</v>
      </c>
      <c r="AI126" s="179"/>
      <c r="AP126" s="136"/>
      <c r="AT126" s="27" t="str">
        <f t="shared" si="2"/>
        <v>Activo</v>
      </c>
      <c r="AU126" s="27" cm="1">
        <f t="array" aca="1" ref="AU126" ca="1">_xlfn.IFS(AT126="","",AT126="Activo",TODAY()-H126,AT126="Inactivo",AP126-H126)</f>
        <v>383</v>
      </c>
      <c r="AV126" s="180">
        <f ca="1">IF(ISBLANK(Tabla1[[#This Row],[Fecha Nacimento (dd/mm/yyyy)]]),"",YEARFRAC(Tabla1[[#This Row],[Fecha Nacimento (dd/mm/yyyy)]],TODAY()))</f>
        <v>55.036111111111111</v>
      </c>
      <c r="AW126" s="141"/>
      <c r="AX126" s="27" t="str">
        <f t="shared" si="3"/>
        <v/>
      </c>
    </row>
    <row r="127" spans="1:50" s="27" customFormat="1" x14ac:dyDescent="0.25">
      <c r="A127" s="134">
        <v>126</v>
      </c>
      <c r="B127" s="27" t="s">
        <v>957</v>
      </c>
      <c r="C127" s="27" t="s">
        <v>958</v>
      </c>
      <c r="D127" s="27" t="s">
        <v>141</v>
      </c>
      <c r="E127" s="403">
        <v>1005253925</v>
      </c>
      <c r="F127" s="27" t="s">
        <v>142</v>
      </c>
      <c r="G127" s="27" t="s">
        <v>959</v>
      </c>
      <c r="H127" s="136">
        <v>45078</v>
      </c>
      <c r="I127" s="136"/>
      <c r="J127" s="27" t="s">
        <v>144</v>
      </c>
      <c r="K127" s="137">
        <v>1160000</v>
      </c>
      <c r="L127" s="27" t="s">
        <v>145</v>
      </c>
      <c r="M127" s="27" t="s">
        <v>262</v>
      </c>
      <c r="N127" s="27" t="s">
        <v>145</v>
      </c>
      <c r="O127" s="139" t="s">
        <v>960</v>
      </c>
      <c r="Q127" s="27" t="s">
        <v>148</v>
      </c>
      <c r="R127" s="27" t="s">
        <v>149</v>
      </c>
      <c r="S127" s="27" t="s">
        <v>150</v>
      </c>
      <c r="T127" s="28" t="s">
        <v>961</v>
      </c>
      <c r="U127" s="37">
        <v>38473</v>
      </c>
      <c r="V127" s="27" t="s">
        <v>962</v>
      </c>
      <c r="W127" s="27">
        <v>3156200101</v>
      </c>
      <c r="X127" s="27" t="s">
        <v>316</v>
      </c>
      <c r="Y127" s="27" t="s">
        <v>222</v>
      </c>
      <c r="Z127" s="27" t="s">
        <v>963</v>
      </c>
      <c r="AA127" s="27" t="s">
        <v>964</v>
      </c>
      <c r="AB127" s="27" t="s">
        <v>158</v>
      </c>
      <c r="AC127" s="135" t="s">
        <v>160</v>
      </c>
      <c r="AD127" s="135" t="s">
        <v>160</v>
      </c>
      <c r="AE127" s="27" t="s">
        <v>494</v>
      </c>
      <c r="AF127" s="27" t="s">
        <v>162</v>
      </c>
      <c r="AG127" s="27" t="s">
        <v>177</v>
      </c>
      <c r="AH127" s="27" t="s">
        <v>145</v>
      </c>
      <c r="AI127" s="179"/>
      <c r="AJ127" s="27" t="s">
        <v>164</v>
      </c>
      <c r="AK127" s="27" t="s">
        <v>214</v>
      </c>
      <c r="AL127" s="27" t="s">
        <v>164</v>
      </c>
      <c r="AM127" s="27" t="s">
        <v>164</v>
      </c>
      <c r="AN127" s="27" t="s">
        <v>214</v>
      </c>
      <c r="AO127" s="27" t="s">
        <v>164</v>
      </c>
      <c r="AP127" s="136">
        <v>45202</v>
      </c>
      <c r="AQ127" s="27" t="s">
        <v>52</v>
      </c>
      <c r="AT127" s="27" t="str">
        <f t="shared" si="2"/>
        <v>Inactivo</v>
      </c>
      <c r="AU127" s="27" cm="1">
        <f t="array" aca="1" ref="AU127" ca="1">_xlfn.IFS(AT127="","",AT127="Activo",TODAY()-H127,AT127="Inactivo",AP127-H127)</f>
        <v>124</v>
      </c>
      <c r="AV127" s="180">
        <f ca="1">IF(ISBLANK(Tabla1[[#This Row],[Fecha Nacimento (dd/mm/yyyy)]]),"",YEARFRAC(Tabla1[[#This Row],[Fecha Nacimento (dd/mm/yyyy)]],TODAY()))</f>
        <v>19.127777777777776</v>
      </c>
      <c r="AW127" s="141"/>
      <c r="AX127" s="27" t="str">
        <f t="shared" si="3"/>
        <v/>
      </c>
    </row>
    <row r="128" spans="1:50" s="27" customFormat="1" x14ac:dyDescent="0.25">
      <c r="A128" s="134">
        <v>127</v>
      </c>
      <c r="B128" s="27" t="s">
        <v>965</v>
      </c>
      <c r="C128" s="27" t="s">
        <v>966</v>
      </c>
      <c r="D128" s="27" t="s">
        <v>141</v>
      </c>
      <c r="E128" s="403">
        <v>1106893696</v>
      </c>
      <c r="F128" s="27" t="s">
        <v>142</v>
      </c>
      <c r="G128" s="27" t="s">
        <v>143</v>
      </c>
      <c r="H128" s="136">
        <v>45338</v>
      </c>
      <c r="I128" s="136"/>
      <c r="J128" s="27" t="s">
        <v>144</v>
      </c>
      <c r="K128" s="137">
        <v>1300000</v>
      </c>
      <c r="L128" s="27" t="s">
        <v>145</v>
      </c>
      <c r="M128" s="27" t="s">
        <v>355</v>
      </c>
      <c r="N128" s="27" t="s">
        <v>145</v>
      </c>
      <c r="O128" s="146" t="s">
        <v>967</v>
      </c>
      <c r="Q128" s="27" t="s">
        <v>148</v>
      </c>
      <c r="R128" s="27" t="s">
        <v>426</v>
      </c>
      <c r="S128" s="27" t="s">
        <v>150</v>
      </c>
      <c r="T128" s="28" t="s">
        <v>968</v>
      </c>
      <c r="U128" s="37">
        <v>33966</v>
      </c>
      <c r="V128" s="27" t="s">
        <v>969</v>
      </c>
      <c r="W128" s="27">
        <v>3103252382</v>
      </c>
      <c r="X128" s="27" t="s">
        <v>268</v>
      </c>
      <c r="Y128" s="27" t="s">
        <v>367</v>
      </c>
      <c r="Z128" s="27" t="s">
        <v>368</v>
      </c>
      <c r="AA128" s="27" t="s">
        <v>211</v>
      </c>
      <c r="AB128" s="27" t="s">
        <v>175</v>
      </c>
      <c r="AC128" s="135" t="s">
        <v>271</v>
      </c>
      <c r="AD128" s="135" t="s">
        <v>160</v>
      </c>
      <c r="AE128" s="27" t="s">
        <v>272</v>
      </c>
      <c r="AF128" s="27" t="s">
        <v>176</v>
      </c>
      <c r="AG128" s="27" t="s">
        <v>177</v>
      </c>
      <c r="AH128" s="27" t="s">
        <v>145</v>
      </c>
      <c r="AI128" s="179">
        <v>400000</v>
      </c>
      <c r="AJ128" s="27" t="s">
        <v>164</v>
      </c>
      <c r="AK128" s="27" t="s">
        <v>214</v>
      </c>
      <c r="AL128" s="27" t="s">
        <v>214</v>
      </c>
      <c r="AM128" s="27" t="s">
        <v>164</v>
      </c>
      <c r="AN128" s="27" t="s">
        <v>214</v>
      </c>
      <c r="AO128" s="27" t="s">
        <v>164</v>
      </c>
      <c r="AP128" s="136"/>
      <c r="AT128" s="27" t="str">
        <f t="shared" si="2"/>
        <v>Activo</v>
      </c>
      <c r="AU128" s="27" cm="1">
        <f t="array" aca="1" ref="AU128" ca="1">_xlfn.IFS(AT128="","",AT128="Activo",TODAY()-H128,AT128="Inactivo",AP128-H128)</f>
        <v>122</v>
      </c>
      <c r="AV128" s="180">
        <f ca="1">IF(ISBLANK(Tabla1[[#This Row],[Fecha Nacimento (dd/mm/yyyy)]]),"",YEARFRAC(Tabla1[[#This Row],[Fecha Nacimento (dd/mm/yyyy)]],TODAY()))</f>
        <v>31.469444444444445</v>
      </c>
      <c r="AW128" s="141"/>
      <c r="AX128" s="27" t="str">
        <f t="shared" si="3"/>
        <v/>
      </c>
    </row>
    <row r="129" spans="1:50" s="27" customFormat="1" x14ac:dyDescent="0.25">
      <c r="A129" s="134">
        <v>128</v>
      </c>
      <c r="B129" s="27" t="s">
        <v>252</v>
      </c>
      <c r="C129" s="27" t="s">
        <v>970</v>
      </c>
      <c r="D129" s="27" t="s">
        <v>141</v>
      </c>
      <c r="E129" s="400">
        <v>1098306598</v>
      </c>
      <c r="F129" s="27" t="s">
        <v>142</v>
      </c>
      <c r="G129" s="27" t="s">
        <v>143</v>
      </c>
      <c r="H129" s="136">
        <v>45085</v>
      </c>
      <c r="I129" s="136"/>
      <c r="J129" s="27" t="s">
        <v>144</v>
      </c>
      <c r="K129" s="137">
        <v>1300000</v>
      </c>
      <c r="L129" s="27" t="s">
        <v>145</v>
      </c>
      <c r="M129" s="27" t="s">
        <v>355</v>
      </c>
      <c r="N129" s="27" t="s">
        <v>145</v>
      </c>
      <c r="O129" s="139" t="s">
        <v>971</v>
      </c>
      <c r="Q129" s="27" t="s">
        <v>148</v>
      </c>
      <c r="R129" s="27" t="s">
        <v>371</v>
      </c>
      <c r="S129" s="27" t="s">
        <v>150</v>
      </c>
      <c r="T129" s="27" t="s">
        <v>972</v>
      </c>
      <c r="U129" s="37">
        <v>31765</v>
      </c>
      <c r="V129" s="27" t="s">
        <v>973</v>
      </c>
      <c r="W129" s="27" t="s">
        <v>972</v>
      </c>
      <c r="X129" s="27" t="s">
        <v>268</v>
      </c>
      <c r="Y129" s="27" t="s">
        <v>367</v>
      </c>
      <c r="Z129" s="27" t="s">
        <v>368</v>
      </c>
      <c r="AA129" s="27" t="s">
        <v>211</v>
      </c>
      <c r="AB129" s="27" t="s">
        <v>175</v>
      </c>
      <c r="AC129" s="27" t="s">
        <v>160</v>
      </c>
      <c r="AD129" s="27" t="s">
        <v>160</v>
      </c>
      <c r="AE129" s="27" t="s">
        <v>272</v>
      </c>
      <c r="AF129" s="27" t="s">
        <v>176</v>
      </c>
      <c r="AG129" s="27" t="s">
        <v>177</v>
      </c>
      <c r="AH129" s="27" t="s">
        <v>164</v>
      </c>
      <c r="AI129" s="179"/>
      <c r="AJ129" s="27" t="s">
        <v>164</v>
      </c>
      <c r="AK129" s="27" t="s">
        <v>214</v>
      </c>
      <c r="AL129" s="27" t="s">
        <v>214</v>
      </c>
      <c r="AM129" s="27" t="s">
        <v>164</v>
      </c>
      <c r="AN129" s="27" t="s">
        <v>214</v>
      </c>
      <c r="AO129" s="27" t="s">
        <v>164</v>
      </c>
      <c r="AP129" s="136"/>
      <c r="AT129" s="27" t="str">
        <f t="shared" si="2"/>
        <v>Activo</v>
      </c>
      <c r="AU129" s="27" cm="1">
        <f t="array" aca="1" ref="AU129" ca="1">_xlfn.IFS(AT129="","",AT129="Activo",TODAY()-H129,AT129="Inactivo",AP129-H129)</f>
        <v>375</v>
      </c>
      <c r="AV129" s="180">
        <f ca="1">IF(ISBLANK(Tabla1[[#This Row],[Fecha Nacimento (dd/mm/yyyy)]]),"",YEARFRAC(Tabla1[[#This Row],[Fecha Nacimento (dd/mm/yyyy)]],TODAY()))</f>
        <v>37.494444444444447</v>
      </c>
      <c r="AW129" s="141"/>
      <c r="AX129" s="27" t="str">
        <f t="shared" si="3"/>
        <v/>
      </c>
    </row>
    <row r="130" spans="1:50" s="27" customFormat="1" x14ac:dyDescent="0.25">
      <c r="A130" s="134">
        <v>129</v>
      </c>
      <c r="B130" s="27" t="s">
        <v>974</v>
      </c>
      <c r="C130" s="27" t="s">
        <v>975</v>
      </c>
      <c r="D130" s="27" t="s">
        <v>363</v>
      </c>
      <c r="E130" s="403">
        <v>1109270</v>
      </c>
      <c r="F130" s="27" t="s">
        <v>142</v>
      </c>
      <c r="G130" s="27" t="s">
        <v>143</v>
      </c>
      <c r="H130" s="136">
        <v>45093</v>
      </c>
      <c r="I130" s="136"/>
      <c r="J130" s="27" t="s">
        <v>144</v>
      </c>
      <c r="K130" s="137">
        <v>1300000</v>
      </c>
      <c r="L130" s="27" t="s">
        <v>145</v>
      </c>
      <c r="M130" s="27" t="s">
        <v>262</v>
      </c>
      <c r="N130" s="27" t="s">
        <v>145</v>
      </c>
      <c r="O130" s="147" t="s">
        <v>976</v>
      </c>
      <c r="Q130" s="27" t="s">
        <v>148</v>
      </c>
      <c r="R130" s="27" t="s">
        <v>168</v>
      </c>
      <c r="S130" s="27" t="s">
        <v>150</v>
      </c>
      <c r="T130" s="28" t="s">
        <v>977</v>
      </c>
      <c r="U130" s="37">
        <v>33214</v>
      </c>
      <c r="V130" s="27" t="s">
        <v>978</v>
      </c>
      <c r="W130" s="27">
        <v>3105748086</v>
      </c>
      <c r="X130" s="27" t="s">
        <v>979</v>
      </c>
      <c r="Y130" s="27" t="s">
        <v>172</v>
      </c>
      <c r="Z130" s="27" t="s">
        <v>368</v>
      </c>
      <c r="AA130" s="27" t="s">
        <v>211</v>
      </c>
      <c r="AB130" s="27" t="s">
        <v>175</v>
      </c>
      <c r="AC130" s="135" t="s">
        <v>159</v>
      </c>
      <c r="AD130" s="135" t="s">
        <v>160</v>
      </c>
      <c r="AE130" s="27" t="s">
        <v>980</v>
      </c>
      <c r="AF130" s="27" t="s">
        <v>162</v>
      </c>
      <c r="AG130" s="27" t="s">
        <v>177</v>
      </c>
      <c r="AH130" s="27" t="s">
        <v>145</v>
      </c>
      <c r="AI130" s="179">
        <v>260000</v>
      </c>
      <c r="AJ130" s="27" t="s">
        <v>164</v>
      </c>
      <c r="AK130" s="27" t="s">
        <v>214</v>
      </c>
      <c r="AL130" s="27" t="s">
        <v>164</v>
      </c>
      <c r="AM130" s="27" t="s">
        <v>164</v>
      </c>
      <c r="AN130" s="27" t="s">
        <v>214</v>
      </c>
      <c r="AO130" s="27" t="s">
        <v>164</v>
      </c>
      <c r="AP130" s="136">
        <v>45392</v>
      </c>
      <c r="AQ130" s="27" t="s">
        <v>65</v>
      </c>
      <c r="AT130" s="27" t="str">
        <f t="shared" si="2"/>
        <v>Inactivo</v>
      </c>
      <c r="AU130" s="27" cm="1">
        <f t="array" aca="1" ref="AU130" ca="1">_xlfn.IFS(AT130="","",AT130="Activo",TODAY()-H130,AT130="Inactivo",AP130-H130)</f>
        <v>299</v>
      </c>
      <c r="AV130" s="180">
        <f ca="1">IF(ISBLANK(Tabla1[[#This Row],[Fecha Nacimento (dd/mm/yyyy)]]),"",YEARFRAC(Tabla1[[#This Row],[Fecha Nacimento (dd/mm/yyyy)]],TODAY()))</f>
        <v>33.527777777777779</v>
      </c>
      <c r="AW130" s="141"/>
      <c r="AX130" s="27" t="str">
        <f t="shared" si="3"/>
        <v/>
      </c>
    </row>
    <row r="131" spans="1:50" s="27" customFormat="1" x14ac:dyDescent="0.25">
      <c r="A131" s="134">
        <v>130</v>
      </c>
      <c r="B131" s="27" t="s">
        <v>981</v>
      </c>
      <c r="C131" s="27" t="s">
        <v>166</v>
      </c>
      <c r="D131" s="27" t="s">
        <v>141</v>
      </c>
      <c r="E131" s="400">
        <v>41924322</v>
      </c>
      <c r="F131" s="27" t="s">
        <v>142</v>
      </c>
      <c r="G131" s="27" t="s">
        <v>143</v>
      </c>
      <c r="H131" s="136">
        <v>45093</v>
      </c>
      <c r="I131" s="136"/>
      <c r="J131" s="27" t="s">
        <v>144</v>
      </c>
      <c r="K131" s="137">
        <v>1300000</v>
      </c>
      <c r="L131" s="27" t="s">
        <v>145</v>
      </c>
      <c r="M131" s="27" t="s">
        <v>146</v>
      </c>
      <c r="O131" s="139" t="s">
        <v>982</v>
      </c>
      <c r="Q131" s="27" t="s">
        <v>205</v>
      </c>
      <c r="U131" s="37">
        <v>26300</v>
      </c>
      <c r="V131" s="27" t="s">
        <v>983</v>
      </c>
      <c r="W131" s="27" t="s">
        <v>984</v>
      </c>
      <c r="X131" s="27" t="s">
        <v>154</v>
      </c>
      <c r="Y131" s="27" t="s">
        <v>543</v>
      </c>
      <c r="Z131" s="27" t="s">
        <v>559</v>
      </c>
      <c r="AA131" s="27" t="s">
        <v>545</v>
      </c>
      <c r="AB131" s="27" t="s">
        <v>175</v>
      </c>
      <c r="AC131" s="27" t="s">
        <v>159</v>
      </c>
      <c r="AD131" s="27" t="s">
        <v>160</v>
      </c>
      <c r="AE131" s="27" t="s">
        <v>161</v>
      </c>
      <c r="AF131" s="27" t="s">
        <v>162</v>
      </c>
      <c r="AG131" s="27" t="s">
        <v>177</v>
      </c>
      <c r="AH131" s="27" t="s">
        <v>164</v>
      </c>
      <c r="AI131" s="179"/>
      <c r="AP131" s="136"/>
      <c r="AT131" s="27" t="str">
        <f t="shared" ref="AT131:AT194" si="4">IF(ISBLANK(B131),"",IF(AP131="","Activo","Inactivo"))</f>
        <v>Activo</v>
      </c>
      <c r="AU131" s="27" cm="1">
        <f t="array" aca="1" ref="AU131" ca="1">_xlfn.IFS(AT131="","",AT131="Activo",TODAY()-H131,AT131="Inactivo",AP131-H131)</f>
        <v>367</v>
      </c>
      <c r="AV131" s="180">
        <f ca="1">IF(ISBLANK(Tabla1[[#This Row],[Fecha Nacimento (dd/mm/yyyy)]]),"",YEARFRAC(Tabla1[[#This Row],[Fecha Nacimento (dd/mm/yyyy)]],TODAY()))</f>
        <v>52.458333333333336</v>
      </c>
      <c r="AW131" s="141"/>
      <c r="AX131" s="27" t="str">
        <f t="shared" ref="AX131:AX194" si="5">IFERROR(DATE(VALUE(MID(AW131,7,4)), VALUE(MID(AW131,4,2)), VALUE(MID(AW131,1,2))),"")</f>
        <v/>
      </c>
    </row>
    <row r="132" spans="1:50" s="27" customFormat="1" x14ac:dyDescent="0.25">
      <c r="A132" s="134">
        <v>131</v>
      </c>
      <c r="B132" s="27" t="s">
        <v>985</v>
      </c>
      <c r="C132" s="27" t="s">
        <v>986</v>
      </c>
      <c r="D132" s="27" t="s">
        <v>141</v>
      </c>
      <c r="E132" s="400">
        <v>51845563</v>
      </c>
      <c r="F132" s="27" t="s">
        <v>142</v>
      </c>
      <c r="G132" s="27" t="s">
        <v>143</v>
      </c>
      <c r="H132" s="136">
        <v>45093</v>
      </c>
      <c r="I132" s="136"/>
      <c r="J132" s="27" t="s">
        <v>144</v>
      </c>
      <c r="K132" s="137">
        <v>1300000</v>
      </c>
      <c r="L132" s="27" t="s">
        <v>145</v>
      </c>
      <c r="M132" s="27" t="s">
        <v>146</v>
      </c>
      <c r="O132" s="139" t="s">
        <v>987</v>
      </c>
      <c r="Q132" s="27" t="s">
        <v>148</v>
      </c>
      <c r="R132" s="27" t="s">
        <v>168</v>
      </c>
      <c r="S132" s="27" t="s">
        <v>150</v>
      </c>
      <c r="T132" s="27" t="s">
        <v>988</v>
      </c>
      <c r="U132" s="37">
        <v>24576</v>
      </c>
      <c r="V132" s="27" t="s">
        <v>989</v>
      </c>
      <c r="W132" s="27" t="s">
        <v>990</v>
      </c>
      <c r="X132" s="27" t="s">
        <v>154</v>
      </c>
      <c r="Y132" s="27" t="s">
        <v>543</v>
      </c>
      <c r="Z132" s="27" t="s">
        <v>559</v>
      </c>
      <c r="AA132" s="27" t="s">
        <v>545</v>
      </c>
      <c r="AB132" s="27" t="s">
        <v>259</v>
      </c>
      <c r="AC132" s="27" t="s">
        <v>160</v>
      </c>
      <c r="AD132" s="27" t="s">
        <v>160</v>
      </c>
      <c r="AE132" s="27" t="s">
        <v>161</v>
      </c>
      <c r="AF132" s="27" t="s">
        <v>162</v>
      </c>
      <c r="AG132" s="27" t="s">
        <v>177</v>
      </c>
      <c r="AH132" s="27" t="s">
        <v>164</v>
      </c>
      <c r="AI132" s="179"/>
      <c r="AP132" s="136">
        <v>45412</v>
      </c>
      <c r="AQ132" s="27" t="s">
        <v>52</v>
      </c>
      <c r="AT132" s="27" t="str">
        <f t="shared" si="4"/>
        <v>Inactivo</v>
      </c>
      <c r="AU132" s="27" cm="1">
        <f t="array" aca="1" ref="AU132" ca="1">_xlfn.IFS(AT132="","",AT132="Activo",TODAY()-H132,AT132="Inactivo",AP132-H132)</f>
        <v>319</v>
      </c>
      <c r="AV132" s="180">
        <f ca="1">IF(ISBLANK(Tabla1[[#This Row],[Fecha Nacimento (dd/mm/yyyy)]]),"",YEARFRAC(Tabla1[[#This Row],[Fecha Nacimento (dd/mm/yyyy)]],TODAY()))</f>
        <v>57.174999999999997</v>
      </c>
      <c r="AW132" s="141"/>
      <c r="AX132" s="27" t="str">
        <f t="shared" si="5"/>
        <v/>
      </c>
    </row>
    <row r="133" spans="1:50" s="27" customFormat="1" x14ac:dyDescent="0.25">
      <c r="A133" s="134">
        <v>132</v>
      </c>
      <c r="B133" s="27" t="s">
        <v>413</v>
      </c>
      <c r="C133" s="27" t="s">
        <v>140</v>
      </c>
      <c r="D133" s="27" t="s">
        <v>141</v>
      </c>
      <c r="E133" s="400">
        <v>18496942</v>
      </c>
      <c r="F133" s="27" t="s">
        <v>142</v>
      </c>
      <c r="G133" s="27" t="s">
        <v>143</v>
      </c>
      <c r="H133" s="136">
        <v>45093</v>
      </c>
      <c r="I133" s="136"/>
      <c r="J133" s="27" t="s">
        <v>144</v>
      </c>
      <c r="K133" s="137">
        <v>1300000</v>
      </c>
      <c r="L133" s="27" t="s">
        <v>145</v>
      </c>
      <c r="M133" s="27" t="s">
        <v>146</v>
      </c>
      <c r="O133" s="139" t="s">
        <v>991</v>
      </c>
      <c r="Q133" s="27" t="s">
        <v>205</v>
      </c>
      <c r="U133" s="37">
        <v>26882</v>
      </c>
      <c r="V133" s="27" t="s">
        <v>992</v>
      </c>
      <c r="W133" s="27" t="s">
        <v>993</v>
      </c>
      <c r="X133" s="27" t="s">
        <v>154</v>
      </c>
      <c r="Y133" s="27" t="s">
        <v>543</v>
      </c>
      <c r="Z133" s="27" t="s">
        <v>559</v>
      </c>
      <c r="AA133" s="27" t="s">
        <v>545</v>
      </c>
      <c r="AB133" s="27" t="s">
        <v>158</v>
      </c>
      <c r="AC133" s="27" t="s">
        <v>159</v>
      </c>
      <c r="AD133" s="27" t="s">
        <v>160</v>
      </c>
      <c r="AE133" s="27" t="s">
        <v>161</v>
      </c>
      <c r="AF133" s="27" t="s">
        <v>176</v>
      </c>
      <c r="AG133" s="27" t="s">
        <v>177</v>
      </c>
      <c r="AH133" s="27" t="s">
        <v>164</v>
      </c>
      <c r="AI133" s="179"/>
      <c r="AP133" s="136"/>
      <c r="AT133" s="27" t="str">
        <f t="shared" si="4"/>
        <v>Activo</v>
      </c>
      <c r="AU133" s="27" cm="1">
        <f t="array" aca="1" ref="AU133" ca="1">_xlfn.IFS(AT133="","",AT133="Activo",TODAY()-H133,AT133="Inactivo",AP133-H133)</f>
        <v>367</v>
      </c>
      <c r="AV133" s="180">
        <f ca="1">IF(ISBLANK(Tabla1[[#This Row],[Fecha Nacimento (dd/mm/yyyy)]]),"",YEARFRAC(Tabla1[[#This Row],[Fecha Nacimento (dd/mm/yyyy)]],TODAY()))</f>
        <v>50.863888888888887</v>
      </c>
      <c r="AW133" s="141"/>
      <c r="AX133" s="27" t="str">
        <f t="shared" si="5"/>
        <v/>
      </c>
    </row>
    <row r="134" spans="1:50" s="27" customFormat="1" x14ac:dyDescent="0.25">
      <c r="A134" s="134">
        <v>133</v>
      </c>
      <c r="B134" s="27" t="s">
        <v>994</v>
      </c>
      <c r="C134" s="27" t="s">
        <v>277</v>
      </c>
      <c r="D134" s="27" t="s">
        <v>141</v>
      </c>
      <c r="E134" s="400">
        <v>41931725</v>
      </c>
      <c r="F134" s="27" t="s">
        <v>142</v>
      </c>
      <c r="G134" s="27" t="s">
        <v>143</v>
      </c>
      <c r="H134" s="136">
        <v>45093</v>
      </c>
      <c r="I134" s="136"/>
      <c r="J134" s="27" t="s">
        <v>144</v>
      </c>
      <c r="K134" s="137">
        <v>1300000</v>
      </c>
      <c r="L134" s="27" t="s">
        <v>145</v>
      </c>
      <c r="M134" s="27" t="s">
        <v>146</v>
      </c>
      <c r="O134" s="139" t="s">
        <v>995</v>
      </c>
      <c r="Q134" s="27" t="s">
        <v>148</v>
      </c>
      <c r="R134" s="27" t="s">
        <v>168</v>
      </c>
      <c r="S134" s="27" t="s">
        <v>150</v>
      </c>
      <c r="T134" s="27" t="s">
        <v>996</v>
      </c>
      <c r="U134" s="37">
        <v>27385</v>
      </c>
      <c r="V134" s="27" t="s">
        <v>997</v>
      </c>
      <c r="W134" s="27" t="s">
        <v>998</v>
      </c>
      <c r="X134" s="27" t="s">
        <v>154</v>
      </c>
      <c r="Y134" s="27" t="s">
        <v>543</v>
      </c>
      <c r="Z134" s="27" t="s">
        <v>559</v>
      </c>
      <c r="AA134" s="27" t="s">
        <v>545</v>
      </c>
      <c r="AB134" s="27" t="s">
        <v>175</v>
      </c>
      <c r="AC134" s="27" t="s">
        <v>271</v>
      </c>
      <c r="AD134" s="27" t="s">
        <v>160</v>
      </c>
      <c r="AE134" s="27" t="s">
        <v>161</v>
      </c>
      <c r="AF134" s="27" t="s">
        <v>162</v>
      </c>
      <c r="AG134" s="27" t="s">
        <v>177</v>
      </c>
      <c r="AH134" s="27" t="s">
        <v>164</v>
      </c>
      <c r="AI134" s="179"/>
      <c r="AP134" s="136">
        <v>45322</v>
      </c>
      <c r="AQ134" s="27" t="s">
        <v>52</v>
      </c>
      <c r="AT134" s="27" t="str">
        <f t="shared" si="4"/>
        <v>Inactivo</v>
      </c>
      <c r="AU134" s="27" cm="1">
        <f t="array" aca="1" ref="AU134" ca="1">_xlfn.IFS(AT134="","",AT134="Activo",TODAY()-H134,AT134="Inactivo",AP134-H134)</f>
        <v>229</v>
      </c>
      <c r="AV134" s="180">
        <f ca="1">IF(ISBLANK(Tabla1[[#This Row],[Fecha Nacimento (dd/mm/yyyy)]]),"",YEARFRAC(Tabla1[[#This Row],[Fecha Nacimento (dd/mm/yyyy)]],TODAY()))</f>
        <v>49.486111111111114</v>
      </c>
      <c r="AW134" s="141"/>
      <c r="AX134" s="27" t="str">
        <f t="shared" si="5"/>
        <v/>
      </c>
    </row>
    <row r="135" spans="1:50" s="27" customFormat="1" x14ac:dyDescent="0.25">
      <c r="A135" s="134">
        <v>134</v>
      </c>
      <c r="B135" s="27" t="s">
        <v>999</v>
      </c>
      <c r="C135" s="27" t="s">
        <v>1000</v>
      </c>
      <c r="D135" s="27" t="s">
        <v>141</v>
      </c>
      <c r="E135" s="400">
        <v>7502691</v>
      </c>
      <c r="F135" s="27" t="s">
        <v>320</v>
      </c>
      <c r="G135" s="27" t="s">
        <v>143</v>
      </c>
      <c r="H135" s="136">
        <v>45093</v>
      </c>
      <c r="I135" s="136"/>
      <c r="J135" s="27" t="s">
        <v>144</v>
      </c>
      <c r="K135" s="137">
        <v>1300000</v>
      </c>
      <c r="L135" s="27" t="s">
        <v>145</v>
      </c>
      <c r="M135" s="27" t="s">
        <v>146</v>
      </c>
      <c r="O135" s="139" t="s">
        <v>1001</v>
      </c>
      <c r="Q135" s="27" t="s">
        <v>148</v>
      </c>
      <c r="R135" s="27" t="s">
        <v>149</v>
      </c>
      <c r="S135" s="27" t="s">
        <v>150</v>
      </c>
      <c r="T135" s="27" t="s">
        <v>1002</v>
      </c>
      <c r="U135" s="37">
        <v>17262</v>
      </c>
      <c r="V135" s="27" t="s">
        <v>992</v>
      </c>
      <c r="W135" s="27" t="s">
        <v>1003</v>
      </c>
      <c r="X135" s="27" t="s">
        <v>154</v>
      </c>
      <c r="Y135" s="27" t="s">
        <v>172</v>
      </c>
      <c r="Z135" s="27" t="s">
        <v>193</v>
      </c>
      <c r="AA135" s="27" t="s">
        <v>174</v>
      </c>
      <c r="AB135" s="27" t="s">
        <v>158</v>
      </c>
      <c r="AC135" s="27" t="s">
        <v>160</v>
      </c>
      <c r="AD135" s="27" t="s">
        <v>160</v>
      </c>
      <c r="AE135" s="27" t="s">
        <v>161</v>
      </c>
      <c r="AF135" s="27" t="s">
        <v>176</v>
      </c>
      <c r="AG135" s="27" t="s">
        <v>177</v>
      </c>
      <c r="AH135" s="27" t="s">
        <v>164</v>
      </c>
      <c r="AI135" s="179"/>
      <c r="AP135" s="136"/>
      <c r="AT135" s="27" t="str">
        <f t="shared" si="4"/>
        <v>Activo</v>
      </c>
      <c r="AU135" s="27" cm="1">
        <f t="array" aca="1" ref="AU135" ca="1">_xlfn.IFS(AT135="","",AT135="Activo",TODAY()-H135,AT135="Inactivo",AP135-H135)</f>
        <v>367</v>
      </c>
      <c r="AV135" s="180">
        <f ca="1">IF(ISBLANK(Tabla1[[#This Row],[Fecha Nacimento (dd/mm/yyyy)]]),"",YEARFRAC(Tabla1[[#This Row],[Fecha Nacimento (dd/mm/yyyy)]],TODAY()))</f>
        <v>77.2</v>
      </c>
      <c r="AW135" s="141"/>
      <c r="AX135" s="27" t="str">
        <f t="shared" si="5"/>
        <v/>
      </c>
    </row>
    <row r="136" spans="1:50" s="27" customFormat="1" x14ac:dyDescent="0.25">
      <c r="A136" s="134">
        <v>135</v>
      </c>
      <c r="B136" s="27" t="s">
        <v>1004</v>
      </c>
      <c r="C136" s="27" t="s">
        <v>1005</v>
      </c>
      <c r="D136" s="27" t="s">
        <v>141</v>
      </c>
      <c r="E136" s="400">
        <v>9800909</v>
      </c>
      <c r="F136" s="27" t="s">
        <v>142</v>
      </c>
      <c r="G136" s="27" t="s">
        <v>143</v>
      </c>
      <c r="H136" s="136">
        <v>45093</v>
      </c>
      <c r="I136" s="136"/>
      <c r="J136" s="27" t="s">
        <v>144</v>
      </c>
      <c r="K136" s="137">
        <v>1300000</v>
      </c>
      <c r="L136" s="27" t="s">
        <v>145</v>
      </c>
      <c r="M136" s="27" t="s">
        <v>146</v>
      </c>
      <c r="O136" s="139" t="s">
        <v>1006</v>
      </c>
      <c r="Q136" s="27" t="s">
        <v>148</v>
      </c>
      <c r="R136" s="27" t="s">
        <v>168</v>
      </c>
      <c r="S136" s="27" t="s">
        <v>150</v>
      </c>
      <c r="T136" s="27" t="s">
        <v>1007</v>
      </c>
      <c r="U136" s="37">
        <v>26516</v>
      </c>
      <c r="V136" s="27" t="s">
        <v>1008</v>
      </c>
      <c r="W136" s="27" t="s">
        <v>1009</v>
      </c>
      <c r="X136" s="27" t="s">
        <v>154</v>
      </c>
      <c r="Y136" s="27" t="s">
        <v>543</v>
      </c>
      <c r="Z136" s="27" t="s">
        <v>559</v>
      </c>
      <c r="AA136" s="27" t="s">
        <v>545</v>
      </c>
      <c r="AB136" s="27" t="s">
        <v>259</v>
      </c>
      <c r="AC136" s="27" t="s">
        <v>159</v>
      </c>
      <c r="AD136" s="27" t="s">
        <v>160</v>
      </c>
      <c r="AE136" s="27" t="s">
        <v>161</v>
      </c>
      <c r="AF136" s="27" t="s">
        <v>176</v>
      </c>
      <c r="AG136" s="27" t="s">
        <v>177</v>
      </c>
      <c r="AH136" s="27" t="s">
        <v>164</v>
      </c>
      <c r="AI136" s="179"/>
      <c r="AP136" s="136"/>
      <c r="AT136" s="27" t="str">
        <f t="shared" si="4"/>
        <v>Activo</v>
      </c>
      <c r="AU136" s="27" cm="1">
        <f t="array" aca="1" ref="AU136" ca="1">_xlfn.IFS(AT136="","",AT136="Activo",TODAY()-H136,AT136="Inactivo",AP136-H136)</f>
        <v>367</v>
      </c>
      <c r="AV136" s="180">
        <f ca="1">IF(ISBLANK(Tabla1[[#This Row],[Fecha Nacimento (dd/mm/yyyy)]]),"",YEARFRAC(Tabla1[[#This Row],[Fecha Nacimento (dd/mm/yyyy)]],TODAY()))</f>
        <v>51.866666666666667</v>
      </c>
      <c r="AW136" s="141"/>
      <c r="AX136" s="27" t="str">
        <f t="shared" si="5"/>
        <v/>
      </c>
    </row>
    <row r="137" spans="1:50" s="27" customFormat="1" x14ac:dyDescent="0.25">
      <c r="A137" s="134">
        <v>136</v>
      </c>
      <c r="B137" s="27" t="s">
        <v>1010</v>
      </c>
      <c r="C137" s="27" t="s">
        <v>1011</v>
      </c>
      <c r="D137" s="27" t="s">
        <v>569</v>
      </c>
      <c r="E137" s="400">
        <v>5033321</v>
      </c>
      <c r="F137" s="27" t="s">
        <v>142</v>
      </c>
      <c r="G137" s="27" t="s">
        <v>143</v>
      </c>
      <c r="H137" s="136">
        <v>45093</v>
      </c>
      <c r="I137" s="136"/>
      <c r="J137" s="27" t="s">
        <v>144</v>
      </c>
      <c r="K137" s="137">
        <v>1300000</v>
      </c>
      <c r="L137" s="27" t="s">
        <v>145</v>
      </c>
      <c r="M137" s="27" t="s">
        <v>146</v>
      </c>
      <c r="O137" s="139" t="s">
        <v>1012</v>
      </c>
      <c r="Q137" s="27" t="s">
        <v>148</v>
      </c>
      <c r="R137" s="27" t="s">
        <v>168</v>
      </c>
      <c r="S137" s="27" t="s">
        <v>150</v>
      </c>
      <c r="T137" s="27" t="s">
        <v>1013</v>
      </c>
      <c r="U137" s="37">
        <v>35161</v>
      </c>
      <c r="V137" s="27" t="s">
        <v>1014</v>
      </c>
      <c r="W137" s="27" t="s">
        <v>1015</v>
      </c>
      <c r="X137" s="27" t="s">
        <v>154</v>
      </c>
      <c r="Y137" s="27" t="s">
        <v>172</v>
      </c>
      <c r="Z137" s="27" t="s">
        <v>552</v>
      </c>
      <c r="AA137" s="27" t="s">
        <v>174</v>
      </c>
      <c r="AB137" s="27" t="s">
        <v>175</v>
      </c>
      <c r="AC137" s="27" t="s">
        <v>160</v>
      </c>
      <c r="AD137" s="27" t="s">
        <v>160</v>
      </c>
      <c r="AE137" s="27" t="s">
        <v>161</v>
      </c>
      <c r="AF137" s="27" t="s">
        <v>176</v>
      </c>
      <c r="AG137" s="27" t="s">
        <v>177</v>
      </c>
      <c r="AH137" s="27" t="s">
        <v>164</v>
      </c>
      <c r="AI137" s="179"/>
      <c r="AP137" s="136"/>
      <c r="AT137" s="27" t="str">
        <f t="shared" si="4"/>
        <v>Activo</v>
      </c>
      <c r="AU137" s="27" cm="1">
        <f t="array" aca="1" ref="AU137" ca="1">_xlfn.IFS(AT137="","",AT137="Activo",TODAY()-H137,AT137="Inactivo",AP137-H137)</f>
        <v>367</v>
      </c>
      <c r="AV137" s="180">
        <f ca="1">IF(ISBLANK(Tabla1[[#This Row],[Fecha Nacimento (dd/mm/yyyy)]]),"",YEARFRAC(Tabla1[[#This Row],[Fecha Nacimento (dd/mm/yyyy)]],TODAY()))</f>
        <v>28.197222222222223</v>
      </c>
      <c r="AW137" s="141"/>
      <c r="AX137" s="27" t="str">
        <f t="shared" si="5"/>
        <v/>
      </c>
    </row>
    <row r="138" spans="1:50" s="27" customFormat="1" x14ac:dyDescent="0.25">
      <c r="A138" s="134">
        <v>137</v>
      </c>
      <c r="B138" s="27" t="s">
        <v>663</v>
      </c>
      <c r="C138" s="27" t="s">
        <v>1016</v>
      </c>
      <c r="D138" s="27" t="s">
        <v>141</v>
      </c>
      <c r="E138" s="400">
        <v>24605215</v>
      </c>
      <c r="F138" s="27" t="s">
        <v>142</v>
      </c>
      <c r="G138" s="27" t="s">
        <v>143</v>
      </c>
      <c r="H138" s="136">
        <v>45093</v>
      </c>
      <c r="I138" s="136"/>
      <c r="J138" s="27" t="s">
        <v>144</v>
      </c>
      <c r="K138" s="137">
        <v>1300000</v>
      </c>
      <c r="L138" s="27" t="s">
        <v>145</v>
      </c>
      <c r="M138" s="27" t="s">
        <v>146</v>
      </c>
      <c r="O138" s="139" t="s">
        <v>1017</v>
      </c>
      <c r="Q138" s="27" t="s">
        <v>148</v>
      </c>
      <c r="R138" s="27" t="s">
        <v>168</v>
      </c>
      <c r="S138" s="27" t="s">
        <v>150</v>
      </c>
      <c r="T138" s="27" t="s">
        <v>1018</v>
      </c>
      <c r="U138" s="37">
        <v>28088</v>
      </c>
      <c r="V138" s="27" t="s">
        <v>1019</v>
      </c>
      <c r="W138" s="27" t="s">
        <v>1020</v>
      </c>
      <c r="X138" s="27" t="s">
        <v>154</v>
      </c>
      <c r="Y138" s="27" t="s">
        <v>172</v>
      </c>
      <c r="Z138" s="27" t="s">
        <v>19</v>
      </c>
      <c r="AA138" s="27" t="s">
        <v>174</v>
      </c>
      <c r="AB138" s="27" t="s">
        <v>158</v>
      </c>
      <c r="AC138" s="27" t="s">
        <v>160</v>
      </c>
      <c r="AD138" s="27" t="s">
        <v>160</v>
      </c>
      <c r="AE138" s="27" t="s">
        <v>161</v>
      </c>
      <c r="AF138" s="27" t="s">
        <v>162</v>
      </c>
      <c r="AG138" s="27" t="s">
        <v>177</v>
      </c>
      <c r="AH138" s="27" t="s">
        <v>164</v>
      </c>
      <c r="AI138" s="179"/>
      <c r="AP138" s="136"/>
      <c r="AT138" s="27" t="str">
        <f t="shared" si="4"/>
        <v>Activo</v>
      </c>
      <c r="AU138" s="27" cm="1">
        <f t="array" aca="1" ref="AU138" ca="1">_xlfn.IFS(AT138="","",AT138="Activo",TODAY()-H138,AT138="Inactivo",AP138-H138)</f>
        <v>367</v>
      </c>
      <c r="AV138" s="180">
        <f ca="1">IF(ISBLANK(Tabla1[[#This Row],[Fecha Nacimento (dd/mm/yyyy)]]),"",YEARFRAC(Tabla1[[#This Row],[Fecha Nacimento (dd/mm/yyyy)]],TODAY()))</f>
        <v>47.56388888888889</v>
      </c>
      <c r="AW138" s="141"/>
      <c r="AX138" s="27" t="str">
        <f t="shared" si="5"/>
        <v/>
      </c>
    </row>
    <row r="139" spans="1:50" s="27" customFormat="1" x14ac:dyDescent="0.25">
      <c r="A139" s="134">
        <v>138</v>
      </c>
      <c r="B139" s="27" t="s">
        <v>1021</v>
      </c>
      <c r="C139" s="27" t="s">
        <v>1022</v>
      </c>
      <c r="D139" s="27" t="s">
        <v>141</v>
      </c>
      <c r="E139" s="403">
        <v>94287820</v>
      </c>
      <c r="F139" s="27" t="s">
        <v>142</v>
      </c>
      <c r="G139" s="27" t="s">
        <v>143</v>
      </c>
      <c r="H139" s="136">
        <v>45093</v>
      </c>
      <c r="I139" s="136"/>
      <c r="J139" s="27" t="s">
        <v>144</v>
      </c>
      <c r="K139" s="137">
        <v>3000000</v>
      </c>
      <c r="L139" s="27" t="s">
        <v>164</v>
      </c>
      <c r="M139" s="27" t="s">
        <v>146</v>
      </c>
      <c r="N139" s="27" t="s">
        <v>145</v>
      </c>
      <c r="O139" s="139" t="s">
        <v>1023</v>
      </c>
      <c r="Q139" s="27" t="s">
        <v>148</v>
      </c>
      <c r="R139" s="27" t="s">
        <v>1024</v>
      </c>
      <c r="S139" s="27" t="s">
        <v>150</v>
      </c>
      <c r="T139" s="28" t="s">
        <v>1025</v>
      </c>
      <c r="U139" s="37">
        <v>30101</v>
      </c>
      <c r="V139" s="27" t="s">
        <v>1026</v>
      </c>
      <c r="W139" s="27">
        <v>3104035815</v>
      </c>
      <c r="X139" s="27" t="s">
        <v>979</v>
      </c>
      <c r="Y139" s="27" t="s">
        <v>155</v>
      </c>
      <c r="Z139" s="27" t="s">
        <v>193</v>
      </c>
      <c r="AA139" s="27" t="s">
        <v>211</v>
      </c>
      <c r="AB139" s="27" t="s">
        <v>911</v>
      </c>
      <c r="AC139" s="135" t="s">
        <v>159</v>
      </c>
      <c r="AD139" s="135" t="s">
        <v>160</v>
      </c>
      <c r="AE139" s="27" t="s">
        <v>1027</v>
      </c>
      <c r="AF139" s="27" t="s">
        <v>176</v>
      </c>
      <c r="AG139" s="27" t="s">
        <v>177</v>
      </c>
      <c r="AH139" s="27" t="s">
        <v>145</v>
      </c>
      <c r="AI139" s="179">
        <v>240000</v>
      </c>
      <c r="AJ139" s="27" t="s">
        <v>164</v>
      </c>
      <c r="AK139" s="27" t="s">
        <v>214</v>
      </c>
      <c r="AL139" s="27" t="s">
        <v>164</v>
      </c>
      <c r="AM139" s="27" t="s">
        <v>164</v>
      </c>
      <c r="AN139" s="27" t="s">
        <v>214</v>
      </c>
      <c r="AO139" s="27" t="s">
        <v>164</v>
      </c>
      <c r="AP139" s="136">
        <v>45185</v>
      </c>
      <c r="AQ139" s="27" t="s">
        <v>52</v>
      </c>
      <c r="AT139" s="27" t="str">
        <f t="shared" si="4"/>
        <v>Inactivo</v>
      </c>
      <c r="AU139" s="27" cm="1">
        <f t="array" aca="1" ref="AU139" ca="1">_xlfn.IFS(AT139="","",AT139="Activo",TODAY()-H139,AT139="Inactivo",AP139-H139)</f>
        <v>92</v>
      </c>
      <c r="AV139" s="180">
        <f ca="1">IF(ISBLANK(Tabla1[[#This Row],[Fecha Nacimento (dd/mm/yyyy)]]),"",YEARFRAC(Tabla1[[#This Row],[Fecha Nacimento (dd/mm/yyyy)]],TODAY()))</f>
        <v>42.047222222222224</v>
      </c>
      <c r="AW139" s="141"/>
      <c r="AX139" s="27" t="str">
        <f t="shared" si="5"/>
        <v/>
      </c>
    </row>
    <row r="140" spans="1:50" s="27" customFormat="1" x14ac:dyDescent="0.25">
      <c r="A140" s="134">
        <v>139</v>
      </c>
      <c r="B140" s="27" t="s">
        <v>283</v>
      </c>
      <c r="C140" s="27" t="s">
        <v>1028</v>
      </c>
      <c r="D140" s="27" t="s">
        <v>141</v>
      </c>
      <c r="E140" s="403">
        <v>1094947497</v>
      </c>
      <c r="F140" s="27" t="s">
        <v>142</v>
      </c>
      <c r="G140" s="27" t="s">
        <v>143</v>
      </c>
      <c r="H140" s="136">
        <v>45104</v>
      </c>
      <c r="I140" s="136"/>
      <c r="J140" s="27" t="s">
        <v>144</v>
      </c>
      <c r="K140" s="137">
        <v>1857760</v>
      </c>
      <c r="L140" s="27" t="s">
        <v>145</v>
      </c>
      <c r="M140" s="27" t="s">
        <v>203</v>
      </c>
      <c r="N140" s="27" t="s">
        <v>145</v>
      </c>
      <c r="O140" s="146" t="s">
        <v>1029</v>
      </c>
      <c r="Q140" s="27" t="s">
        <v>148</v>
      </c>
      <c r="R140" s="27" t="s">
        <v>371</v>
      </c>
      <c r="S140" s="27" t="s">
        <v>150</v>
      </c>
      <c r="T140" s="28" t="s">
        <v>1030</v>
      </c>
      <c r="U140" s="37">
        <v>34750</v>
      </c>
      <c r="V140" s="27" t="s">
        <v>1031</v>
      </c>
      <c r="W140" s="27">
        <v>3136384791</v>
      </c>
      <c r="X140" s="27" t="s">
        <v>268</v>
      </c>
      <c r="Y140" s="27" t="s">
        <v>359</v>
      </c>
      <c r="Z140" s="27" t="s">
        <v>1032</v>
      </c>
      <c r="AA140" s="27" t="s">
        <v>211</v>
      </c>
      <c r="AB140" s="27" t="s">
        <v>212</v>
      </c>
      <c r="AC140" s="135" t="s">
        <v>160</v>
      </c>
      <c r="AD140" s="135" t="s">
        <v>271</v>
      </c>
      <c r="AE140" s="27" t="s">
        <v>272</v>
      </c>
      <c r="AF140" s="27" t="s">
        <v>162</v>
      </c>
      <c r="AG140" s="27" t="s">
        <v>163</v>
      </c>
      <c r="AH140" s="27" t="s">
        <v>145</v>
      </c>
      <c r="AI140" s="179">
        <v>437120</v>
      </c>
      <c r="AJ140" s="27" t="s">
        <v>164</v>
      </c>
      <c r="AK140" s="27" t="s">
        <v>214</v>
      </c>
      <c r="AL140" s="27" t="s">
        <v>214</v>
      </c>
      <c r="AM140" s="27" t="s">
        <v>164</v>
      </c>
      <c r="AN140" s="27" t="s">
        <v>214</v>
      </c>
      <c r="AO140" s="27" t="s">
        <v>164</v>
      </c>
      <c r="AP140" s="136">
        <v>45351</v>
      </c>
      <c r="AQ140" s="27" t="s">
        <v>52</v>
      </c>
      <c r="AT140" s="27" t="str">
        <f t="shared" si="4"/>
        <v>Inactivo</v>
      </c>
      <c r="AU140" s="27" cm="1">
        <f t="array" aca="1" ref="AU140" ca="1">_xlfn.IFS(AT140="","",AT140="Activo",TODAY()-H140,AT140="Inactivo",AP140-H140)</f>
        <v>247</v>
      </c>
      <c r="AV140" s="180">
        <f ca="1">IF(ISBLANK(Tabla1[[#This Row],[Fecha Nacimento (dd/mm/yyyy)]]),"",YEARFRAC(Tabla1[[#This Row],[Fecha Nacimento (dd/mm/yyyy)]],TODAY()))</f>
        <v>29.324999999999999</v>
      </c>
      <c r="AW140" s="141"/>
      <c r="AX140" s="27" t="str">
        <f t="shared" si="5"/>
        <v/>
      </c>
    </row>
    <row r="141" spans="1:50" s="27" customFormat="1" x14ac:dyDescent="0.25">
      <c r="A141" s="134">
        <v>140</v>
      </c>
      <c r="B141" s="27" t="s">
        <v>1033</v>
      </c>
      <c r="C141" s="27" t="s">
        <v>1034</v>
      </c>
      <c r="D141" s="27" t="s">
        <v>141</v>
      </c>
      <c r="E141" s="403">
        <v>8464151</v>
      </c>
      <c r="F141" s="135" t="s">
        <v>142</v>
      </c>
      <c r="G141" s="27" t="s">
        <v>143</v>
      </c>
      <c r="H141" s="136">
        <v>45108</v>
      </c>
      <c r="I141" s="136"/>
      <c r="J141" s="27" t="s">
        <v>144</v>
      </c>
      <c r="K141" s="137">
        <v>1200000</v>
      </c>
      <c r="L141" s="27" t="s">
        <v>164</v>
      </c>
      <c r="M141" s="135" t="s">
        <v>203</v>
      </c>
      <c r="N141" s="135" t="s">
        <v>145</v>
      </c>
      <c r="O141" s="139" t="s">
        <v>1035</v>
      </c>
      <c r="Q141" s="135" t="s">
        <v>148</v>
      </c>
      <c r="R141" s="135" t="s">
        <v>149</v>
      </c>
      <c r="S141" s="135" t="s">
        <v>150</v>
      </c>
      <c r="T141" s="28">
        <v>37601568633</v>
      </c>
      <c r="U141" s="37">
        <v>27983</v>
      </c>
      <c r="V141" s="27" t="s">
        <v>1036</v>
      </c>
      <c r="W141" s="27">
        <v>3215934623</v>
      </c>
      <c r="X141" s="27" t="s">
        <v>1037</v>
      </c>
      <c r="Y141" s="27" t="s">
        <v>172</v>
      </c>
      <c r="Z141" s="27" t="s">
        <v>1038</v>
      </c>
      <c r="AA141" s="27" t="s">
        <v>847</v>
      </c>
      <c r="AB141" s="27" t="s">
        <v>175</v>
      </c>
      <c r="AC141" s="135" t="s">
        <v>159</v>
      </c>
      <c r="AD141" s="135" t="s">
        <v>160</v>
      </c>
      <c r="AE141" s="27" t="s">
        <v>1039</v>
      </c>
      <c r="AF141" s="27" t="s">
        <v>176</v>
      </c>
      <c r="AG141" s="27" t="s">
        <v>177</v>
      </c>
      <c r="AH141" s="27" t="s">
        <v>164</v>
      </c>
      <c r="AI141" s="184"/>
      <c r="AJ141" s="27" t="s">
        <v>164</v>
      </c>
      <c r="AK141" s="27" t="s">
        <v>214</v>
      </c>
      <c r="AL141" s="27" t="s">
        <v>164</v>
      </c>
      <c r="AM141" s="27" t="s">
        <v>164</v>
      </c>
      <c r="AN141" s="27" t="s">
        <v>214</v>
      </c>
      <c r="AO141" s="27" t="s">
        <v>164</v>
      </c>
      <c r="AP141" s="136">
        <v>45136</v>
      </c>
      <c r="AT141" s="27" t="str">
        <f t="shared" si="4"/>
        <v>Inactivo</v>
      </c>
      <c r="AU141" s="27" cm="1">
        <f t="array" aca="1" ref="AU141" ca="1">_xlfn.IFS(AT141="","",AT141="Activo",TODAY()-H141,AT141="Inactivo",AP141-H141)</f>
        <v>28</v>
      </c>
      <c r="AV141" s="180">
        <f ca="1">IF(ISBLANK(Tabla1[[#This Row],[Fecha Nacimento (dd/mm/yyyy)]]),"",YEARFRAC(Tabla1[[#This Row],[Fecha Nacimento (dd/mm/yyyy)]],TODAY()))</f>
        <v>47.85</v>
      </c>
      <c r="AW141" s="141"/>
      <c r="AX141" s="27" t="str">
        <f t="shared" si="5"/>
        <v/>
      </c>
    </row>
    <row r="142" spans="1:50" s="27" customFormat="1" x14ac:dyDescent="0.25">
      <c r="A142" s="134">
        <v>141</v>
      </c>
      <c r="B142" s="27" t="s">
        <v>1040</v>
      </c>
      <c r="C142" s="27" t="s">
        <v>1041</v>
      </c>
      <c r="D142" s="27" t="s">
        <v>141</v>
      </c>
      <c r="E142" s="403">
        <v>1094965837</v>
      </c>
      <c r="F142" s="135" t="s">
        <v>142</v>
      </c>
      <c r="G142" s="27" t="s">
        <v>143</v>
      </c>
      <c r="H142" s="136">
        <v>45108</v>
      </c>
      <c r="I142" s="136"/>
      <c r="J142" s="27" t="s">
        <v>144</v>
      </c>
      <c r="K142" s="137">
        <v>1300000</v>
      </c>
      <c r="L142" s="27" t="s">
        <v>145</v>
      </c>
      <c r="M142" s="135" t="s">
        <v>355</v>
      </c>
      <c r="N142" s="135" t="s">
        <v>145</v>
      </c>
      <c r="O142" s="147" t="s">
        <v>1042</v>
      </c>
      <c r="Q142" s="135" t="s">
        <v>148</v>
      </c>
      <c r="R142" s="135" t="s">
        <v>371</v>
      </c>
      <c r="S142" s="135" t="s">
        <v>150</v>
      </c>
      <c r="T142" s="28">
        <v>3217206292</v>
      </c>
      <c r="U142" s="37">
        <v>35886</v>
      </c>
      <c r="V142" s="27" t="s">
        <v>1043</v>
      </c>
      <c r="W142" s="27">
        <v>3138780463</v>
      </c>
      <c r="X142" s="27" t="s">
        <v>979</v>
      </c>
      <c r="Y142" s="27" t="s">
        <v>222</v>
      </c>
      <c r="Z142" s="27" t="s">
        <v>368</v>
      </c>
      <c r="AA142" s="27" t="s">
        <v>847</v>
      </c>
      <c r="AB142" s="27" t="s">
        <v>158</v>
      </c>
      <c r="AC142" s="135" t="s">
        <v>160</v>
      </c>
      <c r="AD142" s="135" t="s">
        <v>160</v>
      </c>
      <c r="AE142" s="27" t="s">
        <v>980</v>
      </c>
      <c r="AF142" s="27" t="s">
        <v>176</v>
      </c>
      <c r="AG142" s="27" t="s">
        <v>177</v>
      </c>
      <c r="AH142" s="27" t="s">
        <v>164</v>
      </c>
      <c r="AI142" s="184"/>
      <c r="AJ142" s="27" t="s">
        <v>164</v>
      </c>
      <c r="AK142" s="27" t="s">
        <v>214</v>
      </c>
      <c r="AL142" s="27" t="s">
        <v>164</v>
      </c>
      <c r="AM142" s="27" t="s">
        <v>164</v>
      </c>
      <c r="AN142" s="27" t="s">
        <v>214</v>
      </c>
      <c r="AO142" s="27" t="s">
        <v>164</v>
      </c>
      <c r="AP142" s="136">
        <v>45147</v>
      </c>
      <c r="AQ142" s="27" t="s">
        <v>60</v>
      </c>
      <c r="AT142" s="27" t="str">
        <f t="shared" si="4"/>
        <v>Inactivo</v>
      </c>
      <c r="AU142" s="27" cm="1">
        <f t="array" aca="1" ref="AU142" ca="1">_xlfn.IFS(AT142="","",AT142="Activo",TODAY()-H142,AT142="Inactivo",AP142-H142)</f>
        <v>39</v>
      </c>
      <c r="AV142" s="180">
        <f ca="1">IF(ISBLANK(Tabla1[[#This Row],[Fecha Nacimento (dd/mm/yyyy)]]),"",YEARFRAC(Tabla1[[#This Row],[Fecha Nacimento (dd/mm/yyyy)]],TODAY()))</f>
        <v>26.211111111111112</v>
      </c>
      <c r="AW142" s="141"/>
      <c r="AX142" s="27" t="str">
        <f t="shared" si="5"/>
        <v/>
      </c>
    </row>
    <row r="143" spans="1:50" s="27" customFormat="1" x14ac:dyDescent="0.25">
      <c r="A143" s="134">
        <v>142</v>
      </c>
      <c r="B143" s="27" t="s">
        <v>417</v>
      </c>
      <c r="C143" s="27" t="s">
        <v>319</v>
      </c>
      <c r="D143" s="27" t="s">
        <v>141</v>
      </c>
      <c r="E143" s="403">
        <v>1094927442</v>
      </c>
      <c r="F143" s="27" t="s">
        <v>142</v>
      </c>
      <c r="G143" s="27" t="s">
        <v>143</v>
      </c>
      <c r="H143" s="150">
        <v>45108</v>
      </c>
      <c r="I143" s="136"/>
      <c r="J143" s="27" t="s">
        <v>144</v>
      </c>
      <c r="K143" s="137">
        <v>6000000</v>
      </c>
      <c r="L143" s="27" t="s">
        <v>164</v>
      </c>
      <c r="M143" s="27" t="s">
        <v>262</v>
      </c>
      <c r="N143" s="27" t="s">
        <v>145</v>
      </c>
      <c r="O143" s="139" t="s">
        <v>418</v>
      </c>
      <c r="Q143" s="27" t="s">
        <v>148</v>
      </c>
      <c r="R143" s="187" t="s">
        <v>149</v>
      </c>
      <c r="S143" s="187" t="s">
        <v>150</v>
      </c>
      <c r="T143" s="188" t="s">
        <v>1044</v>
      </c>
      <c r="U143" s="37">
        <v>33740</v>
      </c>
      <c r="V143" s="187" t="s">
        <v>1045</v>
      </c>
      <c r="W143" s="27">
        <v>3166920036</v>
      </c>
      <c r="X143" s="27" t="s">
        <v>979</v>
      </c>
      <c r="Y143" s="27" t="s">
        <v>1046</v>
      </c>
      <c r="Z143" s="27" t="s">
        <v>1047</v>
      </c>
      <c r="AA143" s="27" t="s">
        <v>302</v>
      </c>
      <c r="AB143" s="27" t="s">
        <v>259</v>
      </c>
      <c r="AC143" s="135" t="s">
        <v>271</v>
      </c>
      <c r="AD143" s="135" t="s">
        <v>271</v>
      </c>
      <c r="AE143" s="27" t="s">
        <v>1048</v>
      </c>
      <c r="AF143" s="27" t="s">
        <v>176</v>
      </c>
      <c r="AG143" s="27" t="s">
        <v>163</v>
      </c>
      <c r="AH143" s="27" t="s">
        <v>164</v>
      </c>
      <c r="AI143" s="179"/>
      <c r="AJ143" s="27" t="s">
        <v>164</v>
      </c>
      <c r="AK143" s="27" t="s">
        <v>214</v>
      </c>
      <c r="AL143" s="27" t="s">
        <v>164</v>
      </c>
      <c r="AM143" s="27" t="s">
        <v>164</v>
      </c>
      <c r="AN143" s="27" t="s">
        <v>214</v>
      </c>
      <c r="AO143" s="27" t="s">
        <v>164</v>
      </c>
      <c r="AP143" s="136"/>
      <c r="AT143" s="27" t="str">
        <f t="shared" si="4"/>
        <v>Activo</v>
      </c>
      <c r="AU143" s="27" cm="1">
        <f t="array" aca="1" ref="AU143" ca="1">_xlfn.IFS(AT143="","",AT143="Activo",TODAY()-H143,AT143="Inactivo",AP143-H143)</f>
        <v>352</v>
      </c>
      <c r="AV143" s="180">
        <f ca="1">IF(ISBLANK(Tabla1[[#This Row],[Fecha Nacimento (dd/mm/yyyy)]]),"",YEARFRAC(Tabla1[[#This Row],[Fecha Nacimento (dd/mm/yyyy)]],TODAY()))</f>
        <v>32.086111111111109</v>
      </c>
      <c r="AW143" s="141"/>
      <c r="AX143" s="27" t="str">
        <f t="shared" si="5"/>
        <v/>
      </c>
    </row>
    <row r="144" spans="1:50" s="27" customFormat="1" x14ac:dyDescent="0.25">
      <c r="A144" s="134">
        <v>143</v>
      </c>
      <c r="B144" s="141" t="s">
        <v>1049</v>
      </c>
      <c r="C144" s="141" t="s">
        <v>455</v>
      </c>
      <c r="D144" s="27" t="s">
        <v>141</v>
      </c>
      <c r="E144" s="402">
        <v>4347819</v>
      </c>
      <c r="F144" s="141" t="s">
        <v>142</v>
      </c>
      <c r="G144" s="27" t="s">
        <v>143</v>
      </c>
      <c r="H144" s="142">
        <v>45108</v>
      </c>
      <c r="I144" s="136"/>
      <c r="J144" s="27" t="s">
        <v>144</v>
      </c>
      <c r="K144" s="144">
        <v>1300000</v>
      </c>
      <c r="L144" s="27" t="s">
        <v>164</v>
      </c>
      <c r="M144" s="141" t="s">
        <v>203</v>
      </c>
      <c r="N144" s="27" t="s">
        <v>145</v>
      </c>
      <c r="O144" s="139"/>
      <c r="Q144" s="27" t="s">
        <v>205</v>
      </c>
      <c r="U144" s="181">
        <v>21843</v>
      </c>
      <c r="V144" s="141" t="s">
        <v>1050</v>
      </c>
      <c r="W144" s="141" t="s">
        <v>435</v>
      </c>
      <c r="X144" s="141" t="s">
        <v>436</v>
      </c>
      <c r="Y144" s="141" t="s">
        <v>172</v>
      </c>
      <c r="Z144" s="141" t="s">
        <v>484</v>
      </c>
      <c r="AA144" s="141" t="s">
        <v>211</v>
      </c>
      <c r="AB144" s="141" t="s">
        <v>416</v>
      </c>
      <c r="AC144" s="141" t="s">
        <v>159</v>
      </c>
      <c r="AD144" s="141" t="s">
        <v>271</v>
      </c>
      <c r="AE144" s="27" t="s">
        <v>344</v>
      </c>
      <c r="AF144" s="27" t="s">
        <v>176</v>
      </c>
      <c r="AG144" s="27" t="s">
        <v>177</v>
      </c>
      <c r="AH144" s="27" t="s">
        <v>164</v>
      </c>
      <c r="AI144" s="179"/>
      <c r="AJ144" s="27" t="s">
        <v>304</v>
      </c>
      <c r="AK144" s="27" t="s">
        <v>214</v>
      </c>
      <c r="AL144" s="27" t="s">
        <v>214</v>
      </c>
      <c r="AM144" s="27" t="s">
        <v>164</v>
      </c>
      <c r="AN144" s="27" t="s">
        <v>214</v>
      </c>
      <c r="AO144" s="27" t="s">
        <v>214</v>
      </c>
      <c r="AP144" s="136"/>
      <c r="AT144" s="27" t="str">
        <f t="shared" si="4"/>
        <v>Activo</v>
      </c>
      <c r="AU144" s="27" cm="1">
        <f t="array" aca="1" ref="AU144" ca="1">_xlfn.IFS(AT144="","",AT144="Activo",TODAY()-H144,AT144="Inactivo",AP144-H144)</f>
        <v>352</v>
      </c>
      <c r="AV144" s="180">
        <f ca="1">IF(ISBLANK(Tabla1[[#This Row],[Fecha Nacimento (dd/mm/yyyy)]]),"",YEARFRAC(Tabla1[[#This Row],[Fecha Nacimento (dd/mm/yyyy)]],TODAY()))</f>
        <v>64.658333333333331</v>
      </c>
      <c r="AW144" s="141"/>
      <c r="AX144" s="27" t="str">
        <f t="shared" si="5"/>
        <v/>
      </c>
    </row>
    <row r="145" spans="1:50" s="27" customFormat="1" x14ac:dyDescent="0.25">
      <c r="A145" s="134">
        <v>144</v>
      </c>
      <c r="B145" s="141" t="s">
        <v>1051</v>
      </c>
      <c r="C145" s="141" t="s">
        <v>1052</v>
      </c>
      <c r="D145" s="27" t="s">
        <v>141</v>
      </c>
      <c r="E145" s="402">
        <v>1077631804</v>
      </c>
      <c r="F145" s="141" t="s">
        <v>142</v>
      </c>
      <c r="G145" s="27" t="s">
        <v>143</v>
      </c>
      <c r="H145" s="142">
        <v>45108</v>
      </c>
      <c r="I145" s="136"/>
      <c r="J145" s="27" t="s">
        <v>144</v>
      </c>
      <c r="K145" s="137">
        <v>1300000</v>
      </c>
      <c r="L145" s="27" t="s">
        <v>164</v>
      </c>
      <c r="M145" s="141" t="s">
        <v>203</v>
      </c>
      <c r="O145" s="145" t="s">
        <v>1053</v>
      </c>
      <c r="Q145" s="27" t="s">
        <v>205</v>
      </c>
      <c r="U145" s="181">
        <v>35098</v>
      </c>
      <c r="V145" s="141" t="s">
        <v>1054</v>
      </c>
      <c r="W145" s="141" t="s">
        <v>1055</v>
      </c>
      <c r="X145" s="141" t="s">
        <v>1056</v>
      </c>
      <c r="Y145" s="141" t="s">
        <v>351</v>
      </c>
      <c r="Z145" s="141" t="s">
        <v>352</v>
      </c>
      <c r="AA145" s="141" t="s">
        <v>211</v>
      </c>
      <c r="AB145" s="141" t="s">
        <v>175</v>
      </c>
      <c r="AC145" s="141" t="s">
        <v>160</v>
      </c>
      <c r="AD145" s="141" t="s">
        <v>160</v>
      </c>
      <c r="AE145" s="27" t="s">
        <v>213</v>
      </c>
      <c r="AF145" s="27" t="s">
        <v>176</v>
      </c>
      <c r="AG145" s="27" t="s">
        <v>177</v>
      </c>
      <c r="AH145" s="27" t="s">
        <v>164</v>
      </c>
      <c r="AI145" s="179"/>
      <c r="AJ145" s="27" t="s">
        <v>164</v>
      </c>
      <c r="AK145" s="27" t="s">
        <v>214</v>
      </c>
      <c r="AL145" s="27" t="s">
        <v>214</v>
      </c>
      <c r="AM145" s="27" t="s">
        <v>164</v>
      </c>
      <c r="AN145" s="27" t="s">
        <v>214</v>
      </c>
      <c r="AO145" s="27" t="s">
        <v>214</v>
      </c>
      <c r="AP145" s="189">
        <v>45412</v>
      </c>
      <c r="AQ145" s="186" t="s">
        <v>52</v>
      </c>
      <c r="AR145" s="186"/>
      <c r="AT145" s="27" t="str">
        <f t="shared" si="4"/>
        <v>Inactivo</v>
      </c>
      <c r="AU145" s="27" cm="1">
        <f t="array" aca="1" ref="AU145" ca="1">_xlfn.IFS(AT145="","",AT145="Activo",TODAY()-H145,AT145="Inactivo",AP145-H145)</f>
        <v>304</v>
      </c>
      <c r="AV145" s="180">
        <f ca="1">IF(ISBLANK(Tabla1[[#This Row],[Fecha Nacimento (dd/mm/yyyy)]]),"",YEARFRAC(Tabla1[[#This Row],[Fecha Nacimento (dd/mm/yyyy)]],TODAY()))</f>
        <v>28.372222222222224</v>
      </c>
      <c r="AW145" s="141"/>
      <c r="AX145" s="27" t="str">
        <f t="shared" si="5"/>
        <v/>
      </c>
    </row>
    <row r="146" spans="1:50" s="27" customFormat="1" x14ac:dyDescent="0.25">
      <c r="A146" s="134">
        <v>145</v>
      </c>
      <c r="B146" s="27" t="s">
        <v>1057</v>
      </c>
      <c r="C146" s="27" t="s">
        <v>1058</v>
      </c>
      <c r="D146" s="27" t="s">
        <v>141</v>
      </c>
      <c r="E146" s="403">
        <v>94434444</v>
      </c>
      <c r="F146" s="135" t="s">
        <v>142</v>
      </c>
      <c r="G146" s="27" t="s">
        <v>143</v>
      </c>
      <c r="H146" s="136">
        <v>45108</v>
      </c>
      <c r="I146" s="136"/>
      <c r="J146" s="27" t="s">
        <v>144</v>
      </c>
      <c r="K146" s="137">
        <v>1300000</v>
      </c>
      <c r="L146" s="27" t="s">
        <v>164</v>
      </c>
      <c r="M146" s="135" t="s">
        <v>203</v>
      </c>
      <c r="N146" s="135" t="s">
        <v>145</v>
      </c>
      <c r="O146" s="139" t="s">
        <v>1059</v>
      </c>
      <c r="Q146" s="135" t="s">
        <v>205</v>
      </c>
      <c r="R146" s="135"/>
      <c r="S146" s="135"/>
      <c r="T146" s="28"/>
      <c r="U146" s="37"/>
      <c r="V146" s="27" t="s">
        <v>1060</v>
      </c>
      <c r="W146" s="27">
        <v>3183567853</v>
      </c>
      <c r="X146" s="27" t="s">
        <v>1061</v>
      </c>
      <c r="Y146" s="27" t="s">
        <v>351</v>
      </c>
      <c r="Z146" s="27" t="s">
        <v>484</v>
      </c>
      <c r="AA146" s="27" t="s">
        <v>211</v>
      </c>
      <c r="AB146" s="27" t="s">
        <v>212</v>
      </c>
      <c r="AC146" s="135" t="s">
        <v>159</v>
      </c>
      <c r="AD146" s="135" t="s">
        <v>160</v>
      </c>
      <c r="AE146" s="27" t="s">
        <v>848</v>
      </c>
      <c r="AF146" s="27" t="s">
        <v>176</v>
      </c>
      <c r="AG146" s="27" t="s">
        <v>177</v>
      </c>
      <c r="AH146" s="27" t="s">
        <v>145</v>
      </c>
      <c r="AI146" s="184">
        <v>92800</v>
      </c>
      <c r="AJ146" s="27" t="s">
        <v>164</v>
      </c>
      <c r="AK146" s="27" t="s">
        <v>214</v>
      </c>
      <c r="AL146" s="27" t="s">
        <v>164</v>
      </c>
      <c r="AM146" s="27" t="s">
        <v>164</v>
      </c>
      <c r="AN146" s="27" t="s">
        <v>214</v>
      </c>
      <c r="AO146" s="27" t="s">
        <v>164</v>
      </c>
      <c r="AP146" s="136"/>
      <c r="AT146" s="27" t="str">
        <f t="shared" si="4"/>
        <v>Activo</v>
      </c>
      <c r="AU146" s="27" cm="1">
        <f t="array" aca="1" ref="AU146" ca="1">_xlfn.IFS(AT146="","",AT146="Activo",TODAY()-H146,AT146="Inactivo",AP146-H146)</f>
        <v>352</v>
      </c>
      <c r="AV146" s="180" t="str">
        <f ca="1">IF(ISBLANK(Tabla1[[#This Row],[Fecha Nacimento (dd/mm/yyyy)]]),"",YEARFRAC(Tabla1[[#This Row],[Fecha Nacimento (dd/mm/yyyy)]],TODAY()))</f>
        <v/>
      </c>
      <c r="AW146" s="141"/>
      <c r="AX146" s="27" t="str">
        <f t="shared" si="5"/>
        <v/>
      </c>
    </row>
    <row r="147" spans="1:50" s="27" customFormat="1" x14ac:dyDescent="0.25">
      <c r="A147" s="134">
        <v>146</v>
      </c>
      <c r="B147" s="27" t="s">
        <v>1062</v>
      </c>
      <c r="C147" s="27" t="s">
        <v>1063</v>
      </c>
      <c r="D147" s="27" t="s">
        <v>141</v>
      </c>
      <c r="E147" s="403">
        <v>53168155</v>
      </c>
      <c r="F147" s="135" t="s">
        <v>142</v>
      </c>
      <c r="G147" s="27" t="s">
        <v>143</v>
      </c>
      <c r="H147" s="136">
        <v>45108</v>
      </c>
      <c r="I147" s="136"/>
      <c r="J147" s="27" t="s">
        <v>144</v>
      </c>
      <c r="K147" s="137">
        <v>1300000</v>
      </c>
      <c r="L147" s="27" t="s">
        <v>164</v>
      </c>
      <c r="M147" s="135" t="s">
        <v>203</v>
      </c>
      <c r="N147" s="135" t="s">
        <v>145</v>
      </c>
      <c r="O147" s="139" t="s">
        <v>1064</v>
      </c>
      <c r="Q147" s="135" t="s">
        <v>148</v>
      </c>
      <c r="R147" s="135" t="s">
        <v>371</v>
      </c>
      <c r="S147" s="135" t="s">
        <v>150</v>
      </c>
      <c r="T147" s="28" t="s">
        <v>1065</v>
      </c>
      <c r="U147" s="37">
        <v>31276</v>
      </c>
      <c r="V147" s="27" t="s">
        <v>1066</v>
      </c>
      <c r="W147" s="27">
        <v>3108920735</v>
      </c>
      <c r="X147" s="27" t="s">
        <v>1067</v>
      </c>
      <c r="Y147" s="27" t="s">
        <v>19</v>
      </c>
      <c r="Z147" s="27" t="s">
        <v>1068</v>
      </c>
      <c r="AA147" s="27" t="s">
        <v>211</v>
      </c>
      <c r="AB147" s="27" t="s">
        <v>212</v>
      </c>
      <c r="AC147" s="135" t="s">
        <v>271</v>
      </c>
      <c r="AD147" s="135" t="s">
        <v>160</v>
      </c>
      <c r="AE147" s="27" t="s">
        <v>848</v>
      </c>
      <c r="AF147" s="27" t="s">
        <v>162</v>
      </c>
      <c r="AG147" s="27" t="s">
        <v>177</v>
      </c>
      <c r="AH147" s="27" t="s">
        <v>145</v>
      </c>
      <c r="AI147" s="184">
        <v>92800</v>
      </c>
      <c r="AJ147" s="27" t="s">
        <v>164</v>
      </c>
      <c r="AK147" s="27" t="s">
        <v>214</v>
      </c>
      <c r="AL147" s="27" t="s">
        <v>164</v>
      </c>
      <c r="AM147" s="27" t="s">
        <v>145</v>
      </c>
      <c r="AN147" s="27" t="s">
        <v>1069</v>
      </c>
      <c r="AO147" s="27" t="s">
        <v>164</v>
      </c>
      <c r="AP147" s="136"/>
      <c r="AT147" s="27" t="str">
        <f t="shared" si="4"/>
        <v>Activo</v>
      </c>
      <c r="AU147" s="27" cm="1">
        <f t="array" aca="1" ref="AU147" ca="1">_xlfn.IFS(AT147="","",AT147="Activo",TODAY()-H147,AT147="Inactivo",AP147-H147)</f>
        <v>352</v>
      </c>
      <c r="AV147" s="180">
        <f ca="1">IF(ISBLANK(Tabla1[[#This Row],[Fecha Nacimento (dd/mm/yyyy)]]),"",YEARFRAC(Tabla1[[#This Row],[Fecha Nacimento (dd/mm/yyyy)]],TODAY()))</f>
        <v>38.833333333333336</v>
      </c>
      <c r="AW147" s="141"/>
      <c r="AX147" s="27" t="str">
        <f t="shared" si="5"/>
        <v/>
      </c>
    </row>
    <row r="148" spans="1:50" s="27" customFormat="1" x14ac:dyDescent="0.25">
      <c r="A148" s="134">
        <v>147</v>
      </c>
      <c r="B148" s="27" t="s">
        <v>1070</v>
      </c>
      <c r="C148" s="27" t="s">
        <v>1071</v>
      </c>
      <c r="D148" s="27" t="s">
        <v>141</v>
      </c>
      <c r="E148" s="403">
        <v>1053775386</v>
      </c>
      <c r="F148" s="27" t="s">
        <v>142</v>
      </c>
      <c r="G148" s="27" t="s">
        <v>143</v>
      </c>
      <c r="H148" s="136">
        <v>45108</v>
      </c>
      <c r="I148" s="136"/>
      <c r="J148" s="27" t="s">
        <v>144</v>
      </c>
      <c r="K148" s="137">
        <v>2464000</v>
      </c>
      <c r="L148" s="27" t="s">
        <v>145</v>
      </c>
      <c r="M148" s="27" t="s">
        <v>203</v>
      </c>
      <c r="N148" s="27" t="s">
        <v>145</v>
      </c>
      <c r="O148" s="139" t="s">
        <v>1072</v>
      </c>
      <c r="Q148" s="27" t="s">
        <v>148</v>
      </c>
      <c r="R148" s="27" t="s">
        <v>149</v>
      </c>
      <c r="S148" s="27" t="s">
        <v>150</v>
      </c>
      <c r="T148" s="28" t="s">
        <v>1073</v>
      </c>
      <c r="U148" s="37">
        <v>31854</v>
      </c>
      <c r="V148" s="27" t="s">
        <v>1074</v>
      </c>
      <c r="W148" s="27">
        <v>3207772198</v>
      </c>
      <c r="X148" s="27" t="s">
        <v>979</v>
      </c>
      <c r="Y148" s="27" t="s">
        <v>1075</v>
      </c>
      <c r="Z148" s="27" t="s">
        <v>1076</v>
      </c>
      <c r="AA148" s="27" t="s">
        <v>1077</v>
      </c>
      <c r="AB148" s="27" t="s">
        <v>186</v>
      </c>
      <c r="AC148" s="27" t="s">
        <v>271</v>
      </c>
      <c r="AD148" s="27" t="s">
        <v>160</v>
      </c>
      <c r="AE148" s="27" t="s">
        <v>1078</v>
      </c>
      <c r="AF148" s="27" t="s">
        <v>162</v>
      </c>
      <c r="AG148" s="27" t="s">
        <v>177</v>
      </c>
      <c r="AH148" s="27" t="s">
        <v>164</v>
      </c>
      <c r="AI148" s="184"/>
      <c r="AJ148" s="27" t="s">
        <v>145</v>
      </c>
      <c r="AK148" s="27" t="s">
        <v>1069</v>
      </c>
      <c r="AL148" s="27" t="s">
        <v>145</v>
      </c>
      <c r="AM148" s="27" t="s">
        <v>145</v>
      </c>
      <c r="AN148" s="27" t="s">
        <v>1069</v>
      </c>
      <c r="AO148" s="27" t="s">
        <v>145</v>
      </c>
      <c r="AP148" s="136">
        <v>45381</v>
      </c>
      <c r="AQ148" s="27" t="s">
        <v>60</v>
      </c>
      <c r="AS148" s="27" t="s">
        <v>164</v>
      </c>
      <c r="AT148" s="27" t="str">
        <f t="shared" si="4"/>
        <v>Inactivo</v>
      </c>
      <c r="AU148" s="27" cm="1">
        <f t="array" aca="1" ref="AU148" ca="1">_xlfn.IFS(AT148="","",AT148="Activo",TODAY()-H148,AT148="Inactivo",AP148-H148)</f>
        <v>273</v>
      </c>
      <c r="AV148" s="180">
        <f ca="1">IF(ISBLANK(Tabla1[[#This Row],[Fecha Nacimento (dd/mm/yyyy)]]),"",YEARFRAC(Tabla1[[#This Row],[Fecha Nacimento (dd/mm/yyyy)]],TODAY()))</f>
        <v>37.24722222222222</v>
      </c>
      <c r="AW148" s="141"/>
      <c r="AX148" s="27" t="str">
        <f t="shared" si="5"/>
        <v/>
      </c>
    </row>
    <row r="149" spans="1:50" s="27" customFormat="1" x14ac:dyDescent="0.25">
      <c r="A149" s="134">
        <v>148</v>
      </c>
      <c r="B149" s="27" t="s">
        <v>739</v>
      </c>
      <c r="C149" s="27" t="s">
        <v>1079</v>
      </c>
      <c r="D149" s="27" t="s">
        <v>141</v>
      </c>
      <c r="E149" s="400">
        <v>1005087401</v>
      </c>
      <c r="F149" s="27" t="s">
        <v>1080</v>
      </c>
      <c r="G149" s="27" t="s">
        <v>959</v>
      </c>
      <c r="H149" s="136">
        <v>45109</v>
      </c>
      <c r="I149" s="136">
        <v>45493</v>
      </c>
      <c r="J149" s="27" t="s">
        <v>144</v>
      </c>
      <c r="K149" s="140">
        <v>1300000</v>
      </c>
      <c r="L149" s="27" t="s">
        <v>164</v>
      </c>
      <c r="M149" s="27" t="s">
        <v>355</v>
      </c>
      <c r="N149" s="27" t="s">
        <v>145</v>
      </c>
      <c r="O149" s="139" t="s">
        <v>1081</v>
      </c>
      <c r="Q149" s="27" t="s">
        <v>148</v>
      </c>
      <c r="R149" s="27" t="s">
        <v>371</v>
      </c>
      <c r="S149" s="27" t="s">
        <v>150</v>
      </c>
      <c r="T149" s="27" t="s">
        <v>1082</v>
      </c>
      <c r="U149" s="37">
        <v>37190</v>
      </c>
      <c r="V149" s="27" t="s">
        <v>1083</v>
      </c>
      <c r="W149" s="27" t="s">
        <v>1082</v>
      </c>
      <c r="X149" s="27" t="s">
        <v>268</v>
      </c>
      <c r="Y149" s="27" t="s">
        <v>367</v>
      </c>
      <c r="Z149" s="27" t="s">
        <v>1084</v>
      </c>
      <c r="AA149" s="27" t="s">
        <v>1085</v>
      </c>
      <c r="AB149" s="27" t="s">
        <v>911</v>
      </c>
      <c r="AC149" s="27" t="s">
        <v>217</v>
      </c>
      <c r="AD149" s="27" t="s">
        <v>217</v>
      </c>
      <c r="AE149" s="27" t="s">
        <v>272</v>
      </c>
      <c r="AF149" s="27" t="s">
        <v>162</v>
      </c>
      <c r="AG149" s="27" t="s">
        <v>177</v>
      </c>
      <c r="AH149" s="27" t="s">
        <v>164</v>
      </c>
      <c r="AI149" s="179"/>
      <c r="AJ149" s="27" t="s">
        <v>164</v>
      </c>
      <c r="AK149" s="27" t="s">
        <v>214</v>
      </c>
      <c r="AL149" s="27" t="s">
        <v>214</v>
      </c>
      <c r="AM149" s="27" t="s">
        <v>164</v>
      </c>
      <c r="AN149" s="27" t="s">
        <v>214</v>
      </c>
      <c r="AO149" s="27" t="s">
        <v>164</v>
      </c>
      <c r="AP149" s="136"/>
      <c r="AT149" s="27" t="str">
        <f t="shared" si="4"/>
        <v>Activo</v>
      </c>
      <c r="AU149" s="27" cm="1">
        <f t="array" aca="1" ref="AU149" ca="1">_xlfn.IFS(AT149="","",AT149="Activo",TODAY()-H149,AT149="Inactivo",AP149-H149)</f>
        <v>351</v>
      </c>
      <c r="AV149" s="180">
        <f ca="1">IF(ISBLANK(Tabla1[[#This Row],[Fecha Nacimento (dd/mm/yyyy)]]),"",YEARFRAC(Tabla1[[#This Row],[Fecha Nacimento (dd/mm/yyyy)]],TODAY()))</f>
        <v>22.641666666666666</v>
      </c>
      <c r="AW149" s="141"/>
      <c r="AX149" s="27" t="str">
        <f t="shared" si="5"/>
        <v/>
      </c>
    </row>
    <row r="150" spans="1:50" s="27" customFormat="1" x14ac:dyDescent="0.25">
      <c r="A150" s="134">
        <v>149</v>
      </c>
      <c r="B150" s="27" t="s">
        <v>235</v>
      </c>
      <c r="C150" s="27" t="s">
        <v>1086</v>
      </c>
      <c r="D150" s="27" t="s">
        <v>141</v>
      </c>
      <c r="E150" s="403">
        <v>14279969</v>
      </c>
      <c r="F150" s="135" t="s">
        <v>142</v>
      </c>
      <c r="G150" s="27" t="s">
        <v>143</v>
      </c>
      <c r="H150" s="136">
        <v>45120</v>
      </c>
      <c r="I150" s="136"/>
      <c r="J150" s="27" t="s">
        <v>144</v>
      </c>
      <c r="K150" s="137">
        <v>1300000</v>
      </c>
      <c r="L150" s="27" t="s">
        <v>145</v>
      </c>
      <c r="M150" s="135" t="s">
        <v>146</v>
      </c>
      <c r="N150" s="135" t="s">
        <v>145</v>
      </c>
      <c r="O150" s="139" t="s">
        <v>1087</v>
      </c>
      <c r="Q150" s="135" t="s">
        <v>148</v>
      </c>
      <c r="R150" s="135" t="s">
        <v>168</v>
      </c>
      <c r="S150" s="135" t="s">
        <v>150</v>
      </c>
      <c r="T150" s="28" t="s">
        <v>1088</v>
      </c>
      <c r="U150" s="37">
        <v>26694</v>
      </c>
      <c r="V150" s="27" t="s">
        <v>1089</v>
      </c>
      <c r="W150" s="27">
        <v>3127013638</v>
      </c>
      <c r="X150" s="27" t="s">
        <v>979</v>
      </c>
      <c r="Y150" s="27" t="s">
        <v>172</v>
      </c>
      <c r="Z150" s="27" t="s">
        <v>552</v>
      </c>
      <c r="AA150" s="27" t="s">
        <v>174</v>
      </c>
      <c r="AB150" s="27" t="s">
        <v>175</v>
      </c>
      <c r="AC150" s="135" t="s">
        <v>271</v>
      </c>
      <c r="AD150" s="135" t="s">
        <v>160</v>
      </c>
      <c r="AE150" s="27" t="s">
        <v>161</v>
      </c>
      <c r="AF150" s="27" t="s">
        <v>176</v>
      </c>
      <c r="AG150" s="27" t="s">
        <v>177</v>
      </c>
      <c r="AH150" s="27" t="s">
        <v>164</v>
      </c>
      <c r="AI150" s="184"/>
      <c r="AJ150" s="27" t="s">
        <v>164</v>
      </c>
      <c r="AK150" s="27" t="s">
        <v>214</v>
      </c>
      <c r="AL150" s="27" t="s">
        <v>164</v>
      </c>
      <c r="AM150" s="27" t="s">
        <v>145</v>
      </c>
      <c r="AN150" s="27" t="s">
        <v>1069</v>
      </c>
      <c r="AO150" s="27" t="s">
        <v>164</v>
      </c>
      <c r="AP150" s="136"/>
      <c r="AT150" s="27" t="str">
        <f t="shared" si="4"/>
        <v>Activo</v>
      </c>
      <c r="AU150" s="27" cm="1">
        <f t="array" aca="1" ref="AU150" ca="1">_xlfn.IFS(AT150="","",AT150="Activo",TODAY()-H150,AT150="Inactivo",AP150-H150)</f>
        <v>340</v>
      </c>
      <c r="AV150" s="180">
        <f ca="1">IF(ISBLANK(Tabla1[[#This Row],[Fecha Nacimento (dd/mm/yyyy)]]),"",YEARFRAC(Tabla1[[#This Row],[Fecha Nacimento (dd/mm/yyyy)]],TODAY()))</f>
        <v>51.380555555555553</v>
      </c>
      <c r="AW150" s="141"/>
      <c r="AX150" s="27" t="str">
        <f t="shared" si="5"/>
        <v/>
      </c>
    </row>
    <row r="151" spans="1:50" s="27" customFormat="1" x14ac:dyDescent="0.25">
      <c r="A151" s="134">
        <v>150</v>
      </c>
      <c r="B151" s="27" t="s">
        <v>1090</v>
      </c>
      <c r="C151" s="27" t="s">
        <v>1091</v>
      </c>
      <c r="D151" s="27" t="s">
        <v>141</v>
      </c>
      <c r="E151" s="403">
        <v>1058964021</v>
      </c>
      <c r="F151" s="135" t="s">
        <v>142</v>
      </c>
      <c r="G151" s="27" t="s">
        <v>143</v>
      </c>
      <c r="H151" s="136">
        <v>45120</v>
      </c>
      <c r="I151" s="136"/>
      <c r="J151" s="27" t="s">
        <v>144</v>
      </c>
      <c r="K151" s="137">
        <v>1300000</v>
      </c>
      <c r="L151" s="27" t="s">
        <v>145</v>
      </c>
      <c r="M151" s="135" t="s">
        <v>146</v>
      </c>
      <c r="N151" s="135" t="s">
        <v>145</v>
      </c>
      <c r="O151" s="139" t="s">
        <v>1092</v>
      </c>
      <c r="Q151" s="135" t="s">
        <v>148</v>
      </c>
      <c r="R151" s="135" t="s">
        <v>168</v>
      </c>
      <c r="S151" s="135" t="s">
        <v>150</v>
      </c>
      <c r="T151" s="28" t="s">
        <v>1093</v>
      </c>
      <c r="U151" s="37">
        <v>38410</v>
      </c>
      <c r="V151" s="27" t="s">
        <v>1094</v>
      </c>
      <c r="W151" s="27" t="s">
        <v>1095</v>
      </c>
      <c r="X151" s="27" t="s">
        <v>979</v>
      </c>
      <c r="Y151" s="27" t="s">
        <v>172</v>
      </c>
      <c r="Z151" s="27" t="s">
        <v>552</v>
      </c>
      <c r="AA151" s="27" t="s">
        <v>174</v>
      </c>
      <c r="AB151" s="27" t="s">
        <v>212</v>
      </c>
      <c r="AC151" s="135" t="s">
        <v>160</v>
      </c>
      <c r="AD151" s="135" t="s">
        <v>160</v>
      </c>
      <c r="AE151" s="27" t="s">
        <v>161</v>
      </c>
      <c r="AF151" s="27" t="s">
        <v>176</v>
      </c>
      <c r="AG151" s="27" t="s">
        <v>177</v>
      </c>
      <c r="AH151" s="27" t="s">
        <v>164</v>
      </c>
      <c r="AI151" s="184"/>
      <c r="AJ151" s="27" t="s">
        <v>164</v>
      </c>
      <c r="AK151" s="27" t="s">
        <v>214</v>
      </c>
      <c r="AL151" s="27" t="s">
        <v>164</v>
      </c>
      <c r="AM151" s="27" t="s">
        <v>164</v>
      </c>
      <c r="AN151" s="27" t="s">
        <v>214</v>
      </c>
      <c r="AO151" s="27" t="s">
        <v>164</v>
      </c>
      <c r="AP151" s="136"/>
      <c r="AT151" s="27" t="str">
        <f t="shared" si="4"/>
        <v>Activo</v>
      </c>
      <c r="AU151" s="27" cm="1">
        <f t="array" aca="1" ref="AU151" ca="1">_xlfn.IFS(AT151="","",AT151="Activo",TODAY()-H151,AT151="Inactivo",AP151-H151)</f>
        <v>340</v>
      </c>
      <c r="AV151" s="180">
        <f ca="1">IF(ISBLANK(Tabla1[[#This Row],[Fecha Nacimento (dd/mm/yyyy)]]),"",YEARFRAC(Tabla1[[#This Row],[Fecha Nacimento (dd/mm/yyyy)]],TODAY()))</f>
        <v>19.305555555555557</v>
      </c>
      <c r="AW151" s="141"/>
      <c r="AX151" s="27" t="str">
        <f t="shared" si="5"/>
        <v/>
      </c>
    </row>
    <row r="152" spans="1:50" s="27" customFormat="1" x14ac:dyDescent="0.25">
      <c r="A152" s="134">
        <v>151</v>
      </c>
      <c r="B152" s="27" t="s">
        <v>1096</v>
      </c>
      <c r="C152" s="27" t="s">
        <v>1097</v>
      </c>
      <c r="D152" s="27" t="s">
        <v>141</v>
      </c>
      <c r="E152" s="403">
        <v>1094960023</v>
      </c>
      <c r="F152" s="135" t="s">
        <v>142</v>
      </c>
      <c r="G152" s="27" t="s">
        <v>143</v>
      </c>
      <c r="H152" s="136">
        <v>45124</v>
      </c>
      <c r="I152" s="136"/>
      <c r="J152" s="27" t="s">
        <v>144</v>
      </c>
      <c r="K152" s="137">
        <v>1350000</v>
      </c>
      <c r="L152" s="27" t="s">
        <v>145</v>
      </c>
      <c r="M152" s="135" t="s">
        <v>262</v>
      </c>
      <c r="N152" s="135" t="s">
        <v>145</v>
      </c>
      <c r="O152" s="139" t="s">
        <v>1098</v>
      </c>
      <c r="Q152" s="135" t="s">
        <v>148</v>
      </c>
      <c r="R152" s="135" t="s">
        <v>168</v>
      </c>
      <c r="S152" s="135" t="s">
        <v>150</v>
      </c>
      <c r="T152" s="28" t="s">
        <v>1099</v>
      </c>
      <c r="U152" s="37">
        <v>35368</v>
      </c>
      <c r="V152" s="27" t="s">
        <v>1100</v>
      </c>
      <c r="W152" s="27">
        <v>3127054592</v>
      </c>
      <c r="X152" s="27" t="s">
        <v>316</v>
      </c>
      <c r="Y152" s="27" t="s">
        <v>155</v>
      </c>
      <c r="Z152" s="27" t="s">
        <v>1101</v>
      </c>
      <c r="AA152" s="27" t="s">
        <v>302</v>
      </c>
      <c r="AB152" s="27" t="s">
        <v>186</v>
      </c>
      <c r="AC152" s="135" t="s">
        <v>271</v>
      </c>
      <c r="AD152" s="135" t="s">
        <v>271</v>
      </c>
      <c r="AE152" s="27" t="s">
        <v>494</v>
      </c>
      <c r="AF152" s="27" t="s">
        <v>162</v>
      </c>
      <c r="AG152" s="27" t="s">
        <v>177</v>
      </c>
      <c r="AH152" s="27" t="s">
        <v>145</v>
      </c>
      <c r="AI152" s="184">
        <v>850000</v>
      </c>
      <c r="AJ152" s="27" t="s">
        <v>164</v>
      </c>
      <c r="AK152" s="27" t="s">
        <v>214</v>
      </c>
      <c r="AL152" s="27" t="s">
        <v>164</v>
      </c>
      <c r="AM152" s="27" t="s">
        <v>164</v>
      </c>
      <c r="AN152" s="27" t="s">
        <v>214</v>
      </c>
      <c r="AO152" s="27" t="s">
        <v>164</v>
      </c>
      <c r="AP152" s="136"/>
      <c r="AT152" s="27" t="str">
        <f t="shared" si="4"/>
        <v>Activo</v>
      </c>
      <c r="AU152" s="27" cm="1">
        <f t="array" aca="1" ref="AU152" ca="1">_xlfn.IFS(AT152="","",AT152="Activo",TODAY()-H152,AT152="Inactivo",AP152-H152)</f>
        <v>336</v>
      </c>
      <c r="AV152" s="180">
        <f ca="1">IF(ISBLANK(Tabla1[[#This Row],[Fecha Nacimento (dd/mm/yyyy)]]),"",YEARFRAC(Tabla1[[#This Row],[Fecha Nacimento (dd/mm/yyyy)]],TODAY()))</f>
        <v>27.630555555555556</v>
      </c>
      <c r="AW152" s="141"/>
      <c r="AX152" s="27" t="str">
        <f t="shared" si="5"/>
        <v/>
      </c>
    </row>
    <row r="153" spans="1:50" s="27" customFormat="1" x14ac:dyDescent="0.25">
      <c r="A153" s="134">
        <v>152</v>
      </c>
      <c r="B153" s="27" t="s">
        <v>1102</v>
      </c>
      <c r="C153" s="27" t="s">
        <v>1103</v>
      </c>
      <c r="D153" s="27" t="s">
        <v>141</v>
      </c>
      <c r="E153" s="403">
        <v>1193140588</v>
      </c>
      <c r="F153" s="135" t="s">
        <v>142</v>
      </c>
      <c r="G153" s="27" t="s">
        <v>143</v>
      </c>
      <c r="H153" s="136">
        <v>45124</v>
      </c>
      <c r="I153" s="136"/>
      <c r="J153" s="27" t="s">
        <v>144</v>
      </c>
      <c r="K153" s="137">
        <v>1500000</v>
      </c>
      <c r="L153" s="27" t="s">
        <v>145</v>
      </c>
      <c r="M153" s="135" t="s">
        <v>262</v>
      </c>
      <c r="N153" s="135" t="s">
        <v>145</v>
      </c>
      <c r="O153" s="139" t="s">
        <v>1104</v>
      </c>
      <c r="Q153" s="135" t="s">
        <v>148</v>
      </c>
      <c r="R153" s="135" t="s">
        <v>149</v>
      </c>
      <c r="S153" s="135" t="s">
        <v>150</v>
      </c>
      <c r="T153" s="28" t="s">
        <v>1105</v>
      </c>
      <c r="U153" s="37">
        <v>37148</v>
      </c>
      <c r="V153" s="27" t="s">
        <v>1106</v>
      </c>
      <c r="W153" s="27">
        <v>3219298656</v>
      </c>
      <c r="X153" s="27" t="s">
        <v>154</v>
      </c>
      <c r="Y153" s="27" t="s">
        <v>1046</v>
      </c>
      <c r="Z153" s="27" t="s">
        <v>1107</v>
      </c>
      <c r="AA153" s="27" t="s">
        <v>211</v>
      </c>
      <c r="AB153" s="27" t="s">
        <v>158</v>
      </c>
      <c r="AC153" s="135" t="s">
        <v>160</v>
      </c>
      <c r="AD153" s="135" t="s">
        <v>160</v>
      </c>
      <c r="AE153" s="27" t="s">
        <v>1048</v>
      </c>
      <c r="AF153" s="27" t="s">
        <v>162</v>
      </c>
      <c r="AG153" s="27" t="s">
        <v>177</v>
      </c>
      <c r="AH153" s="27" t="s">
        <v>145</v>
      </c>
      <c r="AI153" s="184">
        <v>650000</v>
      </c>
      <c r="AJ153" s="27" t="s">
        <v>164</v>
      </c>
      <c r="AK153" s="27" t="s">
        <v>214</v>
      </c>
      <c r="AL153" s="27" t="s">
        <v>164</v>
      </c>
      <c r="AM153" s="27" t="s">
        <v>164</v>
      </c>
      <c r="AN153" s="27" t="s">
        <v>214</v>
      </c>
      <c r="AO153" s="27" t="s">
        <v>164</v>
      </c>
      <c r="AP153" s="136"/>
      <c r="AT153" s="27" t="str">
        <f t="shared" si="4"/>
        <v>Activo</v>
      </c>
      <c r="AU153" s="27" cm="1">
        <f t="array" aca="1" ref="AU153" ca="1">_xlfn.IFS(AT153="","",AT153="Activo",TODAY()-H153,AT153="Inactivo",AP153-H153)</f>
        <v>336</v>
      </c>
      <c r="AV153" s="180">
        <f ca="1">IF(ISBLANK(Tabla1[[#This Row],[Fecha Nacimento (dd/mm/yyyy)]]),"",YEARFRAC(Tabla1[[#This Row],[Fecha Nacimento (dd/mm/yyyy)]],TODAY()))</f>
        <v>22.758333333333333</v>
      </c>
      <c r="AW153" s="141"/>
      <c r="AX153" s="27" t="str">
        <f t="shared" si="5"/>
        <v/>
      </c>
    </row>
    <row r="154" spans="1:50" s="27" customFormat="1" x14ac:dyDescent="0.25">
      <c r="A154" s="134">
        <v>153</v>
      </c>
      <c r="B154" s="27" t="s">
        <v>1108</v>
      </c>
      <c r="C154" s="27" t="s">
        <v>1109</v>
      </c>
      <c r="D154" s="27" t="s">
        <v>141</v>
      </c>
      <c r="E154" s="403">
        <v>4408920</v>
      </c>
      <c r="F154" s="135" t="s">
        <v>142</v>
      </c>
      <c r="G154" s="27" t="s">
        <v>143</v>
      </c>
      <c r="H154" s="136">
        <v>45124</v>
      </c>
      <c r="I154" s="136"/>
      <c r="J154" s="27" t="s">
        <v>144</v>
      </c>
      <c r="K154" s="137">
        <v>2013760</v>
      </c>
      <c r="L154" s="27" t="s">
        <v>145</v>
      </c>
      <c r="M154" s="135" t="s">
        <v>203</v>
      </c>
      <c r="N154" s="135" t="s">
        <v>145</v>
      </c>
      <c r="O154" s="139" t="s">
        <v>1110</v>
      </c>
      <c r="Q154" s="135" t="s">
        <v>148</v>
      </c>
      <c r="R154" s="135" t="s">
        <v>149</v>
      </c>
      <c r="S154" s="135" t="s">
        <v>150</v>
      </c>
      <c r="T154" s="28" t="s">
        <v>1111</v>
      </c>
      <c r="U154" s="37">
        <v>31250</v>
      </c>
      <c r="V154" s="27" t="s">
        <v>1112</v>
      </c>
      <c r="W154" s="27">
        <v>3212835597</v>
      </c>
      <c r="X154" s="27" t="s">
        <v>979</v>
      </c>
      <c r="Y154" s="27" t="s">
        <v>1075</v>
      </c>
      <c r="Z154" s="27" t="s">
        <v>1113</v>
      </c>
      <c r="AA154" s="27" t="s">
        <v>1114</v>
      </c>
      <c r="AB154" s="27" t="s">
        <v>259</v>
      </c>
      <c r="AC154" s="135" t="s">
        <v>160</v>
      </c>
      <c r="AD154" s="135" t="s">
        <v>160</v>
      </c>
      <c r="AE154" s="27" t="s">
        <v>1078</v>
      </c>
      <c r="AF154" s="27" t="s">
        <v>176</v>
      </c>
      <c r="AG154" s="27" t="s">
        <v>177</v>
      </c>
      <c r="AH154" s="27" t="s">
        <v>145</v>
      </c>
      <c r="AI154" s="184">
        <v>200000</v>
      </c>
      <c r="AJ154" s="27" t="s">
        <v>164</v>
      </c>
      <c r="AK154" s="27" t="s">
        <v>214</v>
      </c>
      <c r="AL154" s="27" t="s">
        <v>164</v>
      </c>
      <c r="AM154" s="27" t="s">
        <v>145</v>
      </c>
      <c r="AN154" s="27" t="s">
        <v>1069</v>
      </c>
      <c r="AO154" s="27" t="s">
        <v>145</v>
      </c>
      <c r="AP154" s="136"/>
      <c r="AT154" s="27" t="str">
        <f t="shared" si="4"/>
        <v>Activo</v>
      </c>
      <c r="AU154" s="27" cm="1">
        <f t="array" aca="1" ref="AU154" ca="1">_xlfn.IFS(AT154="","",AT154="Activo",TODAY()-H154,AT154="Inactivo",AP154-H154)</f>
        <v>336</v>
      </c>
      <c r="AV154" s="180">
        <f ca="1">IF(ISBLANK(Tabla1[[#This Row],[Fecha Nacimento (dd/mm/yyyy)]]),"",YEARFRAC(Tabla1[[#This Row],[Fecha Nacimento (dd/mm/yyyy)]],TODAY()))</f>
        <v>38.902777777777779</v>
      </c>
      <c r="AW154" s="141"/>
      <c r="AX154" s="27" t="str">
        <f t="shared" si="5"/>
        <v/>
      </c>
    </row>
    <row r="155" spans="1:50" s="27" customFormat="1" x14ac:dyDescent="0.25">
      <c r="A155" s="134">
        <v>154</v>
      </c>
      <c r="B155" s="27" t="s">
        <v>1115</v>
      </c>
      <c r="C155" s="27" t="s">
        <v>1116</v>
      </c>
      <c r="D155" s="27" t="s">
        <v>141</v>
      </c>
      <c r="E155" s="403">
        <v>47436047</v>
      </c>
      <c r="F155" s="135" t="s">
        <v>142</v>
      </c>
      <c r="G155" s="27" t="s">
        <v>143</v>
      </c>
      <c r="H155" s="136">
        <v>45124</v>
      </c>
      <c r="I155" s="136"/>
      <c r="J155" s="27" t="s">
        <v>144</v>
      </c>
      <c r="K155" s="137">
        <v>1300000</v>
      </c>
      <c r="L155" s="27" t="s">
        <v>164</v>
      </c>
      <c r="M155" s="135" t="s">
        <v>355</v>
      </c>
      <c r="N155" s="27" t="s">
        <v>145</v>
      </c>
      <c r="O155" s="139" t="s">
        <v>1117</v>
      </c>
      <c r="Q155" s="135" t="s">
        <v>148</v>
      </c>
      <c r="R155" s="135" t="s">
        <v>371</v>
      </c>
      <c r="S155" s="135" t="s">
        <v>150</v>
      </c>
      <c r="T155" s="28" t="s">
        <v>1118</v>
      </c>
      <c r="U155" s="37">
        <v>27850</v>
      </c>
      <c r="V155" s="27" t="s">
        <v>1119</v>
      </c>
      <c r="W155" s="28" t="s">
        <v>1118</v>
      </c>
      <c r="X155" s="27" t="s">
        <v>268</v>
      </c>
      <c r="Y155" s="27" t="s">
        <v>172</v>
      </c>
      <c r="Z155" s="27" t="s">
        <v>19</v>
      </c>
      <c r="AA155" s="27" t="s">
        <v>211</v>
      </c>
      <c r="AB155" s="27" t="s">
        <v>175</v>
      </c>
      <c r="AC155" s="135" t="s">
        <v>271</v>
      </c>
      <c r="AD155" s="135" t="s">
        <v>160</v>
      </c>
      <c r="AE155" s="27" t="s">
        <v>272</v>
      </c>
      <c r="AF155" s="27" t="s">
        <v>162</v>
      </c>
      <c r="AG155" s="27" t="s">
        <v>177</v>
      </c>
      <c r="AH155" s="27" t="s">
        <v>164</v>
      </c>
      <c r="AI155" s="184"/>
      <c r="AJ155" s="27" t="s">
        <v>164</v>
      </c>
      <c r="AK155" s="27" t="s">
        <v>214</v>
      </c>
      <c r="AL155" s="27" t="s">
        <v>214</v>
      </c>
      <c r="AM155" s="27" t="s">
        <v>164</v>
      </c>
      <c r="AN155" s="27" t="s">
        <v>214</v>
      </c>
      <c r="AO155" s="27" t="s">
        <v>164</v>
      </c>
      <c r="AP155" s="136"/>
      <c r="AT155" s="27" t="str">
        <f t="shared" si="4"/>
        <v>Activo</v>
      </c>
      <c r="AU155" s="27" cm="1">
        <f t="array" aca="1" ref="AU155" ca="1">_xlfn.IFS(AT155="","",AT155="Activo",TODAY()-H155,AT155="Inactivo",AP155-H155)</f>
        <v>336</v>
      </c>
      <c r="AV155" s="180">
        <f ca="1">IF(ISBLANK(Tabla1[[#This Row],[Fecha Nacimento (dd/mm/yyyy)]]),"",YEARFRAC(Tabla1[[#This Row],[Fecha Nacimento (dd/mm/yyyy)]],TODAY()))</f>
        <v>48.213888888888889</v>
      </c>
      <c r="AW155" s="141"/>
      <c r="AX155" s="27" t="str">
        <f t="shared" si="5"/>
        <v/>
      </c>
    </row>
    <row r="156" spans="1:50" s="27" customFormat="1" x14ac:dyDescent="0.25">
      <c r="A156" s="134">
        <v>155</v>
      </c>
      <c r="B156" s="27" t="s">
        <v>1120</v>
      </c>
      <c r="C156" s="27" t="s">
        <v>1121</v>
      </c>
      <c r="D156" s="27" t="s">
        <v>141</v>
      </c>
      <c r="E156" s="403">
        <v>1005091405</v>
      </c>
      <c r="F156" s="27" t="s">
        <v>142</v>
      </c>
      <c r="G156" s="27" t="s">
        <v>143</v>
      </c>
      <c r="H156" s="136">
        <v>45126</v>
      </c>
      <c r="I156" s="136" t="s">
        <v>217</v>
      </c>
      <c r="J156" s="27" t="s">
        <v>144</v>
      </c>
      <c r="K156" s="137">
        <v>1300000</v>
      </c>
      <c r="L156" s="27" t="s">
        <v>145</v>
      </c>
      <c r="M156" s="27" t="s">
        <v>203</v>
      </c>
      <c r="N156" s="27" t="s">
        <v>145</v>
      </c>
      <c r="O156" s="139" t="s">
        <v>1122</v>
      </c>
      <c r="Q156" s="135" t="s">
        <v>148</v>
      </c>
      <c r="R156" s="135" t="s">
        <v>168</v>
      </c>
      <c r="S156" s="135" t="s">
        <v>150</v>
      </c>
      <c r="T156" s="28" t="s">
        <v>1123</v>
      </c>
      <c r="U156" s="136">
        <v>35280</v>
      </c>
      <c r="V156" s="27" t="s">
        <v>1124</v>
      </c>
      <c r="W156" s="27">
        <v>3235305442</v>
      </c>
      <c r="X156" s="27" t="s">
        <v>1125</v>
      </c>
      <c r="Y156" s="27" t="s">
        <v>222</v>
      </c>
      <c r="Z156" s="27" t="s">
        <v>15</v>
      </c>
      <c r="AA156" s="27" t="s">
        <v>211</v>
      </c>
      <c r="AB156" s="27" t="s">
        <v>259</v>
      </c>
      <c r="AC156" s="135" t="s">
        <v>160</v>
      </c>
      <c r="AD156" s="135" t="s">
        <v>271</v>
      </c>
      <c r="AE156" s="27" t="s">
        <v>1</v>
      </c>
      <c r="AF156" s="27" t="s">
        <v>176</v>
      </c>
      <c r="AG156" s="27" t="s">
        <v>177</v>
      </c>
      <c r="AI156" s="184"/>
      <c r="AJ156" s="27" t="s">
        <v>145</v>
      </c>
      <c r="AK156" s="27" t="s">
        <v>1069</v>
      </c>
      <c r="AL156" s="27" t="s">
        <v>145</v>
      </c>
      <c r="AM156" s="27" t="s">
        <v>145</v>
      </c>
      <c r="AN156" s="27" t="s">
        <v>1069</v>
      </c>
      <c r="AO156" s="27" t="s">
        <v>145</v>
      </c>
      <c r="AP156" s="136">
        <v>45427</v>
      </c>
      <c r="AQ156" s="27" t="s">
        <v>52</v>
      </c>
      <c r="AT156" s="27" t="str">
        <f t="shared" si="4"/>
        <v>Inactivo</v>
      </c>
      <c r="AU156" s="27" cm="1">
        <f t="array" aca="1" ref="AU156" ca="1">_xlfn.IFS(AT156="","",AT156="Activo",TODAY()-H156,AT156="Inactivo",AP156-H156)</f>
        <v>301</v>
      </c>
      <c r="AV156" s="180">
        <f ca="1">IF(ISBLANK(Tabla1[[#This Row],[Fecha Nacimento (dd/mm/yyyy)]]),"",YEARFRAC(Tabla1[[#This Row],[Fecha Nacimento (dd/mm/yyyy)]],TODAY()))</f>
        <v>27.872222222222224</v>
      </c>
      <c r="AW156" s="141"/>
      <c r="AX156" s="27" t="str">
        <f t="shared" si="5"/>
        <v/>
      </c>
    </row>
    <row r="157" spans="1:50" s="27" customFormat="1" x14ac:dyDescent="0.25">
      <c r="A157" s="134">
        <v>156</v>
      </c>
      <c r="B157" s="27" t="s">
        <v>933</v>
      </c>
      <c r="C157" s="27" t="s">
        <v>1126</v>
      </c>
      <c r="D157" s="27" t="s">
        <v>141</v>
      </c>
      <c r="E157" s="403">
        <v>1094902856</v>
      </c>
      <c r="F157" s="27" t="s">
        <v>142</v>
      </c>
      <c r="G157" s="27" t="s">
        <v>143</v>
      </c>
      <c r="H157" s="136">
        <v>45129</v>
      </c>
      <c r="I157" s="136"/>
      <c r="J157" s="27" t="s">
        <v>144</v>
      </c>
      <c r="K157" s="137">
        <v>1300000</v>
      </c>
      <c r="L157" s="27" t="s">
        <v>145</v>
      </c>
      <c r="M157" s="135" t="s">
        <v>355</v>
      </c>
      <c r="N157" s="27" t="s">
        <v>145</v>
      </c>
      <c r="O157" s="139" t="s">
        <v>1127</v>
      </c>
      <c r="Q157" s="135" t="s">
        <v>148</v>
      </c>
      <c r="R157" s="27" t="s">
        <v>149</v>
      </c>
      <c r="S157" s="135" t="s">
        <v>150</v>
      </c>
      <c r="T157" s="28" t="s">
        <v>1128</v>
      </c>
      <c r="U157" s="37">
        <v>32546</v>
      </c>
      <c r="V157" s="27" t="s">
        <v>1129</v>
      </c>
      <c r="W157" s="27">
        <v>3117664230</v>
      </c>
      <c r="X157" s="27" t="s">
        <v>268</v>
      </c>
      <c r="Y157" s="27" t="s">
        <v>367</v>
      </c>
      <c r="Z157" s="27" t="s">
        <v>368</v>
      </c>
      <c r="AA157" s="27" t="s">
        <v>211</v>
      </c>
      <c r="AB157" s="27" t="s">
        <v>175</v>
      </c>
      <c r="AC157" s="135" t="s">
        <v>271</v>
      </c>
      <c r="AD157" s="135" t="s">
        <v>271</v>
      </c>
      <c r="AE157" s="27" t="s">
        <v>272</v>
      </c>
      <c r="AF157" s="27" t="s">
        <v>176</v>
      </c>
      <c r="AG157" s="27" t="s">
        <v>177</v>
      </c>
      <c r="AH157" s="27" t="s">
        <v>164</v>
      </c>
      <c r="AI157" s="184"/>
      <c r="AJ157" s="27" t="s">
        <v>164</v>
      </c>
      <c r="AK157" s="27" t="s">
        <v>214</v>
      </c>
      <c r="AL157" s="27" t="s">
        <v>214</v>
      </c>
      <c r="AM157" s="27" t="s">
        <v>164</v>
      </c>
      <c r="AN157" s="27" t="s">
        <v>214</v>
      </c>
      <c r="AO157" s="27" t="s">
        <v>164</v>
      </c>
      <c r="AP157" s="136">
        <v>45232</v>
      </c>
      <c r="AQ157" s="27" t="s">
        <v>52</v>
      </c>
      <c r="AT157" s="27" t="str">
        <f t="shared" si="4"/>
        <v>Inactivo</v>
      </c>
      <c r="AU157" s="27" cm="1">
        <f t="array" aca="1" ref="AU157" ca="1">_xlfn.IFS(AT157="","",AT157="Activo",TODAY()-H157,AT157="Inactivo",AP157-H157)</f>
        <v>103</v>
      </c>
      <c r="AV157" s="180">
        <f ca="1">IF(ISBLANK(Tabla1[[#This Row],[Fecha Nacimento (dd/mm/yyyy)]]),"",YEARFRAC(Tabla1[[#This Row],[Fecha Nacimento (dd/mm/yyyy)]],TODAY()))</f>
        <v>35.361111111111114</v>
      </c>
      <c r="AW157" s="141"/>
      <c r="AX157" s="27" t="str">
        <f t="shared" si="5"/>
        <v/>
      </c>
    </row>
    <row r="158" spans="1:50" s="27" customFormat="1" x14ac:dyDescent="0.25">
      <c r="A158" s="134">
        <v>157</v>
      </c>
      <c r="B158" s="27" t="s">
        <v>1130</v>
      </c>
      <c r="C158" s="27" t="s">
        <v>1131</v>
      </c>
      <c r="D158" s="27" t="s">
        <v>141</v>
      </c>
      <c r="E158" s="400">
        <v>18416515</v>
      </c>
      <c r="F158" s="27" t="s">
        <v>142</v>
      </c>
      <c r="G158" s="27" t="s">
        <v>143</v>
      </c>
      <c r="H158" s="136">
        <v>45131</v>
      </c>
      <c r="I158" s="136"/>
      <c r="J158" s="27" t="s">
        <v>144</v>
      </c>
      <c r="K158" s="137">
        <v>1300000</v>
      </c>
      <c r="L158" s="27" t="s">
        <v>164</v>
      </c>
      <c r="M158" s="27" t="s">
        <v>203</v>
      </c>
      <c r="N158" s="27" t="s">
        <v>145</v>
      </c>
      <c r="O158" s="139" t="s">
        <v>1132</v>
      </c>
      <c r="Q158" s="27" t="s">
        <v>205</v>
      </c>
      <c r="T158" s="28"/>
      <c r="U158" s="37"/>
      <c r="V158" s="27" t="s">
        <v>1133</v>
      </c>
      <c r="W158" s="27" t="s">
        <v>1134</v>
      </c>
      <c r="X158" s="27" t="s">
        <v>436</v>
      </c>
      <c r="Y158" s="27" t="s">
        <v>172</v>
      </c>
      <c r="Z158" s="27" t="s">
        <v>484</v>
      </c>
      <c r="AA158" s="27" t="s">
        <v>211</v>
      </c>
      <c r="AB158" s="27" t="s">
        <v>175</v>
      </c>
      <c r="AC158" s="27" t="s">
        <v>271</v>
      </c>
      <c r="AD158" s="27" t="s">
        <v>160</v>
      </c>
      <c r="AE158" s="27" t="s">
        <v>344</v>
      </c>
      <c r="AF158" s="27" t="s">
        <v>176</v>
      </c>
      <c r="AG158" s="27" t="s">
        <v>177</v>
      </c>
      <c r="AH158" s="27" t="s">
        <v>164</v>
      </c>
      <c r="AI158" s="179"/>
      <c r="AJ158" s="27" t="s">
        <v>304</v>
      </c>
      <c r="AK158" s="27" t="s">
        <v>214</v>
      </c>
      <c r="AL158" s="27" t="s">
        <v>214</v>
      </c>
      <c r="AM158" s="27" t="s">
        <v>164</v>
      </c>
      <c r="AN158" s="27" t="s">
        <v>214</v>
      </c>
      <c r="AO158" s="27" t="s">
        <v>214</v>
      </c>
      <c r="AP158" s="136">
        <v>45205</v>
      </c>
      <c r="AQ158" s="27" t="s">
        <v>52</v>
      </c>
      <c r="AT158" s="27" t="str">
        <f t="shared" si="4"/>
        <v>Inactivo</v>
      </c>
      <c r="AU158" s="27" cm="1">
        <f t="array" aca="1" ref="AU158" ca="1">_xlfn.IFS(AT158="","",AT158="Activo",TODAY()-H158,AT158="Inactivo",AP158-H158)</f>
        <v>74</v>
      </c>
      <c r="AV158" s="180" t="str">
        <f ca="1">IF(ISBLANK(Tabla1[[#This Row],[Fecha Nacimento (dd/mm/yyyy)]]),"",YEARFRAC(Tabla1[[#This Row],[Fecha Nacimento (dd/mm/yyyy)]],TODAY()))</f>
        <v/>
      </c>
      <c r="AW158" s="141"/>
      <c r="AX158" s="27" t="str">
        <f t="shared" si="5"/>
        <v/>
      </c>
    </row>
    <row r="159" spans="1:50" s="27" customFormat="1" x14ac:dyDescent="0.25">
      <c r="A159" s="134">
        <v>158</v>
      </c>
      <c r="B159" s="27" t="s">
        <v>1135</v>
      </c>
      <c r="C159" s="27" t="s">
        <v>1136</v>
      </c>
      <c r="D159" s="27" t="s">
        <v>141</v>
      </c>
      <c r="E159" s="403">
        <v>1111746835</v>
      </c>
      <c r="F159" s="27" t="s">
        <v>142</v>
      </c>
      <c r="G159" s="27" t="s">
        <v>143</v>
      </c>
      <c r="H159" s="136">
        <v>45132</v>
      </c>
      <c r="I159" s="136"/>
      <c r="J159" s="27" t="s">
        <v>144</v>
      </c>
      <c r="K159" s="137">
        <v>2000000</v>
      </c>
      <c r="L159" s="27" t="s">
        <v>145</v>
      </c>
      <c r="M159" s="135" t="s">
        <v>262</v>
      </c>
      <c r="N159" s="135" t="s">
        <v>145</v>
      </c>
      <c r="O159" s="139" t="s">
        <v>1137</v>
      </c>
      <c r="Q159" s="135" t="s">
        <v>148</v>
      </c>
      <c r="R159" s="135" t="s">
        <v>149</v>
      </c>
      <c r="S159" s="135" t="s">
        <v>150</v>
      </c>
      <c r="T159" s="28" t="s">
        <v>1138</v>
      </c>
      <c r="U159" s="37">
        <v>31423</v>
      </c>
      <c r="V159" s="27" t="s">
        <v>1139</v>
      </c>
      <c r="W159" s="27">
        <v>3218248979</v>
      </c>
      <c r="X159" s="27" t="s">
        <v>979</v>
      </c>
      <c r="Y159" s="27" t="s">
        <v>155</v>
      </c>
      <c r="Z159" s="27" t="s">
        <v>282</v>
      </c>
      <c r="AA159" s="27" t="s">
        <v>211</v>
      </c>
      <c r="AB159" s="27" t="s">
        <v>186</v>
      </c>
      <c r="AC159" s="135" t="s">
        <v>271</v>
      </c>
      <c r="AD159" s="135" t="s">
        <v>271</v>
      </c>
      <c r="AE159" s="27" t="s">
        <v>1048</v>
      </c>
      <c r="AF159" s="27" t="s">
        <v>162</v>
      </c>
      <c r="AG159" s="27" t="s">
        <v>177</v>
      </c>
      <c r="AH159" s="27" t="s">
        <v>145</v>
      </c>
      <c r="AI159" s="184">
        <v>800000</v>
      </c>
      <c r="AJ159" s="27" t="s">
        <v>164</v>
      </c>
      <c r="AK159" s="27" t="s">
        <v>214</v>
      </c>
      <c r="AL159" s="27" t="s">
        <v>164</v>
      </c>
      <c r="AM159" s="27" t="s">
        <v>145</v>
      </c>
      <c r="AN159" s="27" t="s">
        <v>1140</v>
      </c>
      <c r="AO159" s="27" t="s">
        <v>164</v>
      </c>
      <c r="AP159" s="136">
        <v>45239</v>
      </c>
      <c r="AQ159" s="27" t="s">
        <v>52</v>
      </c>
      <c r="AT159" s="27" t="str">
        <f t="shared" si="4"/>
        <v>Inactivo</v>
      </c>
      <c r="AU159" s="27" cm="1">
        <f t="array" aca="1" ref="AU159" ca="1">_xlfn.IFS(AT159="","",AT159="Activo",TODAY()-H159,AT159="Inactivo",AP159-H159)</f>
        <v>107</v>
      </c>
      <c r="AV159" s="180">
        <f ca="1">IF(ISBLANK(Tabla1[[#This Row],[Fecha Nacimento (dd/mm/yyyy)]]),"",YEARFRAC(Tabla1[[#This Row],[Fecha Nacimento (dd/mm/yyyy)]],TODAY()))</f>
        <v>38.43333333333333</v>
      </c>
      <c r="AW159" s="141"/>
      <c r="AX159" s="27" t="str">
        <f t="shared" si="5"/>
        <v/>
      </c>
    </row>
    <row r="160" spans="1:50" s="27" customFormat="1" x14ac:dyDescent="0.25">
      <c r="A160" s="134">
        <v>159</v>
      </c>
      <c r="B160" s="27" t="s">
        <v>1141</v>
      </c>
      <c r="C160" s="27" t="s">
        <v>1142</v>
      </c>
      <c r="D160" s="27" t="s">
        <v>141</v>
      </c>
      <c r="E160" s="403">
        <v>6804779</v>
      </c>
      <c r="F160" s="27" t="s">
        <v>142</v>
      </c>
      <c r="G160" s="27" t="s">
        <v>143</v>
      </c>
      <c r="H160" s="136">
        <v>45132</v>
      </c>
      <c r="I160" s="136"/>
      <c r="J160" s="27" t="s">
        <v>144</v>
      </c>
      <c r="K160" s="137">
        <v>1300000</v>
      </c>
      <c r="L160" s="27" t="s">
        <v>145</v>
      </c>
      <c r="M160" s="135" t="s">
        <v>146</v>
      </c>
      <c r="N160" s="135" t="s">
        <v>145</v>
      </c>
      <c r="O160" s="139" t="s">
        <v>1143</v>
      </c>
      <c r="Q160" s="135" t="s">
        <v>148</v>
      </c>
      <c r="R160" s="27" t="s">
        <v>168</v>
      </c>
      <c r="S160" s="135" t="s">
        <v>150</v>
      </c>
      <c r="T160" s="28" t="s">
        <v>1144</v>
      </c>
      <c r="U160" s="37">
        <v>30648</v>
      </c>
      <c r="V160" s="27" t="s">
        <v>1145</v>
      </c>
      <c r="W160" s="27">
        <v>3147961784</v>
      </c>
      <c r="X160" s="27" t="s">
        <v>979</v>
      </c>
      <c r="Y160" s="27" t="s">
        <v>172</v>
      </c>
      <c r="Z160" s="27" t="s">
        <v>566</v>
      </c>
      <c r="AA160" s="27" t="s">
        <v>174</v>
      </c>
      <c r="AB160" s="27" t="s">
        <v>158</v>
      </c>
      <c r="AC160" s="135" t="s">
        <v>271</v>
      </c>
      <c r="AD160" s="135" t="s">
        <v>160</v>
      </c>
      <c r="AE160" s="27" t="s">
        <v>161</v>
      </c>
      <c r="AF160" s="27" t="s">
        <v>176</v>
      </c>
      <c r="AG160" s="27" t="s">
        <v>177</v>
      </c>
      <c r="AH160" s="27" t="s">
        <v>164</v>
      </c>
      <c r="AI160" s="184"/>
      <c r="AJ160" s="27" t="s">
        <v>164</v>
      </c>
      <c r="AK160" s="27" t="s">
        <v>214</v>
      </c>
      <c r="AL160" s="27" t="s">
        <v>164</v>
      </c>
      <c r="AM160" s="27" t="s">
        <v>164</v>
      </c>
      <c r="AN160" s="27" t="s">
        <v>214</v>
      </c>
      <c r="AO160" s="27" t="s">
        <v>164</v>
      </c>
      <c r="AP160" s="136"/>
      <c r="AT160" s="27" t="str">
        <f t="shared" si="4"/>
        <v>Activo</v>
      </c>
      <c r="AU160" s="27" cm="1">
        <f t="array" aca="1" ref="AU160" ca="1">_xlfn.IFS(AT160="","",AT160="Activo",TODAY()-H160,AT160="Inactivo",AP160-H160)</f>
        <v>328</v>
      </c>
      <c r="AV160" s="180">
        <f ca="1">IF(ISBLANK(Tabla1[[#This Row],[Fecha Nacimento (dd/mm/yyyy)]]),"",YEARFRAC(Tabla1[[#This Row],[Fecha Nacimento (dd/mm/yyyy)]],TODAY()))</f>
        <v>40.552777777777777</v>
      </c>
      <c r="AW160" s="141"/>
      <c r="AX160" s="27" t="str">
        <f t="shared" si="5"/>
        <v/>
      </c>
    </row>
    <row r="161" spans="1:50" s="27" customFormat="1" x14ac:dyDescent="0.25">
      <c r="A161" s="134">
        <v>160</v>
      </c>
      <c r="B161" s="27" t="s">
        <v>1146</v>
      </c>
      <c r="C161" s="27" t="s">
        <v>1147</v>
      </c>
      <c r="D161" s="27" t="s">
        <v>141</v>
      </c>
      <c r="E161" s="403">
        <v>1094964496</v>
      </c>
      <c r="F161" s="27" t="s">
        <v>142</v>
      </c>
      <c r="G161" s="27" t="s">
        <v>143</v>
      </c>
      <c r="H161" s="136">
        <v>45134</v>
      </c>
      <c r="I161" s="136"/>
      <c r="J161" s="27" t="s">
        <v>144</v>
      </c>
      <c r="K161" s="137">
        <v>1500000</v>
      </c>
      <c r="L161" s="27" t="s">
        <v>145</v>
      </c>
      <c r="M161" s="135" t="s">
        <v>262</v>
      </c>
      <c r="N161" s="135" t="s">
        <v>145</v>
      </c>
      <c r="O161" s="139" t="s">
        <v>1148</v>
      </c>
      <c r="Q161" s="135" t="s">
        <v>148</v>
      </c>
      <c r="R161" s="27" t="s">
        <v>1024</v>
      </c>
      <c r="S161" s="135" t="s">
        <v>150</v>
      </c>
      <c r="T161" s="28" t="s">
        <v>1149</v>
      </c>
      <c r="U161" s="37">
        <v>35711</v>
      </c>
      <c r="V161" s="27" t="s">
        <v>1150</v>
      </c>
      <c r="W161" s="27">
        <v>3128802624</v>
      </c>
      <c r="X161" s="27" t="s">
        <v>979</v>
      </c>
      <c r="Y161" s="27" t="s">
        <v>1046</v>
      </c>
      <c r="Z161" s="27" t="s">
        <v>1107</v>
      </c>
      <c r="AA161" s="27" t="s">
        <v>211</v>
      </c>
      <c r="AB161" s="27" t="s">
        <v>259</v>
      </c>
      <c r="AC161" s="135" t="s">
        <v>271</v>
      </c>
      <c r="AD161" s="135" t="s">
        <v>271</v>
      </c>
      <c r="AE161" s="27" t="s">
        <v>1048</v>
      </c>
      <c r="AF161" s="27" t="s">
        <v>162</v>
      </c>
      <c r="AG161" s="27" t="s">
        <v>177</v>
      </c>
      <c r="AH161" s="27" t="s">
        <v>145</v>
      </c>
      <c r="AI161" s="184">
        <v>650000</v>
      </c>
      <c r="AJ161" s="27" t="s">
        <v>164</v>
      </c>
      <c r="AK161" s="27" t="s">
        <v>214</v>
      </c>
      <c r="AL161" s="27" t="s">
        <v>164</v>
      </c>
      <c r="AM161" s="27" t="s">
        <v>164</v>
      </c>
      <c r="AN161" s="27" t="s">
        <v>214</v>
      </c>
      <c r="AO161" s="27" t="s">
        <v>164</v>
      </c>
      <c r="AP161" s="136"/>
      <c r="AT161" s="27" t="str">
        <f t="shared" si="4"/>
        <v>Activo</v>
      </c>
      <c r="AU161" s="27" cm="1">
        <f t="array" aca="1" ref="AU161" ca="1">_xlfn.IFS(AT161="","",AT161="Activo",TODAY()-H161,AT161="Inactivo",AP161-H161)</f>
        <v>326</v>
      </c>
      <c r="AV161" s="180">
        <f ca="1">IF(ISBLANK(Tabla1[[#This Row],[Fecha Nacimento (dd/mm/yyyy)]]),"",YEARFRAC(Tabla1[[#This Row],[Fecha Nacimento (dd/mm/yyyy)]],TODAY()))</f>
        <v>26.691666666666666</v>
      </c>
      <c r="AW161" s="141"/>
      <c r="AX161" s="27" t="str">
        <f t="shared" si="5"/>
        <v/>
      </c>
    </row>
    <row r="162" spans="1:50" s="27" customFormat="1" x14ac:dyDescent="0.25">
      <c r="A162" s="134">
        <v>161</v>
      </c>
      <c r="B162" s="27" t="s">
        <v>1151</v>
      </c>
      <c r="C162" s="27" t="s">
        <v>1152</v>
      </c>
      <c r="D162" s="27" t="s">
        <v>141</v>
      </c>
      <c r="E162" s="403">
        <v>1097397516</v>
      </c>
      <c r="F162" s="27" t="s">
        <v>142</v>
      </c>
      <c r="G162" s="27" t="s">
        <v>143</v>
      </c>
      <c r="H162" s="136">
        <v>45139</v>
      </c>
      <c r="I162" s="136" t="s">
        <v>217</v>
      </c>
      <c r="J162" s="27" t="s">
        <v>144</v>
      </c>
      <c r="K162" s="137">
        <v>1300000</v>
      </c>
      <c r="L162" s="27" t="s">
        <v>145</v>
      </c>
      <c r="M162" s="27" t="s">
        <v>203</v>
      </c>
      <c r="N162" s="27" t="s">
        <v>145</v>
      </c>
      <c r="O162" s="139" t="s">
        <v>1153</v>
      </c>
      <c r="Q162" s="135" t="s">
        <v>148</v>
      </c>
      <c r="R162" s="27" t="s">
        <v>168</v>
      </c>
      <c r="S162" s="135" t="s">
        <v>150</v>
      </c>
      <c r="T162" s="28" t="s">
        <v>1154</v>
      </c>
      <c r="U162" s="136">
        <v>33517</v>
      </c>
      <c r="V162" s="27" t="s">
        <v>1155</v>
      </c>
      <c r="W162" s="27">
        <v>3117604670</v>
      </c>
      <c r="X162" s="27" t="s">
        <v>979</v>
      </c>
      <c r="Y162" s="27" t="s">
        <v>172</v>
      </c>
      <c r="Z162" s="27" t="s">
        <v>15</v>
      </c>
      <c r="AA162" s="27" t="s">
        <v>211</v>
      </c>
      <c r="AB162" s="27" t="s">
        <v>175</v>
      </c>
      <c r="AC162" s="135" t="s">
        <v>160</v>
      </c>
      <c r="AD162" s="135" t="s">
        <v>160</v>
      </c>
      <c r="AE162" s="27" t="s">
        <v>1</v>
      </c>
      <c r="AF162" s="27" t="s">
        <v>176</v>
      </c>
      <c r="AG162" s="27" t="s">
        <v>177</v>
      </c>
      <c r="AI162" s="184"/>
      <c r="AJ162" s="27" t="s">
        <v>145</v>
      </c>
      <c r="AK162" s="27" t="s">
        <v>1069</v>
      </c>
      <c r="AL162" s="27" t="s">
        <v>145</v>
      </c>
      <c r="AM162" s="27" t="s">
        <v>145</v>
      </c>
      <c r="AN162" s="27" t="s">
        <v>1069</v>
      </c>
      <c r="AO162" s="27" t="s">
        <v>145</v>
      </c>
      <c r="AP162" s="136"/>
      <c r="AT162" s="27" t="str">
        <f t="shared" si="4"/>
        <v>Activo</v>
      </c>
      <c r="AU162" s="27" cm="1">
        <f t="array" aca="1" ref="AU162" ca="1">_xlfn.IFS(AT162="","",AT162="Activo",TODAY()-H162,AT162="Inactivo",AP162-H162)</f>
        <v>321</v>
      </c>
      <c r="AV162" s="180">
        <f ca="1">IF(ISBLANK(Tabla1[[#This Row],[Fecha Nacimento (dd/mm/yyyy)]]),"",YEARFRAC(Tabla1[[#This Row],[Fecha Nacimento (dd/mm/yyyy)]],TODAY()))</f>
        <v>32.697222222222223</v>
      </c>
      <c r="AW162" s="141"/>
      <c r="AX162" s="27" t="str">
        <f t="shared" si="5"/>
        <v/>
      </c>
    </row>
    <row r="163" spans="1:50" s="27" customFormat="1" x14ac:dyDescent="0.25">
      <c r="A163" s="134">
        <v>162</v>
      </c>
      <c r="B163" s="27" t="s">
        <v>1156</v>
      </c>
      <c r="C163" s="27" t="s">
        <v>1157</v>
      </c>
      <c r="D163" s="27" t="s">
        <v>141</v>
      </c>
      <c r="E163" s="403">
        <v>1094912202</v>
      </c>
      <c r="F163" s="27" t="s">
        <v>142</v>
      </c>
      <c r="G163" s="27" t="s">
        <v>143</v>
      </c>
      <c r="H163" s="136">
        <v>45139</v>
      </c>
      <c r="I163" s="136">
        <v>45188</v>
      </c>
      <c r="J163" s="27" t="s">
        <v>144</v>
      </c>
      <c r="K163" s="137">
        <v>1300000</v>
      </c>
      <c r="L163" s="27" t="s">
        <v>145</v>
      </c>
      <c r="M163" s="27" t="s">
        <v>203</v>
      </c>
      <c r="N163" s="27" t="s">
        <v>145</v>
      </c>
      <c r="O163" s="139" t="s">
        <v>1158</v>
      </c>
      <c r="Q163" s="135" t="s">
        <v>148</v>
      </c>
      <c r="R163" s="27" t="s">
        <v>168</v>
      </c>
      <c r="S163" s="135" t="s">
        <v>150</v>
      </c>
      <c r="T163" s="28" t="s">
        <v>1159</v>
      </c>
      <c r="U163" s="136">
        <v>32971</v>
      </c>
      <c r="V163" s="27" t="s">
        <v>1160</v>
      </c>
      <c r="W163" s="27">
        <v>3045306665</v>
      </c>
      <c r="X163" s="27" t="s">
        <v>979</v>
      </c>
      <c r="Y163" s="27" t="s">
        <v>172</v>
      </c>
      <c r="Z163" s="27" t="s">
        <v>15</v>
      </c>
      <c r="AA163" s="27" t="s">
        <v>211</v>
      </c>
      <c r="AB163" s="27" t="s">
        <v>175</v>
      </c>
      <c r="AC163" s="135" t="s">
        <v>159</v>
      </c>
      <c r="AD163" s="135" t="s">
        <v>160</v>
      </c>
      <c r="AE163" s="27" t="s">
        <v>1</v>
      </c>
      <c r="AF163" s="27" t="s">
        <v>176</v>
      </c>
      <c r="AG163" s="27" t="s">
        <v>177</v>
      </c>
      <c r="AI163" s="184"/>
      <c r="AJ163" s="27" t="s">
        <v>145</v>
      </c>
      <c r="AK163" s="27" t="s">
        <v>1069</v>
      </c>
      <c r="AL163" s="27" t="s">
        <v>145</v>
      </c>
      <c r="AM163" s="27" t="s">
        <v>145</v>
      </c>
      <c r="AN163" s="27" t="s">
        <v>1069</v>
      </c>
      <c r="AO163" s="27" t="s">
        <v>145</v>
      </c>
      <c r="AP163" s="136">
        <v>45188</v>
      </c>
      <c r="AQ163" s="27" t="s">
        <v>52</v>
      </c>
      <c r="AR163" s="27" t="s">
        <v>1161</v>
      </c>
      <c r="AT163" s="27" t="str">
        <f t="shared" si="4"/>
        <v>Inactivo</v>
      </c>
      <c r="AU163" s="27" cm="1">
        <f t="array" aca="1" ref="AU163" ca="1">_xlfn.IFS(AT163="","",AT163="Activo",TODAY()-H163,AT163="Inactivo",AP163-H163)</f>
        <v>49</v>
      </c>
      <c r="AV163" s="180">
        <f ca="1">IF(ISBLANK(Tabla1[[#This Row],[Fecha Nacimento (dd/mm/yyyy)]]),"",YEARFRAC(Tabla1[[#This Row],[Fecha Nacimento (dd/mm/yyyy)]],TODAY()))</f>
        <v>34.19166666666667</v>
      </c>
      <c r="AW163" s="141"/>
      <c r="AX163" s="27" t="str">
        <f t="shared" si="5"/>
        <v/>
      </c>
    </row>
    <row r="164" spans="1:50" s="27" customFormat="1" x14ac:dyDescent="0.25">
      <c r="A164" s="134">
        <v>163</v>
      </c>
      <c r="B164" s="141" t="s">
        <v>1162</v>
      </c>
      <c r="C164" s="141" t="s">
        <v>1163</v>
      </c>
      <c r="D164" s="27" t="s">
        <v>141</v>
      </c>
      <c r="E164" s="402">
        <v>4572908</v>
      </c>
      <c r="F164" s="141" t="s">
        <v>142</v>
      </c>
      <c r="G164" s="27" t="s">
        <v>143</v>
      </c>
      <c r="H164" s="142">
        <v>45139</v>
      </c>
      <c r="I164" s="136"/>
      <c r="J164" s="27" t="s">
        <v>144</v>
      </c>
      <c r="K164" s="140">
        <v>1300000</v>
      </c>
      <c r="L164" s="27" t="s">
        <v>164</v>
      </c>
      <c r="M164" s="141" t="s">
        <v>203</v>
      </c>
      <c r="O164" s="139"/>
      <c r="Q164" s="27" t="s">
        <v>205</v>
      </c>
      <c r="U164" s="181">
        <v>24861</v>
      </c>
      <c r="V164" s="141" t="s">
        <v>1164</v>
      </c>
      <c r="W164" s="141" t="s">
        <v>1165</v>
      </c>
      <c r="X164" s="141" t="s">
        <v>793</v>
      </c>
      <c r="Y164" s="141" t="s">
        <v>172</v>
      </c>
      <c r="Z164" s="141" t="s">
        <v>1166</v>
      </c>
      <c r="AA164" s="141" t="s">
        <v>211</v>
      </c>
      <c r="AB164" s="141" t="s">
        <v>175</v>
      </c>
      <c r="AC164" s="141" t="s">
        <v>159</v>
      </c>
      <c r="AD164" s="141" t="s">
        <v>160</v>
      </c>
      <c r="AE164" s="27" t="s">
        <v>431</v>
      </c>
      <c r="AF164" s="27" t="s">
        <v>176</v>
      </c>
      <c r="AG164" s="27" t="s">
        <v>177</v>
      </c>
      <c r="AH164" s="27" t="s">
        <v>164</v>
      </c>
      <c r="AI164" s="179"/>
      <c r="AJ164" s="27" t="s">
        <v>304</v>
      </c>
      <c r="AK164" s="27" t="s">
        <v>214</v>
      </c>
      <c r="AL164" s="27" t="s">
        <v>214</v>
      </c>
      <c r="AM164" s="27" t="s">
        <v>164</v>
      </c>
      <c r="AN164" s="27" t="s">
        <v>214</v>
      </c>
      <c r="AO164" s="27" t="s">
        <v>214</v>
      </c>
      <c r="AP164" s="136">
        <v>45322</v>
      </c>
      <c r="AQ164" s="27" t="s">
        <v>52</v>
      </c>
      <c r="AT164" s="27" t="str">
        <f t="shared" si="4"/>
        <v>Inactivo</v>
      </c>
      <c r="AU164" s="27" cm="1">
        <f t="array" aca="1" ref="AU164" ca="1">_xlfn.IFS(AT164="","",AT164="Activo",TODAY()-H164,AT164="Inactivo",AP164-H164)</f>
        <v>183</v>
      </c>
      <c r="AV164" s="180">
        <f ca="1">IF(ISBLANK(Tabla1[[#This Row],[Fecha Nacimento (dd/mm/yyyy)]]),"",YEARFRAC(Tabla1[[#This Row],[Fecha Nacimento (dd/mm/yyyy)]],TODAY()))</f>
        <v>56.397222222222226</v>
      </c>
      <c r="AW164" s="141"/>
      <c r="AX164" s="27" t="str">
        <f t="shared" si="5"/>
        <v/>
      </c>
    </row>
    <row r="165" spans="1:50" s="27" customFormat="1" x14ac:dyDescent="0.25">
      <c r="A165" s="134">
        <v>165</v>
      </c>
      <c r="B165" s="27" t="s">
        <v>1167</v>
      </c>
      <c r="C165" s="27" t="s">
        <v>1168</v>
      </c>
      <c r="D165" s="27" t="s">
        <v>141</v>
      </c>
      <c r="E165" s="403">
        <v>1096032371</v>
      </c>
      <c r="F165" s="27" t="s">
        <v>142</v>
      </c>
      <c r="G165" s="27" t="s">
        <v>143</v>
      </c>
      <c r="H165" s="136">
        <v>45139</v>
      </c>
      <c r="I165" s="136"/>
      <c r="J165" s="27" t="s">
        <v>144</v>
      </c>
      <c r="K165" s="140">
        <v>1300000</v>
      </c>
      <c r="L165" s="27" t="s">
        <v>145</v>
      </c>
      <c r="M165" s="135" t="s">
        <v>355</v>
      </c>
      <c r="N165" s="135" t="s">
        <v>145</v>
      </c>
      <c r="O165" s="139" t="s">
        <v>1169</v>
      </c>
      <c r="Q165" s="135" t="s">
        <v>148</v>
      </c>
      <c r="R165" s="27" t="s">
        <v>149</v>
      </c>
      <c r="S165" s="135" t="s">
        <v>150</v>
      </c>
      <c r="T165" s="28" t="s">
        <v>1170</v>
      </c>
      <c r="U165" s="37">
        <v>33291</v>
      </c>
      <c r="V165" s="27" t="s">
        <v>1171</v>
      </c>
      <c r="W165" s="27">
        <v>3122747863</v>
      </c>
      <c r="X165" s="27" t="s">
        <v>655</v>
      </c>
      <c r="Y165" s="27" t="s">
        <v>613</v>
      </c>
      <c r="Z165" s="27" t="s">
        <v>656</v>
      </c>
      <c r="AA165" s="27" t="s">
        <v>657</v>
      </c>
      <c r="AB165" s="27" t="s">
        <v>175</v>
      </c>
      <c r="AC165" s="135" t="s">
        <v>160</v>
      </c>
      <c r="AD165" s="135" t="s">
        <v>160</v>
      </c>
      <c r="AE165" s="27" t="s">
        <v>616</v>
      </c>
      <c r="AF165" s="27" t="s">
        <v>162</v>
      </c>
      <c r="AG165" s="27" t="s">
        <v>177</v>
      </c>
      <c r="AH165" s="27" t="s">
        <v>164</v>
      </c>
      <c r="AI165" s="184"/>
      <c r="AJ165" s="27" t="s">
        <v>145</v>
      </c>
      <c r="AK165" s="27" t="s">
        <v>1069</v>
      </c>
      <c r="AL165" s="27" t="s">
        <v>145</v>
      </c>
      <c r="AM165" s="27" t="s">
        <v>145</v>
      </c>
      <c r="AN165" s="27" t="s">
        <v>1069</v>
      </c>
      <c r="AO165" s="27" t="s">
        <v>145</v>
      </c>
      <c r="AP165" s="136"/>
      <c r="AT165" s="27" t="str">
        <f t="shared" si="4"/>
        <v>Activo</v>
      </c>
      <c r="AU165" s="27" cm="1">
        <f t="array" aca="1" ref="AU165" ca="1">_xlfn.IFS(AT165="","",AT165="Activo",TODAY()-H165,AT165="Inactivo",AP165-H165)</f>
        <v>321</v>
      </c>
      <c r="AV165" s="180">
        <f ca="1">IF(ISBLANK(Tabla1[[#This Row],[Fecha Nacimento (dd/mm/yyyy)]]),"",YEARFRAC(Tabla1[[#This Row],[Fecha Nacimento (dd/mm/yyyy)]],TODAY()))</f>
        <v>33.319444444444443</v>
      </c>
      <c r="AW165" s="141"/>
      <c r="AX165" s="27" t="str">
        <f t="shared" si="5"/>
        <v/>
      </c>
    </row>
    <row r="166" spans="1:50" s="27" customFormat="1" x14ac:dyDescent="0.25">
      <c r="A166" s="134">
        <v>166</v>
      </c>
      <c r="B166" s="27" t="s">
        <v>1172</v>
      </c>
      <c r="C166" s="27" t="s">
        <v>1173</v>
      </c>
      <c r="D166" s="27" t="s">
        <v>141</v>
      </c>
      <c r="E166" s="403">
        <v>1113594027</v>
      </c>
      <c r="F166" s="27" t="s">
        <v>142</v>
      </c>
      <c r="G166" s="27" t="s">
        <v>143</v>
      </c>
      <c r="H166" s="136">
        <v>45139</v>
      </c>
      <c r="I166" s="136"/>
      <c r="J166" s="27" t="s">
        <v>144</v>
      </c>
      <c r="K166" s="137">
        <v>1300000</v>
      </c>
      <c r="L166" s="27" t="s">
        <v>164</v>
      </c>
      <c r="M166" s="135" t="s">
        <v>203</v>
      </c>
      <c r="N166" s="135" t="s">
        <v>145</v>
      </c>
      <c r="O166" s="139" t="s">
        <v>1174</v>
      </c>
      <c r="Q166" s="135" t="s">
        <v>205</v>
      </c>
      <c r="S166" s="135"/>
      <c r="T166" s="28"/>
      <c r="U166" s="37">
        <v>33214</v>
      </c>
      <c r="V166" s="27" t="s">
        <v>1175</v>
      </c>
      <c r="W166" s="27" t="s">
        <v>1176</v>
      </c>
      <c r="X166" s="27" t="s">
        <v>1177</v>
      </c>
      <c r="Y166" s="27" t="s">
        <v>172</v>
      </c>
      <c r="Z166" s="27" t="s">
        <v>232</v>
      </c>
      <c r="AA166" s="27" t="s">
        <v>211</v>
      </c>
      <c r="AB166" s="27" t="s">
        <v>186</v>
      </c>
      <c r="AC166" s="135" t="s">
        <v>271</v>
      </c>
      <c r="AD166" s="135" t="s">
        <v>271</v>
      </c>
      <c r="AE166" s="27" t="s">
        <v>344</v>
      </c>
      <c r="AF166" s="27" t="s">
        <v>176</v>
      </c>
      <c r="AG166" s="27" t="s">
        <v>177</v>
      </c>
      <c r="AH166" s="27" t="s">
        <v>164</v>
      </c>
      <c r="AI166" s="184"/>
      <c r="AJ166" s="27" t="s">
        <v>164</v>
      </c>
      <c r="AK166" s="27" t="s">
        <v>214</v>
      </c>
      <c r="AL166" s="27" t="s">
        <v>214</v>
      </c>
      <c r="AM166" s="27" t="s">
        <v>164</v>
      </c>
      <c r="AN166" s="27" t="s">
        <v>214</v>
      </c>
      <c r="AO166" s="27" t="s">
        <v>214</v>
      </c>
      <c r="AP166" s="136">
        <v>45290</v>
      </c>
      <c r="AQ166" s="27" t="s">
        <v>65</v>
      </c>
      <c r="AT166" s="27" t="str">
        <f t="shared" si="4"/>
        <v>Inactivo</v>
      </c>
      <c r="AU166" s="27" cm="1">
        <f t="array" aca="1" ref="AU166" ca="1">_xlfn.IFS(AT166="","",AT166="Activo",TODAY()-H166,AT166="Inactivo",AP166-H166)</f>
        <v>151</v>
      </c>
      <c r="AV166" s="180">
        <f ca="1">IF(ISBLANK(Tabla1[[#This Row],[Fecha Nacimento (dd/mm/yyyy)]]),"",YEARFRAC(Tabla1[[#This Row],[Fecha Nacimento (dd/mm/yyyy)]],TODAY()))</f>
        <v>33.527777777777779</v>
      </c>
      <c r="AW166" s="141"/>
      <c r="AX166" s="27" t="str">
        <f t="shared" si="5"/>
        <v/>
      </c>
    </row>
    <row r="167" spans="1:50" s="27" customFormat="1" x14ac:dyDescent="0.25">
      <c r="A167" s="134">
        <v>167</v>
      </c>
      <c r="B167" s="27" t="s">
        <v>663</v>
      </c>
      <c r="C167" s="27" t="s">
        <v>1178</v>
      </c>
      <c r="D167" s="27" t="s">
        <v>141</v>
      </c>
      <c r="E167" s="403">
        <v>66956964</v>
      </c>
      <c r="F167" s="27" t="s">
        <v>142</v>
      </c>
      <c r="G167" s="27" t="s">
        <v>143</v>
      </c>
      <c r="H167" s="136">
        <v>45139</v>
      </c>
      <c r="I167" s="136"/>
      <c r="J167" s="27" t="s">
        <v>144</v>
      </c>
      <c r="K167" s="137">
        <v>1300000</v>
      </c>
      <c r="L167" s="27" t="s">
        <v>145</v>
      </c>
      <c r="M167" s="135" t="s">
        <v>355</v>
      </c>
      <c r="N167" s="135" t="s">
        <v>145</v>
      </c>
      <c r="O167" s="139" t="s">
        <v>1179</v>
      </c>
      <c r="Q167" s="135" t="s">
        <v>205</v>
      </c>
      <c r="S167" s="135"/>
      <c r="T167" s="28"/>
      <c r="U167" s="37">
        <v>27710</v>
      </c>
      <c r="V167" s="27" t="s">
        <v>1180</v>
      </c>
      <c r="W167" s="27">
        <v>3224606724</v>
      </c>
      <c r="X167" s="27" t="s">
        <v>1181</v>
      </c>
      <c r="Y167" s="27" t="s">
        <v>1075</v>
      </c>
      <c r="Z167" s="27" t="s">
        <v>1182</v>
      </c>
      <c r="AA167" s="27" t="s">
        <v>543</v>
      </c>
      <c r="AB167" s="27" t="s">
        <v>158</v>
      </c>
      <c r="AC167" s="135" t="s">
        <v>1183</v>
      </c>
      <c r="AD167" s="135" t="s">
        <v>1183</v>
      </c>
      <c r="AE167" s="27" t="s">
        <v>1184</v>
      </c>
      <c r="AF167" s="27" t="s">
        <v>162</v>
      </c>
      <c r="AG167" s="27" t="s">
        <v>177</v>
      </c>
      <c r="AH167" s="27" t="s">
        <v>145</v>
      </c>
      <c r="AI167" s="184">
        <v>182828</v>
      </c>
      <c r="AJ167" s="27" t="s">
        <v>145</v>
      </c>
      <c r="AK167" s="27" t="s">
        <v>1069</v>
      </c>
      <c r="AL167" s="27" t="s">
        <v>145</v>
      </c>
      <c r="AM167" s="27" t="s">
        <v>145</v>
      </c>
      <c r="AN167" s="27" t="s">
        <v>1069</v>
      </c>
      <c r="AO167" s="27" t="s">
        <v>145</v>
      </c>
      <c r="AP167" s="136"/>
      <c r="AT167" s="27" t="str">
        <f t="shared" si="4"/>
        <v>Activo</v>
      </c>
      <c r="AU167" s="27" cm="1">
        <f t="array" aca="1" ref="AU167" ca="1">_xlfn.IFS(AT167="","",AT167="Activo",TODAY()-H167,AT167="Inactivo",AP167-H167)</f>
        <v>321</v>
      </c>
      <c r="AV167" s="180">
        <f ca="1">IF(ISBLANK(Tabla1[[#This Row],[Fecha Nacimento (dd/mm/yyyy)]]),"",YEARFRAC(Tabla1[[#This Row],[Fecha Nacimento (dd/mm/yyyy)]],TODAY()))</f>
        <v>48.597222222222221</v>
      </c>
      <c r="AW167" s="141"/>
      <c r="AX167" s="27" t="str">
        <f t="shared" si="5"/>
        <v/>
      </c>
    </row>
    <row r="168" spans="1:50" s="27" customFormat="1" x14ac:dyDescent="0.25">
      <c r="A168" s="134">
        <v>168</v>
      </c>
      <c r="B168" s="27" t="s">
        <v>1185</v>
      </c>
      <c r="C168" s="27" t="s">
        <v>1186</v>
      </c>
      <c r="D168" s="27" t="s">
        <v>141</v>
      </c>
      <c r="E168" s="403">
        <v>38604116</v>
      </c>
      <c r="F168" s="27" t="s">
        <v>142</v>
      </c>
      <c r="G168" s="27" t="s">
        <v>143</v>
      </c>
      <c r="H168" s="136">
        <v>45139</v>
      </c>
      <c r="I168" s="136"/>
      <c r="J168" s="27" t="s">
        <v>144</v>
      </c>
      <c r="K168" s="137">
        <v>1300000</v>
      </c>
      <c r="L168" s="27" t="s">
        <v>145</v>
      </c>
      <c r="M168" s="135" t="s">
        <v>355</v>
      </c>
      <c r="N168" s="135" t="s">
        <v>145</v>
      </c>
      <c r="O168" s="139" t="s">
        <v>1187</v>
      </c>
      <c r="Q168" s="135" t="s">
        <v>148</v>
      </c>
      <c r="R168" s="27" t="s">
        <v>149</v>
      </c>
      <c r="S168" s="135" t="s">
        <v>150</v>
      </c>
      <c r="T168" s="28" t="s">
        <v>1188</v>
      </c>
      <c r="U168" s="37">
        <v>30516</v>
      </c>
      <c r="V168" s="27" t="s">
        <v>1189</v>
      </c>
      <c r="W168" s="27">
        <v>3046572426</v>
      </c>
      <c r="X168" s="27" t="s">
        <v>1181</v>
      </c>
      <c r="Y168" s="27" t="s">
        <v>1075</v>
      </c>
      <c r="Z168" s="27" t="s">
        <v>1182</v>
      </c>
      <c r="AA168" s="27" t="s">
        <v>543</v>
      </c>
      <c r="AB168" s="27" t="s">
        <v>212</v>
      </c>
      <c r="AC168" s="135" t="s">
        <v>271</v>
      </c>
      <c r="AD168" s="135" t="s">
        <v>271</v>
      </c>
      <c r="AE168" s="27" t="s">
        <v>1184</v>
      </c>
      <c r="AF168" s="27" t="s">
        <v>162</v>
      </c>
      <c r="AG168" s="27" t="s">
        <v>177</v>
      </c>
      <c r="AH168" s="27" t="s">
        <v>145</v>
      </c>
      <c r="AI168" s="184">
        <v>207828</v>
      </c>
      <c r="AJ168" s="27" t="s">
        <v>145</v>
      </c>
      <c r="AK168" s="27" t="s">
        <v>1069</v>
      </c>
      <c r="AL168" s="27" t="s">
        <v>145</v>
      </c>
      <c r="AM168" s="27" t="s">
        <v>145</v>
      </c>
      <c r="AN168" s="27" t="s">
        <v>1069</v>
      </c>
      <c r="AO168" s="27" t="s">
        <v>145</v>
      </c>
      <c r="AP168" s="136">
        <v>45164</v>
      </c>
      <c r="AQ168" s="27" t="s">
        <v>1190</v>
      </c>
      <c r="AT168" s="27" t="str">
        <f t="shared" si="4"/>
        <v>Inactivo</v>
      </c>
      <c r="AU168" s="27" cm="1">
        <f t="array" aca="1" ref="AU168" ca="1">_xlfn.IFS(AT168="","",AT168="Activo",TODAY()-H168,AT168="Inactivo",AP168-H168)</f>
        <v>25</v>
      </c>
      <c r="AV168" s="180">
        <f ca="1">IF(ISBLANK(Tabla1[[#This Row],[Fecha Nacimento (dd/mm/yyyy)]]),"",YEARFRAC(Tabla1[[#This Row],[Fecha Nacimento (dd/mm/yyyy)]],TODAY()))</f>
        <v>40.911111111111111</v>
      </c>
      <c r="AW168" s="141"/>
      <c r="AX168" s="27" t="str">
        <f t="shared" si="5"/>
        <v/>
      </c>
    </row>
    <row r="169" spans="1:50" s="27" customFormat="1" x14ac:dyDescent="0.25">
      <c r="A169" s="134">
        <v>169</v>
      </c>
      <c r="B169" s="27" t="s">
        <v>1191</v>
      </c>
      <c r="C169" s="27" t="s">
        <v>1192</v>
      </c>
      <c r="D169" s="27" t="s">
        <v>141</v>
      </c>
      <c r="E169" s="403">
        <v>1094943773</v>
      </c>
      <c r="F169" s="27" t="s">
        <v>142</v>
      </c>
      <c r="G169" s="27" t="s">
        <v>143</v>
      </c>
      <c r="H169" s="136">
        <v>45141</v>
      </c>
      <c r="I169" s="136"/>
      <c r="J169" s="27" t="s">
        <v>144</v>
      </c>
      <c r="K169" s="137">
        <v>1300000</v>
      </c>
      <c r="L169" s="27" t="s">
        <v>145</v>
      </c>
      <c r="M169" s="27" t="s">
        <v>146</v>
      </c>
      <c r="N169" s="27" t="s">
        <v>145</v>
      </c>
      <c r="O169" s="139" t="s">
        <v>1193</v>
      </c>
      <c r="Q169" s="27" t="s">
        <v>148</v>
      </c>
      <c r="R169" s="27" t="s">
        <v>168</v>
      </c>
      <c r="S169" s="27" t="s">
        <v>150</v>
      </c>
      <c r="T169" s="28" t="s">
        <v>1194</v>
      </c>
      <c r="U169" s="37"/>
      <c r="V169" s="27" t="s">
        <v>1195</v>
      </c>
      <c r="W169" s="27">
        <v>3122111158</v>
      </c>
      <c r="X169" s="27" t="s">
        <v>979</v>
      </c>
      <c r="Y169" s="27" t="s">
        <v>172</v>
      </c>
      <c r="Z169" s="27" t="s">
        <v>552</v>
      </c>
      <c r="AA169" s="27" t="s">
        <v>174</v>
      </c>
      <c r="AB169" s="27" t="s">
        <v>259</v>
      </c>
      <c r="AC169" s="135" t="s">
        <v>159</v>
      </c>
      <c r="AD169" s="135" t="s">
        <v>160</v>
      </c>
      <c r="AE169" s="27" t="s">
        <v>161</v>
      </c>
      <c r="AF169" s="27" t="s">
        <v>176</v>
      </c>
      <c r="AG169" s="27" t="s">
        <v>177</v>
      </c>
      <c r="AH169" s="27" t="s">
        <v>164</v>
      </c>
      <c r="AI169" s="179"/>
      <c r="AP169" s="136">
        <v>45320</v>
      </c>
      <c r="AQ169" s="27" t="s">
        <v>52</v>
      </c>
      <c r="AT169" s="27" t="str">
        <f t="shared" si="4"/>
        <v>Inactivo</v>
      </c>
      <c r="AU169" s="27" cm="1">
        <f t="array" aca="1" ref="AU169" ca="1">_xlfn.IFS(AT169="","",AT169="Activo",TODAY()-H169,AT169="Inactivo",AP169-H169)</f>
        <v>179</v>
      </c>
      <c r="AV169" s="180" t="str">
        <f ca="1">IF(ISBLANK(Tabla1[[#This Row],[Fecha Nacimento (dd/mm/yyyy)]]),"",YEARFRAC(Tabla1[[#This Row],[Fecha Nacimento (dd/mm/yyyy)]],TODAY()))</f>
        <v/>
      </c>
      <c r="AW169" s="141"/>
      <c r="AX169" s="27" t="str">
        <f t="shared" si="5"/>
        <v/>
      </c>
    </row>
    <row r="170" spans="1:50" s="27" customFormat="1" x14ac:dyDescent="0.25">
      <c r="A170" s="134">
        <v>170</v>
      </c>
      <c r="B170" s="27" t="s">
        <v>1196</v>
      </c>
      <c r="C170" s="27" t="s">
        <v>1197</v>
      </c>
      <c r="D170" s="27" t="s">
        <v>141</v>
      </c>
      <c r="E170" s="403">
        <v>41948906</v>
      </c>
      <c r="F170" s="27" t="s">
        <v>142</v>
      </c>
      <c r="G170" s="27" t="s">
        <v>143</v>
      </c>
      <c r="H170" s="136">
        <v>45141</v>
      </c>
      <c r="I170" s="136"/>
      <c r="J170" s="27" t="s">
        <v>144</v>
      </c>
      <c r="K170" s="137">
        <v>1300000</v>
      </c>
      <c r="L170" s="27" t="s">
        <v>145</v>
      </c>
      <c r="M170" s="27" t="s">
        <v>146</v>
      </c>
      <c r="N170" s="27" t="s">
        <v>145</v>
      </c>
      <c r="O170" s="139" t="s">
        <v>1198</v>
      </c>
      <c r="Q170" s="27" t="s">
        <v>148</v>
      </c>
      <c r="R170" s="27" t="s">
        <v>168</v>
      </c>
      <c r="S170" s="27" t="s">
        <v>150</v>
      </c>
      <c r="T170" s="28" t="s">
        <v>1199</v>
      </c>
      <c r="U170" s="37">
        <v>28891</v>
      </c>
      <c r="V170" s="27" t="s">
        <v>1200</v>
      </c>
      <c r="W170" s="27">
        <v>3012730011</v>
      </c>
      <c r="X170" s="27" t="s">
        <v>979</v>
      </c>
      <c r="Y170" s="27" t="s">
        <v>543</v>
      </c>
      <c r="Z170" s="27" t="s">
        <v>559</v>
      </c>
      <c r="AA170" s="27" t="s">
        <v>1201</v>
      </c>
      <c r="AB170" s="27" t="s">
        <v>158</v>
      </c>
      <c r="AC170" s="135" t="s">
        <v>159</v>
      </c>
      <c r="AD170" s="135" t="s">
        <v>160</v>
      </c>
      <c r="AE170" s="27" t="s">
        <v>161</v>
      </c>
      <c r="AF170" s="27" t="s">
        <v>162</v>
      </c>
      <c r="AG170" s="27" t="s">
        <v>177</v>
      </c>
      <c r="AH170" s="27" t="s">
        <v>164</v>
      </c>
      <c r="AI170" s="179"/>
      <c r="AP170" s="136">
        <v>45322</v>
      </c>
      <c r="AQ170" s="27" t="s">
        <v>52</v>
      </c>
      <c r="AT170" s="27" t="str">
        <f t="shared" si="4"/>
        <v>Inactivo</v>
      </c>
      <c r="AU170" s="27" cm="1">
        <f t="array" aca="1" ref="AU170" ca="1">_xlfn.IFS(AT170="","",AT170="Activo",TODAY()-H170,AT170="Inactivo",AP170-H170)</f>
        <v>181</v>
      </c>
      <c r="AV170" s="180">
        <f ca="1">IF(ISBLANK(Tabla1[[#This Row],[Fecha Nacimento (dd/mm/yyyy)]]),"",YEARFRAC(Tabla1[[#This Row],[Fecha Nacimento (dd/mm/yyyy)]],TODAY()))</f>
        <v>45.366666666666667</v>
      </c>
      <c r="AW170" s="141"/>
      <c r="AX170" s="27" t="str">
        <f t="shared" si="5"/>
        <v/>
      </c>
    </row>
    <row r="171" spans="1:50" s="27" customFormat="1" x14ac:dyDescent="0.25">
      <c r="A171" s="134">
        <v>171</v>
      </c>
      <c r="B171" s="27" t="s">
        <v>444</v>
      </c>
      <c r="C171" s="27" t="s">
        <v>1202</v>
      </c>
      <c r="D171" s="27" t="s">
        <v>141</v>
      </c>
      <c r="E171" s="400">
        <v>79587698</v>
      </c>
      <c r="F171" s="27" t="s">
        <v>142</v>
      </c>
      <c r="G171" s="27" t="s">
        <v>143</v>
      </c>
      <c r="H171" s="136">
        <v>45143</v>
      </c>
      <c r="I171" s="136"/>
      <c r="J171" s="27" t="s">
        <v>144</v>
      </c>
      <c r="K171" s="137">
        <v>1300000</v>
      </c>
      <c r="L171" s="27" t="s">
        <v>145</v>
      </c>
      <c r="M171" s="27" t="s">
        <v>146</v>
      </c>
      <c r="O171" s="139" t="s">
        <v>1203</v>
      </c>
      <c r="Q171" s="27" t="s">
        <v>148</v>
      </c>
      <c r="R171" s="27" t="s">
        <v>149</v>
      </c>
      <c r="S171" s="27" t="s">
        <v>150</v>
      </c>
      <c r="T171" s="27" t="s">
        <v>1204</v>
      </c>
      <c r="U171" s="37">
        <v>25115</v>
      </c>
      <c r="V171" s="27" t="s">
        <v>1205</v>
      </c>
      <c r="W171" s="27">
        <v>3148606663</v>
      </c>
      <c r="X171" s="27" t="s">
        <v>154</v>
      </c>
      <c r="Y171" s="27" t="s">
        <v>543</v>
      </c>
      <c r="Z171" s="27" t="s">
        <v>559</v>
      </c>
      <c r="AA171" s="27" t="s">
        <v>1201</v>
      </c>
      <c r="AB171" s="27" t="s">
        <v>158</v>
      </c>
      <c r="AC171" s="27" t="s">
        <v>159</v>
      </c>
      <c r="AD171" s="27" t="s">
        <v>160</v>
      </c>
      <c r="AE171" s="27" t="s">
        <v>161</v>
      </c>
      <c r="AF171" s="27" t="s">
        <v>176</v>
      </c>
      <c r="AG171" s="27" t="s">
        <v>177</v>
      </c>
      <c r="AH171" s="27" t="s">
        <v>164</v>
      </c>
      <c r="AI171" s="179"/>
      <c r="AP171" s="136">
        <v>45320</v>
      </c>
      <c r="AQ171" s="27" t="s">
        <v>52</v>
      </c>
      <c r="AT171" s="27" t="str">
        <f t="shared" si="4"/>
        <v>Inactivo</v>
      </c>
      <c r="AU171" s="27" cm="1">
        <f t="array" aca="1" ref="AU171" ca="1">_xlfn.IFS(AT171="","",AT171="Activo",TODAY()-H171,AT171="Inactivo",AP171-H171)</f>
        <v>177</v>
      </c>
      <c r="AV171" s="180">
        <f ca="1">IF(ISBLANK(Tabla1[[#This Row],[Fecha Nacimento (dd/mm/yyyy)]]),"",YEARFRAC(Tabla1[[#This Row],[Fecha Nacimento (dd/mm/yyyy)]],TODAY()))</f>
        <v>55.702777777777776</v>
      </c>
      <c r="AW171" s="141"/>
      <c r="AX171" s="27" t="str">
        <f t="shared" si="5"/>
        <v/>
      </c>
    </row>
    <row r="172" spans="1:50" s="27" customFormat="1" x14ac:dyDescent="0.25">
      <c r="A172" s="134">
        <v>172</v>
      </c>
      <c r="B172" s="27" t="s">
        <v>1206</v>
      </c>
      <c r="C172" s="27" t="s">
        <v>1207</v>
      </c>
      <c r="D172" s="27" t="s">
        <v>141</v>
      </c>
      <c r="E172" s="403">
        <v>1006026309</v>
      </c>
      <c r="F172" s="27" t="s">
        <v>142</v>
      </c>
      <c r="G172" s="27" t="s">
        <v>959</v>
      </c>
      <c r="H172" s="136">
        <v>45146</v>
      </c>
      <c r="I172" s="136">
        <v>45207</v>
      </c>
      <c r="J172" s="27" t="s">
        <v>144</v>
      </c>
      <c r="K172" s="137">
        <v>1300000</v>
      </c>
      <c r="L172" s="27" t="s">
        <v>145</v>
      </c>
      <c r="M172" s="135" t="s">
        <v>203</v>
      </c>
      <c r="N172" s="27" t="s">
        <v>145</v>
      </c>
      <c r="O172" s="139" t="s">
        <v>1208</v>
      </c>
      <c r="Q172" s="27" t="s">
        <v>205</v>
      </c>
      <c r="T172" s="28"/>
      <c r="U172" s="37">
        <v>37885</v>
      </c>
      <c r="V172" s="27" t="s">
        <v>1209</v>
      </c>
      <c r="W172" s="27">
        <v>3137649743</v>
      </c>
      <c r="X172" s="27" t="s">
        <v>1210</v>
      </c>
      <c r="Y172" s="27" t="s">
        <v>172</v>
      </c>
      <c r="Z172" s="27" t="s">
        <v>1211</v>
      </c>
      <c r="AA172" s="27" t="s">
        <v>174</v>
      </c>
      <c r="AB172" s="27" t="s">
        <v>175</v>
      </c>
      <c r="AC172" s="135" t="s">
        <v>159</v>
      </c>
      <c r="AD172" s="27" t="s">
        <v>271</v>
      </c>
      <c r="AE172" s="27" t="s">
        <v>494</v>
      </c>
      <c r="AF172" s="27" t="s">
        <v>176</v>
      </c>
      <c r="AG172" s="27" t="s">
        <v>177</v>
      </c>
      <c r="AH172" s="27" t="s">
        <v>164</v>
      </c>
      <c r="AI172" s="184"/>
      <c r="AJ172" s="27" t="s">
        <v>164</v>
      </c>
      <c r="AK172" s="27" t="s">
        <v>214</v>
      </c>
      <c r="AL172" s="27" t="s">
        <v>164</v>
      </c>
      <c r="AM172" s="27" t="s">
        <v>164</v>
      </c>
      <c r="AN172" s="27" t="s">
        <v>214</v>
      </c>
      <c r="AO172" s="27" t="s">
        <v>164</v>
      </c>
      <c r="AP172" s="136">
        <v>45188</v>
      </c>
      <c r="AT172" s="27" t="str">
        <f t="shared" si="4"/>
        <v>Inactivo</v>
      </c>
      <c r="AU172" s="27" cm="1">
        <f t="array" aca="1" ref="AU172" ca="1">_xlfn.IFS(AT172="","",AT172="Activo",TODAY()-H172,AT172="Inactivo",AP172-H172)</f>
        <v>42</v>
      </c>
      <c r="AV172" s="180">
        <f ca="1">IF(ISBLANK(Tabla1[[#This Row],[Fecha Nacimento (dd/mm/yyyy)]]),"",YEARFRAC(Tabla1[[#This Row],[Fecha Nacimento (dd/mm/yyyy)]],TODAY()))</f>
        <v>20.738888888888887</v>
      </c>
      <c r="AW172" s="141"/>
      <c r="AX172" s="27" t="str">
        <f t="shared" si="5"/>
        <v/>
      </c>
    </row>
    <row r="173" spans="1:50" s="27" customFormat="1" x14ac:dyDescent="0.25">
      <c r="A173" s="134">
        <v>173</v>
      </c>
      <c r="B173" s="27" t="s">
        <v>1212</v>
      </c>
      <c r="C173" s="27" t="s">
        <v>1213</v>
      </c>
      <c r="D173" s="27" t="s">
        <v>141</v>
      </c>
      <c r="E173" s="403">
        <v>1020759137</v>
      </c>
      <c r="F173" s="27" t="s">
        <v>142</v>
      </c>
      <c r="G173" s="27" t="s">
        <v>959</v>
      </c>
      <c r="H173" s="136">
        <v>45146</v>
      </c>
      <c r="I173" s="136">
        <v>45207</v>
      </c>
      <c r="J173" s="27" t="s">
        <v>144</v>
      </c>
      <c r="K173" s="137">
        <v>2500000</v>
      </c>
      <c r="L173" s="27" t="s">
        <v>164</v>
      </c>
      <c r="M173" s="135" t="s">
        <v>262</v>
      </c>
      <c r="N173" s="27" t="s">
        <v>145</v>
      </c>
      <c r="O173" s="139" t="s">
        <v>1214</v>
      </c>
      <c r="Q173" s="135" t="s">
        <v>148</v>
      </c>
      <c r="R173" s="27" t="s">
        <v>149</v>
      </c>
      <c r="S173" s="135" t="s">
        <v>150</v>
      </c>
      <c r="T173" s="28" t="s">
        <v>1215</v>
      </c>
      <c r="U173" s="37">
        <v>33201</v>
      </c>
      <c r="V173" s="27" t="s">
        <v>1216</v>
      </c>
      <c r="W173" s="27">
        <v>3178303443</v>
      </c>
      <c r="X173" s="27" t="s">
        <v>751</v>
      </c>
      <c r="Y173" s="27" t="s">
        <v>155</v>
      </c>
      <c r="Z173" s="27" t="s">
        <v>1217</v>
      </c>
      <c r="AA173" s="27" t="s">
        <v>543</v>
      </c>
      <c r="AB173" s="27" t="s">
        <v>158</v>
      </c>
      <c r="AC173" s="135" t="s">
        <v>271</v>
      </c>
      <c r="AD173" s="135" t="s">
        <v>271</v>
      </c>
      <c r="AE173" s="27" t="s">
        <v>494</v>
      </c>
      <c r="AF173" s="27" t="s">
        <v>162</v>
      </c>
      <c r="AG173" s="27" t="s">
        <v>177</v>
      </c>
      <c r="AH173" s="27" t="s">
        <v>164</v>
      </c>
      <c r="AI173" s="179"/>
      <c r="AJ173" s="27" t="s">
        <v>164</v>
      </c>
      <c r="AK173" s="27" t="s">
        <v>214</v>
      </c>
      <c r="AL173" s="27" t="s">
        <v>164</v>
      </c>
      <c r="AM173" s="27" t="s">
        <v>164</v>
      </c>
      <c r="AN173" s="27" t="s">
        <v>214</v>
      </c>
      <c r="AO173" s="27" t="s">
        <v>164</v>
      </c>
      <c r="AP173" s="136">
        <v>45207</v>
      </c>
      <c r="AT173" s="27" t="str">
        <f t="shared" si="4"/>
        <v>Inactivo</v>
      </c>
      <c r="AU173" s="27" cm="1">
        <f t="array" aca="1" ref="AU173" ca="1">_xlfn.IFS(AT173="","",AT173="Activo",TODAY()-H173,AT173="Inactivo",AP173-H173)</f>
        <v>61</v>
      </c>
      <c r="AV173" s="180">
        <f ca="1">IF(ISBLANK(Tabla1[[#This Row],[Fecha Nacimento (dd/mm/yyyy)]]),"",YEARFRAC(Tabla1[[#This Row],[Fecha Nacimento (dd/mm/yyyy)]],TODAY()))</f>
        <v>33.56388888888889</v>
      </c>
      <c r="AW173" s="141"/>
      <c r="AX173" s="27" t="str">
        <f t="shared" si="5"/>
        <v/>
      </c>
    </row>
    <row r="174" spans="1:50" s="27" customFormat="1" x14ac:dyDescent="0.25">
      <c r="A174" s="134">
        <v>174</v>
      </c>
      <c r="B174" s="27" t="s">
        <v>1218</v>
      </c>
      <c r="C174" s="27" t="s">
        <v>1219</v>
      </c>
      <c r="D174" s="27" t="s">
        <v>141</v>
      </c>
      <c r="E174" s="404">
        <v>1006122517</v>
      </c>
      <c r="F174" s="27" t="s">
        <v>142</v>
      </c>
      <c r="G174" s="27" t="s">
        <v>959</v>
      </c>
      <c r="H174" s="136">
        <v>45146</v>
      </c>
      <c r="I174" s="136">
        <v>45207</v>
      </c>
      <c r="J174" s="27" t="s">
        <v>144</v>
      </c>
      <c r="K174" s="137">
        <v>1160000</v>
      </c>
      <c r="L174" s="27" t="s">
        <v>145</v>
      </c>
      <c r="M174" s="135" t="s">
        <v>203</v>
      </c>
      <c r="N174" s="27" t="s">
        <v>145</v>
      </c>
      <c r="O174" s="146" t="s">
        <v>1220</v>
      </c>
      <c r="Q174" s="27" t="s">
        <v>205</v>
      </c>
      <c r="T174" s="28"/>
      <c r="U174" s="37">
        <v>38465</v>
      </c>
      <c r="V174" s="183" t="s">
        <v>1221</v>
      </c>
      <c r="W174" s="183">
        <v>3166740395</v>
      </c>
      <c r="X174" s="27" t="s">
        <v>1210</v>
      </c>
      <c r="Y174" s="27" t="s">
        <v>172</v>
      </c>
      <c r="Z174" s="27" t="s">
        <v>1222</v>
      </c>
      <c r="AA174" s="27" t="s">
        <v>174</v>
      </c>
      <c r="AB174" s="27" t="s">
        <v>175</v>
      </c>
      <c r="AC174" s="135" t="s">
        <v>160</v>
      </c>
      <c r="AD174" s="135" t="s">
        <v>160</v>
      </c>
      <c r="AE174" s="27" t="s">
        <v>494</v>
      </c>
      <c r="AF174" s="27" t="s">
        <v>176</v>
      </c>
      <c r="AG174" s="27" t="s">
        <v>177</v>
      </c>
      <c r="AH174" s="27" t="s">
        <v>164</v>
      </c>
      <c r="AI174" s="184"/>
      <c r="AJ174" s="27" t="s">
        <v>164</v>
      </c>
      <c r="AK174" s="27" t="s">
        <v>214</v>
      </c>
      <c r="AL174" s="27" t="s">
        <v>164</v>
      </c>
      <c r="AM174" s="27" t="s">
        <v>164</v>
      </c>
      <c r="AN174" s="27" t="s">
        <v>214</v>
      </c>
      <c r="AO174" s="27" t="s">
        <v>164</v>
      </c>
      <c r="AP174" s="136">
        <v>45188</v>
      </c>
      <c r="AT174" s="27" t="str">
        <f t="shared" si="4"/>
        <v>Inactivo</v>
      </c>
      <c r="AU174" s="27" cm="1">
        <f t="array" aca="1" ref="AU174" ca="1">_xlfn.IFS(AT174="","",AT174="Activo",TODAY()-H174,AT174="Inactivo",AP174-H174)</f>
        <v>42</v>
      </c>
      <c r="AV174" s="180">
        <f ca="1">IF(ISBLANK(Tabla1[[#This Row],[Fecha Nacimento (dd/mm/yyyy)]]),"",YEARFRAC(Tabla1[[#This Row],[Fecha Nacimento (dd/mm/yyyy)]],TODAY()))</f>
        <v>19.149999999999999</v>
      </c>
      <c r="AW174" s="141"/>
      <c r="AX174" s="27" t="str">
        <f t="shared" si="5"/>
        <v/>
      </c>
    </row>
    <row r="175" spans="1:50" s="27" customFormat="1" x14ac:dyDescent="0.25">
      <c r="A175" s="134">
        <v>175</v>
      </c>
      <c r="B175" s="27" t="s">
        <v>1223</v>
      </c>
      <c r="C175" s="27" t="s">
        <v>1224</v>
      </c>
      <c r="D175" s="27" t="s">
        <v>141</v>
      </c>
      <c r="E175" s="404">
        <v>1109265590</v>
      </c>
      <c r="F175" s="27" t="s">
        <v>142</v>
      </c>
      <c r="G175" s="27" t="s">
        <v>959</v>
      </c>
      <c r="H175" s="136">
        <v>45146</v>
      </c>
      <c r="I175" s="136">
        <v>45207</v>
      </c>
      <c r="J175" s="27" t="s">
        <v>144</v>
      </c>
      <c r="K175" s="137">
        <v>1160000</v>
      </c>
      <c r="L175" s="27" t="s">
        <v>145</v>
      </c>
      <c r="M175" s="135" t="s">
        <v>203</v>
      </c>
      <c r="N175" s="27" t="s">
        <v>145</v>
      </c>
      <c r="O175" s="146" t="s">
        <v>1225</v>
      </c>
      <c r="Q175" s="27" t="s">
        <v>205</v>
      </c>
      <c r="T175" s="28"/>
      <c r="U175" s="37">
        <v>34451</v>
      </c>
      <c r="V175" s="183" t="s">
        <v>1226</v>
      </c>
      <c r="W175" s="183">
        <v>3242074296</v>
      </c>
      <c r="X175" s="27" t="s">
        <v>1227</v>
      </c>
      <c r="Y175" s="27" t="s">
        <v>172</v>
      </c>
      <c r="Z175" s="27" t="s">
        <v>1222</v>
      </c>
      <c r="AA175" s="27" t="s">
        <v>174</v>
      </c>
      <c r="AB175" s="27" t="s">
        <v>493</v>
      </c>
      <c r="AC175" s="135" t="s">
        <v>160</v>
      </c>
      <c r="AD175" s="135" t="s">
        <v>160</v>
      </c>
      <c r="AE175" s="27" t="s">
        <v>494</v>
      </c>
      <c r="AF175" s="27" t="s">
        <v>162</v>
      </c>
      <c r="AG175" s="27" t="s">
        <v>177</v>
      </c>
      <c r="AH175" s="27" t="s">
        <v>164</v>
      </c>
      <c r="AI175" s="184"/>
      <c r="AJ175" s="27" t="s">
        <v>164</v>
      </c>
      <c r="AK175" s="27" t="s">
        <v>214</v>
      </c>
      <c r="AL175" s="27" t="s">
        <v>164</v>
      </c>
      <c r="AM175" s="27" t="s">
        <v>164</v>
      </c>
      <c r="AN175" s="27" t="s">
        <v>214</v>
      </c>
      <c r="AO175" s="27" t="s">
        <v>164</v>
      </c>
      <c r="AP175" s="136">
        <v>45197</v>
      </c>
      <c r="AT175" s="27" t="str">
        <f t="shared" si="4"/>
        <v>Inactivo</v>
      </c>
      <c r="AU175" s="27" cm="1">
        <f t="array" aca="1" ref="AU175" ca="1">_xlfn.IFS(AT175="","",AT175="Activo",TODAY()-H175,AT175="Inactivo",AP175-H175)</f>
        <v>51</v>
      </c>
      <c r="AV175" s="180">
        <f ca="1">IF(ISBLANK(Tabla1[[#This Row],[Fecha Nacimento (dd/mm/yyyy)]]),"",YEARFRAC(Tabla1[[#This Row],[Fecha Nacimento (dd/mm/yyyy)]],TODAY()))</f>
        <v>30.138888888888889</v>
      </c>
      <c r="AW175" s="141"/>
      <c r="AX175" s="27" t="str">
        <f t="shared" si="5"/>
        <v/>
      </c>
    </row>
    <row r="176" spans="1:50" s="27" customFormat="1" x14ac:dyDescent="0.25">
      <c r="A176" s="134">
        <v>176</v>
      </c>
      <c r="B176" s="27" t="s">
        <v>1228</v>
      </c>
      <c r="C176" s="27" t="s">
        <v>1229</v>
      </c>
      <c r="D176" s="27" t="s">
        <v>141</v>
      </c>
      <c r="E176" s="404">
        <v>1005824702</v>
      </c>
      <c r="F176" s="27" t="s">
        <v>142</v>
      </c>
      <c r="G176" s="27" t="s">
        <v>959</v>
      </c>
      <c r="H176" s="136">
        <v>45146</v>
      </c>
      <c r="I176" s="136">
        <v>45207</v>
      </c>
      <c r="J176" s="27" t="s">
        <v>144</v>
      </c>
      <c r="K176" s="137">
        <v>1160000</v>
      </c>
      <c r="L176" s="27" t="s">
        <v>145</v>
      </c>
      <c r="M176" s="135" t="s">
        <v>203</v>
      </c>
      <c r="N176" s="27" t="s">
        <v>145</v>
      </c>
      <c r="O176" s="146" t="s">
        <v>1230</v>
      </c>
      <c r="Q176" s="27" t="s">
        <v>205</v>
      </c>
      <c r="T176" s="28"/>
      <c r="U176" s="37">
        <v>37076</v>
      </c>
      <c r="V176" s="183" t="s">
        <v>1231</v>
      </c>
      <c r="W176" s="183">
        <v>3142711064</v>
      </c>
      <c r="X176" s="27" t="s">
        <v>1227</v>
      </c>
      <c r="Y176" s="27" t="s">
        <v>172</v>
      </c>
      <c r="Z176" s="27" t="s">
        <v>1211</v>
      </c>
      <c r="AA176" s="27" t="s">
        <v>174</v>
      </c>
      <c r="AB176" s="27" t="s">
        <v>175</v>
      </c>
      <c r="AC176" s="135" t="s">
        <v>159</v>
      </c>
      <c r="AE176" s="27" t="s">
        <v>494</v>
      </c>
      <c r="AF176" s="27" t="s">
        <v>162</v>
      </c>
      <c r="AG176" s="27" t="s">
        <v>177</v>
      </c>
      <c r="AH176" s="27" t="s">
        <v>164</v>
      </c>
      <c r="AI176" s="184"/>
      <c r="AJ176" s="27" t="s">
        <v>164</v>
      </c>
      <c r="AK176" s="27" t="s">
        <v>214</v>
      </c>
      <c r="AL176" s="27" t="s">
        <v>164</v>
      </c>
      <c r="AM176" s="27" t="s">
        <v>164</v>
      </c>
      <c r="AN176" s="27" t="s">
        <v>214</v>
      </c>
      <c r="AO176" s="27" t="s">
        <v>164</v>
      </c>
      <c r="AP176" s="136">
        <v>45197</v>
      </c>
      <c r="AT176" s="27" t="str">
        <f t="shared" si="4"/>
        <v>Inactivo</v>
      </c>
      <c r="AU176" s="27" cm="1">
        <f t="array" aca="1" ref="AU176" ca="1">_xlfn.IFS(AT176="","",AT176="Activo",TODAY()-H176,AT176="Inactivo",AP176-H176)</f>
        <v>51</v>
      </c>
      <c r="AV176" s="180">
        <f ca="1">IF(ISBLANK(Tabla1[[#This Row],[Fecha Nacimento (dd/mm/yyyy)]]),"",YEARFRAC(Tabla1[[#This Row],[Fecha Nacimento (dd/mm/yyyy)]],TODAY()))</f>
        <v>22.952777777777779</v>
      </c>
      <c r="AW176" s="141"/>
      <c r="AX176" s="27" t="str">
        <f t="shared" si="5"/>
        <v/>
      </c>
    </row>
    <row r="177" spans="1:50" s="27" customFormat="1" x14ac:dyDescent="0.25">
      <c r="A177" s="134">
        <v>177</v>
      </c>
      <c r="B177" s="27" t="s">
        <v>1232</v>
      </c>
      <c r="C177" s="27" t="s">
        <v>1233</v>
      </c>
      <c r="D177" s="27" t="s">
        <v>141</v>
      </c>
      <c r="E177" s="404">
        <v>25282043</v>
      </c>
      <c r="F177" s="27" t="s">
        <v>142</v>
      </c>
      <c r="G177" s="27" t="s">
        <v>959</v>
      </c>
      <c r="H177" s="136">
        <v>45146</v>
      </c>
      <c r="I177" s="136">
        <v>45207</v>
      </c>
      <c r="J177" s="27" t="s">
        <v>144</v>
      </c>
      <c r="K177" s="137">
        <v>1160000</v>
      </c>
      <c r="L177" s="27" t="s">
        <v>145</v>
      </c>
      <c r="M177" s="135" t="s">
        <v>203</v>
      </c>
      <c r="N177" s="27" t="s">
        <v>145</v>
      </c>
      <c r="O177" s="146" t="s">
        <v>1234</v>
      </c>
      <c r="Q177" s="27" t="s">
        <v>205</v>
      </c>
      <c r="T177" s="28"/>
      <c r="U177" s="37">
        <v>28035</v>
      </c>
      <c r="V177" s="183" t="s">
        <v>1235</v>
      </c>
      <c r="W177" s="183">
        <v>3507099101</v>
      </c>
      <c r="X177" s="27" t="s">
        <v>1236</v>
      </c>
      <c r="Y177" s="27" t="s">
        <v>172</v>
      </c>
      <c r="Z177" s="27" t="s">
        <v>1222</v>
      </c>
      <c r="AA177" s="27" t="s">
        <v>174</v>
      </c>
      <c r="AB177" s="27" t="s">
        <v>259</v>
      </c>
      <c r="AC177" s="135" t="s">
        <v>271</v>
      </c>
      <c r="AD177" s="135" t="s">
        <v>271</v>
      </c>
      <c r="AE177" s="27" t="s">
        <v>494</v>
      </c>
      <c r="AF177" s="27" t="s">
        <v>162</v>
      </c>
      <c r="AG177" s="27" t="s">
        <v>177</v>
      </c>
      <c r="AH177" s="27" t="s">
        <v>164</v>
      </c>
      <c r="AI177" s="184"/>
      <c r="AJ177" s="27" t="s">
        <v>164</v>
      </c>
      <c r="AK177" s="27" t="s">
        <v>214</v>
      </c>
      <c r="AL177" s="27" t="s">
        <v>164</v>
      </c>
      <c r="AM177" s="27" t="s">
        <v>164</v>
      </c>
      <c r="AN177" s="27" t="s">
        <v>214</v>
      </c>
      <c r="AO177" s="27" t="s">
        <v>164</v>
      </c>
      <c r="AP177" s="136">
        <v>45163</v>
      </c>
      <c r="AT177" s="27" t="str">
        <f t="shared" si="4"/>
        <v>Inactivo</v>
      </c>
      <c r="AU177" s="27" cm="1">
        <f t="array" aca="1" ref="AU177" ca="1">_xlfn.IFS(AT177="","",AT177="Activo",TODAY()-H177,AT177="Inactivo",AP177-H177)</f>
        <v>17</v>
      </c>
      <c r="AV177" s="180">
        <f ca="1">IF(ISBLANK(Tabla1[[#This Row],[Fecha Nacimento (dd/mm/yyyy)]]),"",YEARFRAC(Tabla1[[#This Row],[Fecha Nacimento (dd/mm/yyyy)]],TODAY()))</f>
        <v>47.708333333333336</v>
      </c>
      <c r="AW177" s="141"/>
    </row>
    <row r="178" spans="1:50" s="27" customFormat="1" x14ac:dyDescent="0.25">
      <c r="A178" s="134">
        <v>178</v>
      </c>
      <c r="B178" s="27" t="s">
        <v>1237</v>
      </c>
      <c r="C178" s="27" t="s">
        <v>1238</v>
      </c>
      <c r="D178" s="27" t="s">
        <v>141</v>
      </c>
      <c r="E178" s="404">
        <v>1003864700</v>
      </c>
      <c r="F178" s="27" t="s">
        <v>142</v>
      </c>
      <c r="G178" s="27" t="s">
        <v>959</v>
      </c>
      <c r="H178" s="136">
        <v>45146</v>
      </c>
      <c r="I178" s="136">
        <v>45207</v>
      </c>
      <c r="J178" s="27" t="s">
        <v>144</v>
      </c>
      <c r="K178" s="137">
        <v>1300000</v>
      </c>
      <c r="L178" s="27" t="s">
        <v>145</v>
      </c>
      <c r="M178" s="135" t="s">
        <v>203</v>
      </c>
      <c r="N178" s="27" t="s">
        <v>145</v>
      </c>
      <c r="O178" s="146" t="s">
        <v>1239</v>
      </c>
      <c r="Q178" s="27" t="s">
        <v>205</v>
      </c>
      <c r="T178" s="28"/>
      <c r="U178" s="37">
        <v>37068</v>
      </c>
      <c r="V178" s="183" t="s">
        <v>1240</v>
      </c>
      <c r="W178" s="183">
        <v>3209111468</v>
      </c>
      <c r="X178" s="27" t="s">
        <v>1241</v>
      </c>
      <c r="Y178" s="27" t="s">
        <v>172</v>
      </c>
      <c r="Z178" s="27" t="s">
        <v>32</v>
      </c>
      <c r="AA178" s="27" t="s">
        <v>174</v>
      </c>
      <c r="AB178" s="27" t="s">
        <v>1242</v>
      </c>
      <c r="AC178" s="135" t="s">
        <v>160</v>
      </c>
      <c r="AD178" s="135" t="s">
        <v>160</v>
      </c>
      <c r="AE178" s="27" t="s">
        <v>494</v>
      </c>
      <c r="AF178" s="27" t="s">
        <v>176</v>
      </c>
      <c r="AG178" s="27" t="s">
        <v>177</v>
      </c>
      <c r="AH178" s="27" t="s">
        <v>164</v>
      </c>
      <c r="AI178" s="184"/>
      <c r="AJ178" s="27" t="s">
        <v>164</v>
      </c>
      <c r="AK178" s="27" t="s">
        <v>214</v>
      </c>
      <c r="AL178" s="27" t="s">
        <v>164</v>
      </c>
      <c r="AM178" s="27" t="s">
        <v>164</v>
      </c>
      <c r="AN178" s="27" t="s">
        <v>214</v>
      </c>
      <c r="AO178" s="27" t="s">
        <v>164</v>
      </c>
      <c r="AP178" s="136">
        <v>45188</v>
      </c>
      <c r="AT178" s="27" t="str">
        <f t="shared" si="4"/>
        <v>Inactivo</v>
      </c>
      <c r="AU178" s="27" cm="1">
        <f t="array" aca="1" ref="AU178" ca="1">_xlfn.IFS(AT178="","",AT178="Activo",TODAY()-H178,AT178="Inactivo",AP178-H178)</f>
        <v>42</v>
      </c>
      <c r="AV178" s="180">
        <f ca="1">IF(ISBLANK(Tabla1[[#This Row],[Fecha Nacimento (dd/mm/yyyy)]]),"",YEARFRAC(Tabla1[[#This Row],[Fecha Nacimento (dd/mm/yyyy)]],TODAY()))</f>
        <v>22.975000000000001</v>
      </c>
      <c r="AW178" s="141"/>
      <c r="AX178" s="27" t="str">
        <f t="shared" si="5"/>
        <v/>
      </c>
    </row>
    <row r="179" spans="1:50" s="27" customFormat="1" x14ac:dyDescent="0.25">
      <c r="A179" s="134">
        <v>179</v>
      </c>
      <c r="B179" s="27" t="s">
        <v>1243</v>
      </c>
      <c r="C179" s="27" t="s">
        <v>1244</v>
      </c>
      <c r="D179" s="27" t="s">
        <v>141</v>
      </c>
      <c r="E179" s="404">
        <v>1005827240</v>
      </c>
      <c r="F179" s="27" t="s">
        <v>142</v>
      </c>
      <c r="G179" s="27" t="s">
        <v>959</v>
      </c>
      <c r="H179" s="136">
        <v>45146</v>
      </c>
      <c r="I179" s="136">
        <v>45207</v>
      </c>
      <c r="J179" s="27" t="s">
        <v>144</v>
      </c>
      <c r="K179" s="137">
        <v>1160000</v>
      </c>
      <c r="L179" s="27" t="s">
        <v>145</v>
      </c>
      <c r="M179" s="135" t="s">
        <v>203</v>
      </c>
      <c r="N179" s="27" t="s">
        <v>145</v>
      </c>
      <c r="O179" s="146" t="s">
        <v>1245</v>
      </c>
      <c r="Q179" s="27" t="s">
        <v>205</v>
      </c>
      <c r="T179" s="28"/>
      <c r="U179" s="37">
        <v>37241</v>
      </c>
      <c r="V179" s="183" t="s">
        <v>1246</v>
      </c>
      <c r="W179" s="183">
        <v>3162398497</v>
      </c>
      <c r="X179" s="27" t="s">
        <v>1210</v>
      </c>
      <c r="Y179" s="27" t="s">
        <v>172</v>
      </c>
      <c r="Z179" s="27" t="s">
        <v>1211</v>
      </c>
      <c r="AA179" s="27" t="s">
        <v>174</v>
      </c>
      <c r="AB179" s="27" t="s">
        <v>175</v>
      </c>
      <c r="AC179" s="135" t="s">
        <v>160</v>
      </c>
      <c r="AD179" s="135" t="s">
        <v>160</v>
      </c>
      <c r="AE179" s="27" t="s">
        <v>494</v>
      </c>
      <c r="AF179" s="27" t="s">
        <v>176</v>
      </c>
      <c r="AG179" s="27" t="s">
        <v>177</v>
      </c>
      <c r="AH179" s="27" t="s">
        <v>164</v>
      </c>
      <c r="AI179" s="184"/>
      <c r="AJ179" s="27" t="s">
        <v>164</v>
      </c>
      <c r="AK179" s="27" t="s">
        <v>214</v>
      </c>
      <c r="AL179" s="27" t="s">
        <v>164</v>
      </c>
      <c r="AM179" s="27" t="s">
        <v>164</v>
      </c>
      <c r="AN179" s="27" t="s">
        <v>214</v>
      </c>
      <c r="AO179" s="27" t="s">
        <v>164</v>
      </c>
      <c r="AP179" s="136">
        <v>45188</v>
      </c>
      <c r="AT179" s="27" t="str">
        <f t="shared" si="4"/>
        <v>Inactivo</v>
      </c>
      <c r="AU179" s="27" cm="1">
        <f t="array" aca="1" ref="AU179" ca="1">_xlfn.IFS(AT179="","",AT179="Activo",TODAY()-H179,AT179="Inactivo",AP179-H179)</f>
        <v>42</v>
      </c>
      <c r="AV179" s="180">
        <f ca="1">IF(ISBLANK(Tabla1[[#This Row],[Fecha Nacimento (dd/mm/yyyy)]]),"",YEARFRAC(Tabla1[[#This Row],[Fecha Nacimento (dd/mm/yyyy)]],TODAY()))</f>
        <v>22.502777777777776</v>
      </c>
      <c r="AW179" s="141"/>
      <c r="AX179" s="27" t="str">
        <f t="shared" si="5"/>
        <v/>
      </c>
    </row>
    <row r="180" spans="1:50" s="27" customFormat="1" x14ac:dyDescent="0.25">
      <c r="A180" s="134">
        <v>180</v>
      </c>
      <c r="B180" s="27" t="s">
        <v>1247</v>
      </c>
      <c r="C180" s="27" t="s">
        <v>1248</v>
      </c>
      <c r="D180" s="27" t="s">
        <v>141</v>
      </c>
      <c r="E180" s="404">
        <v>1075221480</v>
      </c>
      <c r="F180" s="27" t="s">
        <v>142</v>
      </c>
      <c r="G180" s="27" t="s">
        <v>959</v>
      </c>
      <c r="H180" s="136">
        <v>45146</v>
      </c>
      <c r="I180" s="136">
        <v>45207</v>
      </c>
      <c r="J180" s="27" t="s">
        <v>144</v>
      </c>
      <c r="K180" s="137">
        <v>1160000</v>
      </c>
      <c r="L180" s="27" t="s">
        <v>145</v>
      </c>
      <c r="M180" s="135" t="s">
        <v>203</v>
      </c>
      <c r="N180" s="27" t="s">
        <v>145</v>
      </c>
      <c r="O180" s="146" t="s">
        <v>1249</v>
      </c>
      <c r="Q180" s="27" t="s">
        <v>205</v>
      </c>
      <c r="T180" s="28"/>
      <c r="U180" s="37">
        <v>38498</v>
      </c>
      <c r="V180" s="190" t="s">
        <v>1250</v>
      </c>
      <c r="W180" s="190">
        <v>3209602901</v>
      </c>
      <c r="X180" s="27" t="s">
        <v>1236</v>
      </c>
      <c r="Y180" s="27" t="s">
        <v>172</v>
      </c>
      <c r="Z180" s="27" t="s">
        <v>1211</v>
      </c>
      <c r="AA180" s="27" t="s">
        <v>174</v>
      </c>
      <c r="AB180" s="27" t="s">
        <v>175</v>
      </c>
      <c r="AC180" s="135" t="s">
        <v>159</v>
      </c>
      <c r="AD180" s="135" t="s">
        <v>271</v>
      </c>
      <c r="AE180" s="27" t="s">
        <v>494</v>
      </c>
      <c r="AF180" s="27" t="s">
        <v>176</v>
      </c>
      <c r="AG180" s="27" t="s">
        <v>177</v>
      </c>
      <c r="AH180" s="27" t="s">
        <v>164</v>
      </c>
      <c r="AI180" s="184"/>
      <c r="AJ180" s="27" t="s">
        <v>164</v>
      </c>
      <c r="AK180" s="27" t="s">
        <v>214</v>
      </c>
      <c r="AL180" s="27" t="s">
        <v>164</v>
      </c>
      <c r="AM180" s="27" t="s">
        <v>164</v>
      </c>
      <c r="AN180" s="27" t="s">
        <v>214</v>
      </c>
      <c r="AO180" s="27" t="s">
        <v>164</v>
      </c>
      <c r="AP180" s="136">
        <v>45163</v>
      </c>
      <c r="AT180" s="27" t="str">
        <f t="shared" si="4"/>
        <v>Inactivo</v>
      </c>
      <c r="AU180" s="27" cm="1">
        <f t="array" aca="1" ref="AU180" ca="1">_xlfn.IFS(AT180="","",AT180="Activo",TODAY()-H180,AT180="Inactivo",AP180-H180)</f>
        <v>17</v>
      </c>
      <c r="AV180" s="180">
        <f ca="1">IF(ISBLANK(Tabla1[[#This Row],[Fecha Nacimento (dd/mm/yyyy)]]),"",YEARFRAC(Tabla1[[#This Row],[Fecha Nacimento (dd/mm/yyyy)]],TODAY()))</f>
        <v>19.058333333333334</v>
      </c>
      <c r="AW180" s="141"/>
      <c r="AX180" s="27" t="str">
        <f t="shared" si="5"/>
        <v/>
      </c>
    </row>
    <row r="181" spans="1:50" s="27" customFormat="1" x14ac:dyDescent="0.25">
      <c r="A181" s="134">
        <v>181</v>
      </c>
      <c r="B181" s="27" t="s">
        <v>1251</v>
      </c>
      <c r="C181" s="27" t="s">
        <v>1252</v>
      </c>
      <c r="D181" s="27" t="s">
        <v>141</v>
      </c>
      <c r="E181" s="404">
        <v>1007438723</v>
      </c>
      <c r="F181" s="27" t="s">
        <v>142</v>
      </c>
      <c r="G181" s="27" t="s">
        <v>959</v>
      </c>
      <c r="H181" s="136">
        <v>45146</v>
      </c>
      <c r="I181" s="136">
        <v>45207</v>
      </c>
      <c r="J181" s="27" t="s">
        <v>144</v>
      </c>
      <c r="K181" s="137">
        <v>1160000</v>
      </c>
      <c r="L181" s="27" t="s">
        <v>145</v>
      </c>
      <c r="M181" s="135" t="s">
        <v>203</v>
      </c>
      <c r="N181" s="27" t="s">
        <v>145</v>
      </c>
      <c r="O181" s="146" t="s">
        <v>1253</v>
      </c>
      <c r="Q181" s="27" t="s">
        <v>205</v>
      </c>
      <c r="T181" s="28"/>
      <c r="U181" s="37"/>
      <c r="V181" s="183" t="s">
        <v>1254</v>
      </c>
      <c r="W181" s="183">
        <v>3124742351</v>
      </c>
      <c r="X181" s="27" t="s">
        <v>1227</v>
      </c>
      <c r="Y181" s="27" t="s">
        <v>172</v>
      </c>
      <c r="Z181" s="27" t="s">
        <v>1211</v>
      </c>
      <c r="AA181" s="27" t="s">
        <v>174</v>
      </c>
      <c r="AB181" s="27" t="s">
        <v>259</v>
      </c>
      <c r="AC181" s="135" t="s">
        <v>159</v>
      </c>
      <c r="AD181" s="135"/>
      <c r="AE181" s="27" t="s">
        <v>494</v>
      </c>
      <c r="AF181" s="27" t="s">
        <v>176</v>
      </c>
      <c r="AG181" s="27" t="s">
        <v>177</v>
      </c>
      <c r="AH181" s="27" t="s">
        <v>164</v>
      </c>
      <c r="AI181" s="184"/>
      <c r="AJ181" s="27" t="s">
        <v>164</v>
      </c>
      <c r="AK181" s="27" t="s">
        <v>214</v>
      </c>
      <c r="AL181" s="27" t="s">
        <v>164</v>
      </c>
      <c r="AM181" s="27" t="s">
        <v>164</v>
      </c>
      <c r="AN181" s="27" t="s">
        <v>214</v>
      </c>
      <c r="AO181" s="27" t="s">
        <v>164</v>
      </c>
      <c r="AP181" s="136">
        <v>45197</v>
      </c>
      <c r="AT181" s="27" t="str">
        <f t="shared" si="4"/>
        <v>Inactivo</v>
      </c>
      <c r="AU181" s="27" cm="1">
        <f t="array" aca="1" ref="AU181" ca="1">_xlfn.IFS(AT181="","",AT181="Activo",TODAY()-H181,AT181="Inactivo",AP181-H181)</f>
        <v>51</v>
      </c>
      <c r="AV181" s="180" t="str">
        <f ca="1">IF(ISBLANK(Tabla1[[#This Row],[Fecha Nacimento (dd/mm/yyyy)]]),"",YEARFRAC(Tabla1[[#This Row],[Fecha Nacimento (dd/mm/yyyy)]],TODAY()))</f>
        <v/>
      </c>
      <c r="AW181" s="141"/>
      <c r="AX181" s="27" t="str">
        <f t="shared" si="5"/>
        <v/>
      </c>
    </row>
    <row r="182" spans="1:50" s="27" customFormat="1" x14ac:dyDescent="0.25">
      <c r="A182" s="134">
        <v>182</v>
      </c>
      <c r="B182" s="27" t="s">
        <v>1255</v>
      </c>
      <c r="C182" s="27" t="s">
        <v>1256</v>
      </c>
      <c r="D182" s="27" t="s">
        <v>141</v>
      </c>
      <c r="E182" s="404">
        <v>1026586173</v>
      </c>
      <c r="F182" s="27" t="s">
        <v>142</v>
      </c>
      <c r="G182" s="27" t="s">
        <v>959</v>
      </c>
      <c r="H182" s="136">
        <v>45146</v>
      </c>
      <c r="I182" s="136">
        <v>45207</v>
      </c>
      <c r="J182" s="27" t="s">
        <v>144</v>
      </c>
      <c r="K182" s="137">
        <v>1300000</v>
      </c>
      <c r="L182" s="27" t="s">
        <v>145</v>
      </c>
      <c r="M182" s="135" t="s">
        <v>203</v>
      </c>
      <c r="N182" s="27" t="s">
        <v>145</v>
      </c>
      <c r="O182" s="146" t="s">
        <v>1257</v>
      </c>
      <c r="Q182" s="27" t="s">
        <v>205</v>
      </c>
      <c r="T182" s="28"/>
      <c r="U182" s="37"/>
      <c r="V182" s="183" t="s">
        <v>1258</v>
      </c>
      <c r="W182" s="183">
        <v>3156446330</v>
      </c>
      <c r="X182" s="27" t="s">
        <v>1227</v>
      </c>
      <c r="Y182" s="27" t="s">
        <v>172</v>
      </c>
      <c r="Z182" s="27" t="s">
        <v>32</v>
      </c>
      <c r="AA182" s="27" t="s">
        <v>174</v>
      </c>
      <c r="AB182" s="27" t="s">
        <v>175</v>
      </c>
      <c r="AC182" s="135" t="s">
        <v>160</v>
      </c>
      <c r="AD182" s="135" t="s">
        <v>160</v>
      </c>
      <c r="AE182" s="27" t="s">
        <v>494</v>
      </c>
      <c r="AF182" s="27" t="s">
        <v>176</v>
      </c>
      <c r="AG182" s="27" t="s">
        <v>177</v>
      </c>
      <c r="AH182" s="27" t="s">
        <v>164</v>
      </c>
      <c r="AI182" s="184"/>
      <c r="AJ182" s="27" t="s">
        <v>164</v>
      </c>
      <c r="AK182" s="27" t="s">
        <v>214</v>
      </c>
      <c r="AL182" s="27" t="s">
        <v>164</v>
      </c>
      <c r="AM182" s="27" t="s">
        <v>164</v>
      </c>
      <c r="AN182" s="27" t="s">
        <v>214</v>
      </c>
      <c r="AO182" s="27" t="s">
        <v>164</v>
      </c>
      <c r="AP182" s="136">
        <v>45197</v>
      </c>
      <c r="AT182" s="27" t="str">
        <f t="shared" si="4"/>
        <v>Inactivo</v>
      </c>
      <c r="AU182" s="27" cm="1">
        <f t="array" aca="1" ref="AU182" ca="1">_xlfn.IFS(AT182="","",AT182="Activo",TODAY()-H182,AT182="Inactivo",AP182-H182)</f>
        <v>51</v>
      </c>
      <c r="AV182" s="180" t="str">
        <f ca="1">IF(ISBLANK(Tabla1[[#This Row],[Fecha Nacimento (dd/mm/yyyy)]]),"",YEARFRAC(Tabla1[[#This Row],[Fecha Nacimento (dd/mm/yyyy)]],TODAY()))</f>
        <v/>
      </c>
      <c r="AW182" s="141"/>
      <c r="AX182" s="27" t="str">
        <f t="shared" si="5"/>
        <v/>
      </c>
    </row>
    <row r="183" spans="1:50" s="27" customFormat="1" x14ac:dyDescent="0.25">
      <c r="A183" s="134">
        <v>183</v>
      </c>
      <c r="B183" s="27" t="s">
        <v>1259</v>
      </c>
      <c r="C183" s="27" t="s">
        <v>1260</v>
      </c>
      <c r="D183" s="27" t="s">
        <v>141</v>
      </c>
      <c r="E183" s="404">
        <v>1003804614</v>
      </c>
      <c r="F183" s="27" t="s">
        <v>142</v>
      </c>
      <c r="G183" s="27" t="s">
        <v>959</v>
      </c>
      <c r="H183" s="136">
        <v>45146</v>
      </c>
      <c r="I183" s="136">
        <v>45207</v>
      </c>
      <c r="J183" s="27" t="s">
        <v>144</v>
      </c>
      <c r="K183" s="137">
        <v>1160000</v>
      </c>
      <c r="L183" s="27" t="s">
        <v>145</v>
      </c>
      <c r="M183" s="135" t="s">
        <v>203</v>
      </c>
      <c r="N183" s="27" t="s">
        <v>145</v>
      </c>
      <c r="O183" s="146" t="s">
        <v>1261</v>
      </c>
      <c r="Q183" s="27" t="s">
        <v>205</v>
      </c>
      <c r="T183" s="28"/>
      <c r="U183" s="37">
        <v>37058</v>
      </c>
      <c r="V183" s="183" t="s">
        <v>1262</v>
      </c>
      <c r="W183" s="183">
        <v>3112565178</v>
      </c>
      <c r="X183" s="27" t="s">
        <v>1236</v>
      </c>
      <c r="Y183" s="27" t="s">
        <v>172</v>
      </c>
      <c r="Z183" s="27" t="s">
        <v>1211</v>
      </c>
      <c r="AA183" s="27" t="s">
        <v>174</v>
      </c>
      <c r="AB183" s="27" t="s">
        <v>175</v>
      </c>
      <c r="AC183" s="135" t="s">
        <v>159</v>
      </c>
      <c r="AD183" s="135" t="s">
        <v>271</v>
      </c>
      <c r="AE183" s="27" t="s">
        <v>494</v>
      </c>
      <c r="AF183" s="27" t="s">
        <v>176</v>
      </c>
      <c r="AG183" s="27" t="s">
        <v>177</v>
      </c>
      <c r="AH183" s="27" t="s">
        <v>164</v>
      </c>
      <c r="AI183" s="184"/>
      <c r="AJ183" s="27" t="s">
        <v>164</v>
      </c>
      <c r="AK183" s="27" t="s">
        <v>214</v>
      </c>
      <c r="AL183" s="27" t="s">
        <v>164</v>
      </c>
      <c r="AM183" s="27" t="s">
        <v>164</v>
      </c>
      <c r="AN183" s="27" t="s">
        <v>214</v>
      </c>
      <c r="AO183" s="27" t="s">
        <v>164</v>
      </c>
      <c r="AP183" s="136">
        <v>45154</v>
      </c>
      <c r="AT183" s="27" t="str">
        <f t="shared" si="4"/>
        <v>Inactivo</v>
      </c>
      <c r="AU183" s="27" cm="1">
        <f t="array" aca="1" ref="AU183" ca="1">_xlfn.IFS(AT183="","",AT183="Activo",TODAY()-H183,AT183="Inactivo",AP183-H183)</f>
        <v>8</v>
      </c>
      <c r="AV183" s="180">
        <f ca="1">IF(ISBLANK(Tabla1[[#This Row],[Fecha Nacimento (dd/mm/yyyy)]]),"",YEARFRAC(Tabla1[[#This Row],[Fecha Nacimento (dd/mm/yyyy)]],TODAY()))</f>
        <v>23.002777777777776</v>
      </c>
      <c r="AW183" s="141"/>
      <c r="AX183" s="27" t="str">
        <f t="shared" si="5"/>
        <v/>
      </c>
    </row>
    <row r="184" spans="1:50" s="27" customFormat="1" x14ac:dyDescent="0.25">
      <c r="A184" s="134">
        <v>184</v>
      </c>
      <c r="B184" s="27" t="s">
        <v>1263</v>
      </c>
      <c r="C184" s="27" t="s">
        <v>1264</v>
      </c>
      <c r="D184" s="27" t="s">
        <v>141</v>
      </c>
      <c r="E184" s="404">
        <v>1119212144</v>
      </c>
      <c r="F184" s="27" t="s">
        <v>142</v>
      </c>
      <c r="G184" s="27" t="s">
        <v>959</v>
      </c>
      <c r="H184" s="136">
        <v>45146</v>
      </c>
      <c r="I184" s="136">
        <v>45207</v>
      </c>
      <c r="J184" s="27" t="s">
        <v>144</v>
      </c>
      <c r="K184" s="137">
        <v>1160000</v>
      </c>
      <c r="L184" s="27" t="s">
        <v>145</v>
      </c>
      <c r="M184" s="135" t="s">
        <v>203</v>
      </c>
      <c r="N184" s="27" t="s">
        <v>145</v>
      </c>
      <c r="O184" s="146" t="s">
        <v>1265</v>
      </c>
      <c r="Q184" s="27" t="s">
        <v>205</v>
      </c>
      <c r="T184" s="28"/>
      <c r="U184" s="37">
        <v>36995</v>
      </c>
      <c r="V184" s="183" t="s">
        <v>1266</v>
      </c>
      <c r="W184" s="183">
        <v>3132001431</v>
      </c>
      <c r="X184" s="27" t="s">
        <v>1241</v>
      </c>
      <c r="Y184" s="27" t="s">
        <v>172</v>
      </c>
      <c r="Z184" s="27" t="s">
        <v>1222</v>
      </c>
      <c r="AA184" s="27" t="s">
        <v>174</v>
      </c>
      <c r="AB184" s="27" t="s">
        <v>599</v>
      </c>
      <c r="AC184" s="135" t="s">
        <v>159</v>
      </c>
      <c r="AD184" s="135" t="s">
        <v>160</v>
      </c>
      <c r="AE184" s="27" t="s">
        <v>494</v>
      </c>
      <c r="AF184" s="27" t="s">
        <v>162</v>
      </c>
      <c r="AG184" s="27" t="s">
        <v>177</v>
      </c>
      <c r="AH184" s="27" t="s">
        <v>164</v>
      </c>
      <c r="AI184" s="179"/>
      <c r="AJ184" s="27" t="s">
        <v>164</v>
      </c>
      <c r="AK184" s="27" t="s">
        <v>214</v>
      </c>
      <c r="AL184" s="27" t="s">
        <v>164</v>
      </c>
      <c r="AM184" s="27" t="s">
        <v>164</v>
      </c>
      <c r="AN184" s="27" t="s">
        <v>214</v>
      </c>
      <c r="AO184" s="27" t="s">
        <v>164</v>
      </c>
      <c r="AP184" s="136">
        <v>45188</v>
      </c>
      <c r="AT184" s="27" t="str">
        <f t="shared" si="4"/>
        <v>Inactivo</v>
      </c>
      <c r="AU184" s="27" cm="1">
        <f t="array" aca="1" ref="AU184" ca="1">_xlfn.IFS(AT184="","",AT184="Activo",TODAY()-H184,AT184="Inactivo",AP184-H184)</f>
        <v>42</v>
      </c>
      <c r="AV184" s="180">
        <f ca="1">IF(ISBLANK(Tabla1[[#This Row],[Fecha Nacimento (dd/mm/yyyy)]]),"",YEARFRAC(Tabla1[[#This Row],[Fecha Nacimento (dd/mm/yyyy)]],TODAY()))</f>
        <v>23.175000000000001</v>
      </c>
      <c r="AW184" s="141"/>
      <c r="AX184" s="27" t="str">
        <f t="shared" si="5"/>
        <v/>
      </c>
    </row>
    <row r="185" spans="1:50" s="27" customFormat="1" x14ac:dyDescent="0.25">
      <c r="A185" s="134">
        <v>185</v>
      </c>
      <c r="B185" s="27" t="s">
        <v>1267</v>
      </c>
      <c r="C185" s="27" t="s">
        <v>1268</v>
      </c>
      <c r="D185" s="27" t="s">
        <v>141</v>
      </c>
      <c r="E185" s="404">
        <v>1079173590</v>
      </c>
      <c r="F185" s="27" t="s">
        <v>142</v>
      </c>
      <c r="G185" s="27" t="s">
        <v>959</v>
      </c>
      <c r="H185" s="136">
        <v>45146</v>
      </c>
      <c r="I185" s="136">
        <v>45207</v>
      </c>
      <c r="J185" s="27" t="s">
        <v>144</v>
      </c>
      <c r="K185" s="137">
        <v>1160000</v>
      </c>
      <c r="L185" s="27" t="s">
        <v>145</v>
      </c>
      <c r="M185" s="135" t="s">
        <v>203</v>
      </c>
      <c r="N185" s="27" t="s">
        <v>145</v>
      </c>
      <c r="O185" s="146" t="s">
        <v>1269</v>
      </c>
      <c r="Q185" s="27" t="s">
        <v>205</v>
      </c>
      <c r="T185" s="28"/>
      <c r="U185" s="37">
        <v>38335</v>
      </c>
      <c r="V185" s="183" t="s">
        <v>1270</v>
      </c>
      <c r="W185" s="183">
        <v>3183329144</v>
      </c>
      <c r="X185" s="27" t="s">
        <v>1241</v>
      </c>
      <c r="Y185" s="27" t="s">
        <v>172</v>
      </c>
      <c r="Z185" s="27" t="s">
        <v>1211</v>
      </c>
      <c r="AA185" s="27" t="s">
        <v>174</v>
      </c>
      <c r="AB185" s="27" t="s">
        <v>599</v>
      </c>
      <c r="AC185" s="135" t="s">
        <v>159</v>
      </c>
      <c r="AE185" s="27" t="s">
        <v>494</v>
      </c>
      <c r="AF185" s="27" t="s">
        <v>162</v>
      </c>
      <c r="AG185" s="27" t="s">
        <v>177</v>
      </c>
      <c r="AH185" s="27" t="s">
        <v>164</v>
      </c>
      <c r="AI185" s="184"/>
      <c r="AJ185" s="27" t="s">
        <v>164</v>
      </c>
      <c r="AK185" s="27" t="s">
        <v>214</v>
      </c>
      <c r="AL185" s="27" t="s">
        <v>164</v>
      </c>
      <c r="AM185" s="27" t="s">
        <v>164</v>
      </c>
      <c r="AN185" s="27" t="s">
        <v>214</v>
      </c>
      <c r="AO185" s="27" t="s">
        <v>164</v>
      </c>
      <c r="AP185" s="136">
        <v>45146</v>
      </c>
      <c r="AT185" s="27" t="str">
        <f t="shared" si="4"/>
        <v>Inactivo</v>
      </c>
      <c r="AU185" s="27" cm="1">
        <f t="array" aca="1" ref="AU185" ca="1">_xlfn.IFS(AT185="","",AT185="Activo",TODAY()-H185,AT185="Inactivo",AP185-H185)</f>
        <v>0</v>
      </c>
      <c r="AV185" s="180">
        <f ca="1">IF(ISBLANK(Tabla1[[#This Row],[Fecha Nacimento (dd/mm/yyyy)]]),"",YEARFRAC(Tabla1[[#This Row],[Fecha Nacimento (dd/mm/yyyy)]],TODAY()))</f>
        <v>19.508333333333333</v>
      </c>
      <c r="AW185" s="141"/>
      <c r="AX185" s="27" t="str">
        <f t="shared" si="5"/>
        <v/>
      </c>
    </row>
    <row r="186" spans="1:50" s="27" customFormat="1" x14ac:dyDescent="0.25">
      <c r="A186" s="134">
        <v>186</v>
      </c>
      <c r="B186" s="27" t="s">
        <v>1271</v>
      </c>
      <c r="C186" s="27" t="s">
        <v>1272</v>
      </c>
      <c r="D186" s="27" t="s">
        <v>141</v>
      </c>
      <c r="E186" s="403">
        <v>1106740319</v>
      </c>
      <c r="F186" s="27" t="s">
        <v>142</v>
      </c>
      <c r="G186" s="27" t="s">
        <v>959</v>
      </c>
      <c r="H186" s="136">
        <v>45146</v>
      </c>
      <c r="I186" s="136">
        <v>45207</v>
      </c>
      <c r="J186" s="27" t="s">
        <v>144</v>
      </c>
      <c r="K186" s="137">
        <v>1300000</v>
      </c>
      <c r="L186" s="27" t="s">
        <v>145</v>
      </c>
      <c r="M186" s="135" t="s">
        <v>203</v>
      </c>
      <c r="N186" s="27" t="s">
        <v>145</v>
      </c>
      <c r="O186" s="139" t="s">
        <v>1273</v>
      </c>
      <c r="Q186" s="27" t="s">
        <v>205</v>
      </c>
      <c r="T186" s="28"/>
      <c r="U186" s="37"/>
      <c r="V186" s="27" t="s">
        <v>1274</v>
      </c>
      <c r="W186" s="27">
        <v>3229494402</v>
      </c>
      <c r="X186" s="27" t="s">
        <v>1210</v>
      </c>
      <c r="Y186" s="27" t="s">
        <v>172</v>
      </c>
      <c r="Z186" s="27" t="s">
        <v>32</v>
      </c>
      <c r="AA186" s="27" t="s">
        <v>174</v>
      </c>
      <c r="AB186" s="27" t="s">
        <v>186</v>
      </c>
      <c r="AC186" s="135" t="s">
        <v>160</v>
      </c>
      <c r="AD186" s="135" t="s">
        <v>160</v>
      </c>
      <c r="AE186" s="27" t="s">
        <v>494</v>
      </c>
      <c r="AF186" s="27" t="s">
        <v>176</v>
      </c>
      <c r="AG186" s="27" t="s">
        <v>177</v>
      </c>
      <c r="AH186" s="27" t="s">
        <v>164</v>
      </c>
      <c r="AI186" s="184"/>
      <c r="AJ186" s="27" t="s">
        <v>164</v>
      </c>
      <c r="AK186" s="27" t="s">
        <v>214</v>
      </c>
      <c r="AL186" s="27" t="s">
        <v>164</v>
      </c>
      <c r="AM186" s="27" t="s">
        <v>164</v>
      </c>
      <c r="AN186" s="27" t="s">
        <v>214</v>
      </c>
      <c r="AO186" s="27" t="s">
        <v>164</v>
      </c>
      <c r="AP186" s="136">
        <v>45189</v>
      </c>
      <c r="AT186" s="27" t="str">
        <f t="shared" si="4"/>
        <v>Inactivo</v>
      </c>
      <c r="AU186" s="27" cm="1">
        <f t="array" aca="1" ref="AU186" ca="1">_xlfn.IFS(AT186="","",AT186="Activo",TODAY()-H186,AT186="Inactivo",AP186-H186)</f>
        <v>43</v>
      </c>
      <c r="AV186" s="180" t="str">
        <f ca="1">IF(ISBLANK(Tabla1[[#This Row],[Fecha Nacimento (dd/mm/yyyy)]]),"",YEARFRAC(Tabla1[[#This Row],[Fecha Nacimento (dd/mm/yyyy)]],TODAY()))</f>
        <v/>
      </c>
      <c r="AW186" s="141"/>
      <c r="AX186" s="27" t="str">
        <f t="shared" si="5"/>
        <v/>
      </c>
    </row>
    <row r="187" spans="1:50" s="27" customFormat="1" x14ac:dyDescent="0.25">
      <c r="A187" s="134">
        <v>187</v>
      </c>
      <c r="B187" s="27" t="s">
        <v>1275</v>
      </c>
      <c r="C187" s="27" t="s">
        <v>1276</v>
      </c>
      <c r="D187" s="27" t="s">
        <v>141</v>
      </c>
      <c r="E187" s="404">
        <v>1003809815</v>
      </c>
      <c r="F187" s="27" t="s">
        <v>142</v>
      </c>
      <c r="G187" s="27" t="s">
        <v>959</v>
      </c>
      <c r="H187" s="136">
        <v>45146</v>
      </c>
      <c r="I187" s="136">
        <v>45207</v>
      </c>
      <c r="J187" s="27" t="s">
        <v>144</v>
      </c>
      <c r="K187" s="137">
        <v>1300000</v>
      </c>
      <c r="L187" s="27" t="s">
        <v>145</v>
      </c>
      <c r="M187" s="135" t="s">
        <v>203</v>
      </c>
      <c r="N187" s="27" t="s">
        <v>145</v>
      </c>
      <c r="O187" s="146" t="s">
        <v>1277</v>
      </c>
      <c r="Q187" s="27" t="s">
        <v>205</v>
      </c>
      <c r="T187" s="28"/>
      <c r="U187" s="37">
        <v>37615</v>
      </c>
      <c r="V187" s="183" t="s">
        <v>1278</v>
      </c>
      <c r="W187" s="183">
        <v>3202721312</v>
      </c>
      <c r="X187" s="27" t="s">
        <v>1236</v>
      </c>
      <c r="Y187" s="27" t="s">
        <v>172</v>
      </c>
      <c r="Z187" s="27" t="s">
        <v>32</v>
      </c>
      <c r="AA187" s="27" t="s">
        <v>174</v>
      </c>
      <c r="AB187" s="27" t="s">
        <v>1279</v>
      </c>
      <c r="AC187" s="135" t="s">
        <v>271</v>
      </c>
      <c r="AD187" s="135" t="s">
        <v>271</v>
      </c>
      <c r="AE187" s="27" t="s">
        <v>494</v>
      </c>
      <c r="AF187" s="27" t="s">
        <v>176</v>
      </c>
      <c r="AG187" s="27" t="s">
        <v>177</v>
      </c>
      <c r="AH187" s="27" t="s">
        <v>164</v>
      </c>
      <c r="AI187" s="184"/>
      <c r="AJ187" s="27" t="s">
        <v>164</v>
      </c>
      <c r="AK187" s="27" t="s">
        <v>214</v>
      </c>
      <c r="AL187" s="27" t="s">
        <v>164</v>
      </c>
      <c r="AM187" s="27" t="s">
        <v>164</v>
      </c>
      <c r="AN187" s="27" t="s">
        <v>214</v>
      </c>
      <c r="AO187" s="27" t="s">
        <v>164</v>
      </c>
      <c r="AP187" s="136">
        <v>45163</v>
      </c>
      <c r="AT187" s="27" t="str">
        <f t="shared" si="4"/>
        <v>Inactivo</v>
      </c>
      <c r="AU187" s="27" cm="1">
        <f t="array" aca="1" ref="AU187" ca="1">_xlfn.IFS(AT187="","",AT187="Activo",TODAY()-H187,AT187="Inactivo",AP187-H187)</f>
        <v>17</v>
      </c>
      <c r="AV187" s="180">
        <f ca="1">IF(ISBLANK(Tabla1[[#This Row],[Fecha Nacimento (dd/mm/yyyy)]]),"",YEARFRAC(Tabla1[[#This Row],[Fecha Nacimento (dd/mm/yyyy)]],TODAY()))</f>
        <v>21.477777777777778</v>
      </c>
      <c r="AW187" s="141"/>
      <c r="AX187" s="27" t="str">
        <f t="shared" si="5"/>
        <v/>
      </c>
    </row>
    <row r="188" spans="1:50" s="27" customFormat="1" x14ac:dyDescent="0.25">
      <c r="A188" s="134">
        <v>188</v>
      </c>
      <c r="B188" s="27" t="s">
        <v>1280</v>
      </c>
      <c r="C188" s="27" t="s">
        <v>1281</v>
      </c>
      <c r="D188" s="27" t="s">
        <v>141</v>
      </c>
      <c r="E188" s="404">
        <v>1004063206</v>
      </c>
      <c r="F188" s="27" t="s">
        <v>142</v>
      </c>
      <c r="G188" s="27" t="s">
        <v>959</v>
      </c>
      <c r="H188" s="136">
        <v>45146</v>
      </c>
      <c r="I188" s="136">
        <v>45207</v>
      </c>
      <c r="J188" s="27" t="s">
        <v>144</v>
      </c>
      <c r="K188" s="137">
        <v>1160000</v>
      </c>
      <c r="L188" s="27" t="s">
        <v>145</v>
      </c>
      <c r="M188" s="135" t="s">
        <v>203</v>
      </c>
      <c r="N188" s="27" t="s">
        <v>145</v>
      </c>
      <c r="O188" s="146" t="s">
        <v>1282</v>
      </c>
      <c r="Q188" s="27" t="s">
        <v>205</v>
      </c>
      <c r="T188" s="28"/>
      <c r="U188" s="37">
        <v>37757</v>
      </c>
      <c r="V188" s="183" t="s">
        <v>1283</v>
      </c>
      <c r="W188" s="183">
        <v>3169550730</v>
      </c>
      <c r="X188" s="27" t="s">
        <v>1241</v>
      </c>
      <c r="Y188" s="27" t="s">
        <v>172</v>
      </c>
      <c r="Z188" s="27" t="s">
        <v>1211</v>
      </c>
      <c r="AA188" s="27" t="s">
        <v>174</v>
      </c>
      <c r="AB188" s="27" t="s">
        <v>493</v>
      </c>
      <c r="AC188" s="135" t="s">
        <v>160</v>
      </c>
      <c r="AD188" s="135" t="s">
        <v>160</v>
      </c>
      <c r="AE188" s="27" t="s">
        <v>494</v>
      </c>
      <c r="AF188" s="27" t="s">
        <v>176</v>
      </c>
      <c r="AG188" s="27" t="s">
        <v>177</v>
      </c>
      <c r="AH188" s="27" t="s">
        <v>164</v>
      </c>
      <c r="AI188" s="179"/>
      <c r="AJ188" s="27" t="s">
        <v>164</v>
      </c>
      <c r="AK188" s="27" t="s">
        <v>214</v>
      </c>
      <c r="AL188" s="27" t="s">
        <v>164</v>
      </c>
      <c r="AM188" s="27" t="s">
        <v>164</v>
      </c>
      <c r="AN188" s="27" t="s">
        <v>214</v>
      </c>
      <c r="AO188" s="27" t="s">
        <v>164</v>
      </c>
      <c r="AP188" s="136">
        <v>45188</v>
      </c>
      <c r="AT188" s="27" t="str">
        <f t="shared" si="4"/>
        <v>Inactivo</v>
      </c>
      <c r="AU188" s="27" cm="1">
        <f t="array" aca="1" ref="AU188" ca="1">_xlfn.IFS(AT188="","",AT188="Activo",TODAY()-H188,AT188="Inactivo",AP188-H188)</f>
        <v>42</v>
      </c>
      <c r="AV188" s="180">
        <f ca="1">IF(ISBLANK(Tabla1[[#This Row],[Fecha Nacimento (dd/mm/yyyy)]]),"",YEARFRAC(Tabla1[[#This Row],[Fecha Nacimento (dd/mm/yyyy)]],TODAY()))</f>
        <v>21.086111111111112</v>
      </c>
      <c r="AW188" s="141"/>
      <c r="AX188" s="27" t="str">
        <f t="shared" si="5"/>
        <v/>
      </c>
    </row>
    <row r="189" spans="1:50" s="27" customFormat="1" x14ac:dyDescent="0.25">
      <c r="A189" s="134">
        <v>189</v>
      </c>
      <c r="B189" s="27" t="s">
        <v>1284</v>
      </c>
      <c r="C189" s="27" t="s">
        <v>1285</v>
      </c>
      <c r="D189" s="27" t="s">
        <v>141</v>
      </c>
      <c r="E189" s="403">
        <v>1114816336</v>
      </c>
      <c r="F189" s="27" t="s">
        <v>142</v>
      </c>
      <c r="G189" s="27" t="s">
        <v>143</v>
      </c>
      <c r="H189" s="136">
        <v>45147</v>
      </c>
      <c r="I189" s="136"/>
      <c r="J189" s="27" t="s">
        <v>144</v>
      </c>
      <c r="K189" s="137">
        <v>1300000</v>
      </c>
      <c r="L189" s="27" t="s">
        <v>145</v>
      </c>
      <c r="M189" s="135" t="s">
        <v>355</v>
      </c>
      <c r="N189" s="27" t="s">
        <v>145</v>
      </c>
      <c r="O189" s="139" t="s">
        <v>1286</v>
      </c>
      <c r="Q189" s="135" t="s">
        <v>148</v>
      </c>
      <c r="R189" s="27" t="s">
        <v>1287</v>
      </c>
      <c r="S189" s="135" t="s">
        <v>150</v>
      </c>
      <c r="T189" s="28" t="s">
        <v>1288</v>
      </c>
      <c r="U189" s="37">
        <v>32144</v>
      </c>
      <c r="V189" s="27" t="s">
        <v>1289</v>
      </c>
      <c r="W189" s="27">
        <v>3234874711</v>
      </c>
      <c r="X189" s="27" t="s">
        <v>1181</v>
      </c>
      <c r="Y189" s="27" t="s">
        <v>523</v>
      </c>
      <c r="Z189" s="27" t="s">
        <v>223</v>
      </c>
      <c r="AA189" s="27" t="s">
        <v>1077</v>
      </c>
      <c r="AB189" s="27" t="s">
        <v>158</v>
      </c>
      <c r="AC189" s="135" t="s">
        <v>159</v>
      </c>
      <c r="AD189" s="135" t="s">
        <v>160</v>
      </c>
      <c r="AE189" s="27" t="s">
        <v>1184</v>
      </c>
      <c r="AF189" s="27" t="s">
        <v>176</v>
      </c>
      <c r="AG189" s="27" t="s">
        <v>177</v>
      </c>
      <c r="AH189" s="27" t="s">
        <v>164</v>
      </c>
      <c r="AI189" s="179"/>
      <c r="AJ189" s="27" t="s">
        <v>164</v>
      </c>
      <c r="AK189" s="27" t="s">
        <v>214</v>
      </c>
      <c r="AL189" s="27" t="s">
        <v>214</v>
      </c>
      <c r="AM189" s="27" t="s">
        <v>164</v>
      </c>
      <c r="AN189" s="27" t="s">
        <v>214</v>
      </c>
      <c r="AO189" s="27" t="s">
        <v>164</v>
      </c>
      <c r="AP189" s="136">
        <v>45433</v>
      </c>
      <c r="AQ189" s="27" t="s">
        <v>52</v>
      </c>
      <c r="AT189" s="27" t="str">
        <f t="shared" si="4"/>
        <v>Inactivo</v>
      </c>
      <c r="AU189" s="27" cm="1">
        <f t="array" aca="1" ref="AU189" ca="1">_xlfn.IFS(AT189="","",AT189="Activo",TODAY()-H189,AT189="Inactivo",AP189-H189)</f>
        <v>286</v>
      </c>
      <c r="AV189" s="180">
        <f ca="1">IF(ISBLANK(Tabla1[[#This Row],[Fecha Nacimento (dd/mm/yyyy)]]),"",YEARFRAC(Tabla1[[#This Row],[Fecha Nacimento (dd/mm/yyyy)]],TODAY()))</f>
        <v>36.458333333333336</v>
      </c>
      <c r="AW189" s="141"/>
      <c r="AX189" s="27" t="str">
        <f t="shared" si="5"/>
        <v/>
      </c>
    </row>
    <row r="190" spans="1:50" s="27" customFormat="1" x14ac:dyDescent="0.25">
      <c r="A190" s="134">
        <v>190</v>
      </c>
      <c r="B190" s="27" t="s">
        <v>1290</v>
      </c>
      <c r="C190" s="27" t="s">
        <v>1281</v>
      </c>
      <c r="D190" s="27" t="s">
        <v>141</v>
      </c>
      <c r="E190" s="403">
        <v>1007704876</v>
      </c>
      <c r="F190" s="27" t="s">
        <v>142</v>
      </c>
      <c r="G190" s="27" t="s">
        <v>959</v>
      </c>
      <c r="H190" s="136">
        <v>45152</v>
      </c>
      <c r="I190" s="136">
        <v>45188</v>
      </c>
      <c r="J190" s="27" t="s">
        <v>144</v>
      </c>
      <c r="K190" s="137">
        <v>1160000</v>
      </c>
      <c r="L190" s="27" t="s">
        <v>145</v>
      </c>
      <c r="M190" s="135" t="s">
        <v>203</v>
      </c>
      <c r="N190" s="27" t="s">
        <v>145</v>
      </c>
      <c r="O190" s="139" t="s">
        <v>1291</v>
      </c>
      <c r="Q190" s="27" t="s">
        <v>148</v>
      </c>
      <c r="R190" s="27" t="s">
        <v>149</v>
      </c>
      <c r="S190" s="27" t="s">
        <v>150</v>
      </c>
      <c r="T190" s="28" t="s">
        <v>1292</v>
      </c>
      <c r="U190" s="37">
        <v>36759</v>
      </c>
      <c r="V190" s="183" t="s">
        <v>1283</v>
      </c>
      <c r="W190" s="27">
        <v>3187418746</v>
      </c>
      <c r="X190" s="27" t="s">
        <v>1241</v>
      </c>
      <c r="Y190" s="27" t="s">
        <v>172</v>
      </c>
      <c r="Z190" s="27" t="s">
        <v>1211</v>
      </c>
      <c r="AA190" s="27" t="s">
        <v>174</v>
      </c>
      <c r="AB190" s="27" t="s">
        <v>175</v>
      </c>
      <c r="AC190" s="135" t="s">
        <v>160</v>
      </c>
      <c r="AD190" s="135" t="s">
        <v>160</v>
      </c>
      <c r="AE190" s="27" t="s">
        <v>494</v>
      </c>
      <c r="AF190" s="27" t="s">
        <v>162</v>
      </c>
      <c r="AG190" s="27" t="s">
        <v>177</v>
      </c>
      <c r="AH190" s="27" t="s">
        <v>164</v>
      </c>
      <c r="AI190" s="179"/>
      <c r="AJ190" s="27" t="s">
        <v>164</v>
      </c>
      <c r="AK190" s="27" t="s">
        <v>214</v>
      </c>
      <c r="AL190" s="27" t="s">
        <v>164</v>
      </c>
      <c r="AM190" s="27" t="s">
        <v>164</v>
      </c>
      <c r="AN190" s="27" t="s">
        <v>214</v>
      </c>
      <c r="AO190" s="27" t="s">
        <v>164</v>
      </c>
      <c r="AP190" s="136">
        <v>45188</v>
      </c>
      <c r="AT190" s="27" t="str">
        <f t="shared" si="4"/>
        <v>Inactivo</v>
      </c>
      <c r="AU190" s="27" cm="1">
        <f t="array" aca="1" ref="AU190" ca="1">_xlfn.IFS(AT190="","",AT190="Activo",TODAY()-H190,AT190="Inactivo",AP190-H190)</f>
        <v>36</v>
      </c>
      <c r="AV190" s="180">
        <f ca="1">IF(ISBLANK(Tabla1[[#This Row],[Fecha Nacimento (dd/mm/yyyy)]]),"",YEARFRAC(Tabla1[[#This Row],[Fecha Nacimento (dd/mm/yyyy)]],TODAY()))</f>
        <v>23.822222222222223</v>
      </c>
      <c r="AW190" s="141"/>
      <c r="AX190" s="27" t="str">
        <f t="shared" si="5"/>
        <v/>
      </c>
    </row>
    <row r="191" spans="1:50" s="27" customFormat="1" x14ac:dyDescent="0.25">
      <c r="A191" s="134">
        <v>191</v>
      </c>
      <c r="B191" s="27" t="s">
        <v>1293</v>
      </c>
      <c r="C191" s="27" t="s">
        <v>1294</v>
      </c>
      <c r="D191" s="27" t="s">
        <v>141</v>
      </c>
      <c r="E191" s="403">
        <v>70528591</v>
      </c>
      <c r="F191" s="27" t="s">
        <v>142</v>
      </c>
      <c r="G191" s="27" t="s">
        <v>143</v>
      </c>
      <c r="H191" s="136">
        <v>45152</v>
      </c>
      <c r="I191" s="27" t="s">
        <v>217</v>
      </c>
      <c r="J191" s="27" t="s">
        <v>144</v>
      </c>
      <c r="K191" s="137">
        <v>1400000</v>
      </c>
      <c r="L191" s="27" t="s">
        <v>164</v>
      </c>
      <c r="M191" s="27" t="s">
        <v>203</v>
      </c>
      <c r="N191" s="27" t="s">
        <v>145</v>
      </c>
      <c r="O191" s="139" t="s">
        <v>1295</v>
      </c>
      <c r="Q191" s="27" t="s">
        <v>148</v>
      </c>
      <c r="R191" s="27" t="s">
        <v>149</v>
      </c>
      <c r="S191" s="27" t="s">
        <v>150</v>
      </c>
      <c r="T191" s="28" t="s">
        <v>1296</v>
      </c>
      <c r="U191" s="37">
        <v>28294</v>
      </c>
      <c r="V191" s="27" t="s">
        <v>1297</v>
      </c>
      <c r="W191" s="27">
        <v>3246818563</v>
      </c>
      <c r="X191" s="27" t="s">
        <v>1037</v>
      </c>
      <c r="Y191" s="27" t="s">
        <v>172</v>
      </c>
      <c r="Z191" s="27" t="s">
        <v>1038</v>
      </c>
      <c r="AA191" s="27" t="s">
        <v>211</v>
      </c>
      <c r="AB191" s="27" t="s">
        <v>175</v>
      </c>
      <c r="AC191" s="135" t="s">
        <v>159</v>
      </c>
      <c r="AD191" s="135" t="s">
        <v>271</v>
      </c>
      <c r="AE191" s="27" t="s">
        <v>1039</v>
      </c>
      <c r="AF191" s="27" t="s">
        <v>176</v>
      </c>
      <c r="AG191" s="27" t="s">
        <v>177</v>
      </c>
      <c r="AH191" s="27" t="s">
        <v>145</v>
      </c>
      <c r="AI191" s="179">
        <v>144000</v>
      </c>
      <c r="AJ191" s="27" t="s">
        <v>164</v>
      </c>
      <c r="AK191" s="27" t="s">
        <v>214</v>
      </c>
      <c r="AL191" s="27" t="s">
        <v>164</v>
      </c>
      <c r="AM191" s="27" t="s">
        <v>164</v>
      </c>
      <c r="AN191" s="27" t="s">
        <v>214</v>
      </c>
      <c r="AO191" s="27" t="s">
        <v>164</v>
      </c>
      <c r="AP191" s="136"/>
      <c r="AT191" s="27" t="str">
        <f t="shared" si="4"/>
        <v>Activo</v>
      </c>
      <c r="AU191" s="27" cm="1">
        <f t="array" aca="1" ref="AU191" ca="1">_xlfn.IFS(AT191="","",AT191="Activo",TODAY()-H191,AT191="Inactivo",AP191-H191)</f>
        <v>308</v>
      </c>
      <c r="AV191" s="180">
        <f ca="1">IF(ISBLANK(Tabla1[[#This Row],[Fecha Nacimento (dd/mm/yyyy)]]),"",YEARFRAC(Tabla1[[#This Row],[Fecha Nacimento (dd/mm/yyyy)]],TODAY()))</f>
        <v>46.99722222222222</v>
      </c>
      <c r="AW191" s="141"/>
      <c r="AX191" s="27" t="str">
        <f t="shared" si="5"/>
        <v/>
      </c>
    </row>
    <row r="192" spans="1:50" s="27" customFormat="1" x14ac:dyDescent="0.25">
      <c r="A192" s="134">
        <v>192</v>
      </c>
      <c r="B192" s="27" t="s">
        <v>1298</v>
      </c>
      <c r="C192" s="27" t="s">
        <v>1299</v>
      </c>
      <c r="D192" s="27" t="s">
        <v>141</v>
      </c>
      <c r="E192" s="403">
        <v>28949604</v>
      </c>
      <c r="F192" s="27" t="s">
        <v>142</v>
      </c>
      <c r="G192" s="27" t="s">
        <v>143</v>
      </c>
      <c r="H192" s="136">
        <v>45152</v>
      </c>
      <c r="I192" s="136"/>
      <c r="J192" s="27" t="s">
        <v>144</v>
      </c>
      <c r="K192" s="137">
        <v>1300000</v>
      </c>
      <c r="L192" s="27" t="s">
        <v>145</v>
      </c>
      <c r="M192" s="135" t="s">
        <v>262</v>
      </c>
      <c r="N192" s="27" t="s">
        <v>145</v>
      </c>
      <c r="O192" s="139" t="s">
        <v>1300</v>
      </c>
      <c r="Q192" s="135" t="s">
        <v>148</v>
      </c>
      <c r="R192" s="27" t="s">
        <v>168</v>
      </c>
      <c r="S192" s="135" t="s">
        <v>150</v>
      </c>
      <c r="T192" s="28" t="s">
        <v>1301</v>
      </c>
      <c r="U192" s="37">
        <v>28672</v>
      </c>
      <c r="V192" s="27" t="s">
        <v>1302</v>
      </c>
      <c r="W192" s="27">
        <v>3107698923</v>
      </c>
      <c r="X192" s="27" t="s">
        <v>979</v>
      </c>
      <c r="Y192" s="27" t="s">
        <v>1075</v>
      </c>
      <c r="Z192" s="27" t="s">
        <v>559</v>
      </c>
      <c r="AA192" s="27" t="s">
        <v>543</v>
      </c>
      <c r="AB192" s="27" t="s">
        <v>259</v>
      </c>
      <c r="AC192" s="135" t="s">
        <v>271</v>
      </c>
      <c r="AD192" s="135" t="s">
        <v>160</v>
      </c>
      <c r="AE192" s="27" t="s">
        <v>161</v>
      </c>
      <c r="AF192" s="27" t="s">
        <v>162</v>
      </c>
      <c r="AG192" s="27" t="s">
        <v>177</v>
      </c>
      <c r="AH192" s="27" t="s">
        <v>164</v>
      </c>
      <c r="AI192" s="179"/>
      <c r="AJ192" s="27" t="s">
        <v>164</v>
      </c>
      <c r="AK192" s="27" t="s">
        <v>214</v>
      </c>
      <c r="AL192" s="27" t="s">
        <v>164</v>
      </c>
      <c r="AM192" s="27" t="s">
        <v>164</v>
      </c>
      <c r="AN192" s="27" t="s">
        <v>214</v>
      </c>
      <c r="AO192" s="27" t="s">
        <v>164</v>
      </c>
      <c r="AP192" s="136">
        <v>45161</v>
      </c>
      <c r="AQ192" s="27" t="s">
        <v>52</v>
      </c>
      <c r="AT192" s="27" t="str">
        <f t="shared" si="4"/>
        <v>Inactivo</v>
      </c>
      <c r="AU192" s="27" cm="1">
        <f t="array" aca="1" ref="AU192" ca="1">_xlfn.IFS(AT192="","",AT192="Activo",TODAY()-H192,AT192="Inactivo",AP192-H192)</f>
        <v>9</v>
      </c>
      <c r="AV192" s="180">
        <f ca="1">IF(ISBLANK(Tabla1[[#This Row],[Fecha Nacimento (dd/mm/yyyy)]]),"",YEARFRAC(Tabla1[[#This Row],[Fecha Nacimento (dd/mm/yyyy)]],TODAY()))</f>
        <v>45.961111111111109</v>
      </c>
      <c r="AW192" s="141"/>
      <c r="AX192" s="27" t="str">
        <f t="shared" si="5"/>
        <v/>
      </c>
    </row>
    <row r="193" spans="1:50" s="27" customFormat="1" x14ac:dyDescent="0.25">
      <c r="A193" s="134">
        <v>193</v>
      </c>
      <c r="B193" s="27" t="s">
        <v>1303</v>
      </c>
      <c r="C193" s="27" t="s">
        <v>1304</v>
      </c>
      <c r="D193" s="27" t="s">
        <v>141</v>
      </c>
      <c r="E193" s="403">
        <v>1094928379</v>
      </c>
      <c r="F193" s="27" t="s">
        <v>142</v>
      </c>
      <c r="G193" s="27" t="s">
        <v>143</v>
      </c>
      <c r="H193" s="136">
        <v>45153</v>
      </c>
      <c r="I193" s="136"/>
      <c r="J193" s="27" t="s">
        <v>144</v>
      </c>
      <c r="K193" s="137">
        <v>1300000</v>
      </c>
      <c r="L193" s="27" t="s">
        <v>145</v>
      </c>
      <c r="M193" s="27" t="s">
        <v>203</v>
      </c>
      <c r="N193" s="27" t="s">
        <v>145</v>
      </c>
      <c r="O193" s="139" t="s">
        <v>1305</v>
      </c>
      <c r="Q193" s="27" t="s">
        <v>148</v>
      </c>
      <c r="R193" s="27" t="s">
        <v>168</v>
      </c>
      <c r="S193" s="27" t="s">
        <v>150</v>
      </c>
      <c r="T193" s="28" t="s">
        <v>1306</v>
      </c>
      <c r="U193" s="37">
        <v>33787</v>
      </c>
      <c r="V193" s="27" t="s">
        <v>1307</v>
      </c>
      <c r="W193" s="27">
        <v>3005744764</v>
      </c>
      <c r="X193" s="27" t="s">
        <v>979</v>
      </c>
      <c r="Y193" s="27" t="s">
        <v>1075</v>
      </c>
      <c r="Z193" s="27" t="s">
        <v>559</v>
      </c>
      <c r="AA193" s="27" t="s">
        <v>543</v>
      </c>
      <c r="AB193" s="27" t="s">
        <v>259</v>
      </c>
      <c r="AC193" s="135" t="s">
        <v>160</v>
      </c>
      <c r="AD193" s="135" t="s">
        <v>160</v>
      </c>
      <c r="AE193" s="27" t="s">
        <v>161</v>
      </c>
      <c r="AF193" s="27" t="s">
        <v>162</v>
      </c>
      <c r="AG193" s="27" t="s">
        <v>177</v>
      </c>
      <c r="AH193" s="27" t="s">
        <v>164</v>
      </c>
      <c r="AI193" s="179"/>
      <c r="AJ193" s="27" t="s">
        <v>164</v>
      </c>
      <c r="AK193" s="27" t="s">
        <v>214</v>
      </c>
      <c r="AL193" s="27" t="s">
        <v>164</v>
      </c>
      <c r="AM193" s="27" t="s">
        <v>164</v>
      </c>
      <c r="AN193" s="27" t="s">
        <v>214</v>
      </c>
      <c r="AO193" s="27" t="s">
        <v>164</v>
      </c>
      <c r="AP193" s="136">
        <v>45153</v>
      </c>
      <c r="AQ193" s="27" t="s">
        <v>52</v>
      </c>
      <c r="AT193" s="27" t="str">
        <f t="shared" si="4"/>
        <v>Inactivo</v>
      </c>
      <c r="AU193" s="27" cm="1">
        <f t="array" aca="1" ref="AU193" ca="1">_xlfn.IFS(AT193="","",AT193="Activo",TODAY()-H193,AT193="Inactivo",AP193-H193)</f>
        <v>0</v>
      </c>
      <c r="AV193" s="180">
        <f ca="1">IF(ISBLANK(Tabla1[[#This Row],[Fecha Nacimento (dd/mm/yyyy)]]),"",YEARFRAC(Tabla1[[#This Row],[Fecha Nacimento (dd/mm/yyyy)]],TODAY()))</f>
        <v>31.958333333333332</v>
      </c>
      <c r="AW193" s="141"/>
      <c r="AX193" s="27" t="str">
        <f t="shared" si="5"/>
        <v/>
      </c>
    </row>
    <row r="194" spans="1:50" s="27" customFormat="1" x14ac:dyDescent="0.25">
      <c r="A194" s="134">
        <v>194</v>
      </c>
      <c r="B194" s="27" t="s">
        <v>1308</v>
      </c>
      <c r="C194" s="27" t="s">
        <v>1309</v>
      </c>
      <c r="D194" s="27" t="s">
        <v>141</v>
      </c>
      <c r="E194" s="403">
        <v>1075254378</v>
      </c>
      <c r="F194" s="27" t="s">
        <v>142</v>
      </c>
      <c r="G194" s="27" t="s">
        <v>959</v>
      </c>
      <c r="H194" s="136">
        <v>45157</v>
      </c>
      <c r="I194" s="136">
        <v>45164</v>
      </c>
      <c r="J194" s="27" t="s">
        <v>144</v>
      </c>
      <c r="K194" s="137">
        <v>1160000</v>
      </c>
      <c r="L194" s="27" t="s">
        <v>145</v>
      </c>
      <c r="M194" s="27" t="s">
        <v>203</v>
      </c>
      <c r="N194" s="27" t="s">
        <v>145</v>
      </c>
      <c r="O194" s="139" t="s">
        <v>1310</v>
      </c>
      <c r="Q194" s="27" t="s">
        <v>148</v>
      </c>
      <c r="R194" s="27" t="s">
        <v>371</v>
      </c>
      <c r="S194" s="27" t="s">
        <v>150</v>
      </c>
      <c r="T194" s="28" t="s">
        <v>1311</v>
      </c>
      <c r="U194" s="37">
        <v>33412</v>
      </c>
      <c r="V194" s="27" t="s">
        <v>1312</v>
      </c>
      <c r="W194" s="27">
        <v>3213904377</v>
      </c>
      <c r="X194" s="27" t="s">
        <v>1236</v>
      </c>
      <c r="Y194" s="27" t="s">
        <v>172</v>
      </c>
      <c r="Z194" s="27" t="s">
        <v>1211</v>
      </c>
      <c r="AA194" s="27" t="s">
        <v>174</v>
      </c>
      <c r="AB194" s="27" t="s">
        <v>175</v>
      </c>
      <c r="AC194" s="135" t="s">
        <v>159</v>
      </c>
      <c r="AD194" s="135" t="s">
        <v>160</v>
      </c>
      <c r="AE194" s="27" t="s">
        <v>494</v>
      </c>
      <c r="AF194" s="27" t="s">
        <v>176</v>
      </c>
      <c r="AG194" s="27" t="s">
        <v>177</v>
      </c>
      <c r="AH194" s="27" t="s">
        <v>164</v>
      </c>
      <c r="AI194" s="179"/>
      <c r="AJ194" s="27" t="s">
        <v>164</v>
      </c>
      <c r="AK194" s="27" t="s">
        <v>214</v>
      </c>
      <c r="AL194" s="27" t="s">
        <v>164</v>
      </c>
      <c r="AM194" s="27" t="s">
        <v>164</v>
      </c>
      <c r="AN194" s="27" t="s">
        <v>214</v>
      </c>
      <c r="AO194" s="27" t="s">
        <v>164</v>
      </c>
      <c r="AP194" s="136">
        <v>45163</v>
      </c>
      <c r="AT194" s="27" t="str">
        <f t="shared" si="4"/>
        <v>Inactivo</v>
      </c>
      <c r="AU194" s="27" cm="1">
        <f t="array" aca="1" ref="AU194" ca="1">_xlfn.IFS(AT194="","",AT194="Activo",TODAY()-H194,AT194="Inactivo",AP194-H194)</f>
        <v>6</v>
      </c>
      <c r="AV194" s="180">
        <f ca="1">IF(ISBLANK(Tabla1[[#This Row],[Fecha Nacimento (dd/mm/yyyy)]]),"",YEARFRAC(Tabla1[[#This Row],[Fecha Nacimento (dd/mm/yyyy)]],TODAY()))</f>
        <v>32.983333333333334</v>
      </c>
      <c r="AW194" s="141"/>
      <c r="AX194" s="27" t="str">
        <f t="shared" si="5"/>
        <v/>
      </c>
    </row>
    <row r="195" spans="1:50" s="27" customFormat="1" x14ac:dyDescent="0.25">
      <c r="A195" s="134">
        <v>195</v>
      </c>
      <c r="B195" s="27" t="s">
        <v>1251</v>
      </c>
      <c r="C195" s="27" t="s">
        <v>1313</v>
      </c>
      <c r="D195" s="27" t="s">
        <v>141</v>
      </c>
      <c r="E195" s="403">
        <v>1096036255</v>
      </c>
      <c r="F195" s="27" t="s">
        <v>142</v>
      </c>
      <c r="G195" s="27" t="s">
        <v>143</v>
      </c>
      <c r="H195" s="136">
        <v>45160</v>
      </c>
      <c r="I195" s="136"/>
      <c r="J195" s="27" t="s">
        <v>144</v>
      </c>
      <c r="K195" s="137">
        <v>1300000</v>
      </c>
      <c r="L195" s="27" t="s">
        <v>145</v>
      </c>
      <c r="M195" s="27" t="s">
        <v>146</v>
      </c>
      <c r="N195" s="27" t="s">
        <v>145</v>
      </c>
      <c r="O195" s="139" t="s">
        <v>1314</v>
      </c>
      <c r="Q195" s="27" t="s">
        <v>148</v>
      </c>
      <c r="R195" s="27" t="s">
        <v>168</v>
      </c>
      <c r="S195" s="27" t="s">
        <v>150</v>
      </c>
      <c r="T195" s="28" t="s">
        <v>1315</v>
      </c>
      <c r="U195" s="37">
        <v>33803</v>
      </c>
      <c r="V195" s="27" t="s">
        <v>1316</v>
      </c>
      <c r="W195" s="27">
        <v>3203242707</v>
      </c>
      <c r="X195" s="27" t="s">
        <v>979</v>
      </c>
      <c r="Y195" s="27" t="s">
        <v>172</v>
      </c>
      <c r="Z195" s="27" t="s">
        <v>552</v>
      </c>
      <c r="AA195" s="27" t="s">
        <v>174</v>
      </c>
      <c r="AB195" s="27" t="s">
        <v>186</v>
      </c>
      <c r="AC195" s="135" t="s">
        <v>271</v>
      </c>
      <c r="AD195" s="135" t="s">
        <v>160</v>
      </c>
      <c r="AE195" s="27" t="s">
        <v>161</v>
      </c>
      <c r="AF195" s="27" t="s">
        <v>176</v>
      </c>
      <c r="AG195" s="27" t="s">
        <v>177</v>
      </c>
      <c r="AH195" s="27" t="s">
        <v>164</v>
      </c>
      <c r="AI195" s="179"/>
      <c r="AJ195" s="27" t="s">
        <v>164</v>
      </c>
      <c r="AK195" s="27" t="s">
        <v>214</v>
      </c>
      <c r="AL195" s="27" t="s">
        <v>164</v>
      </c>
      <c r="AM195" s="27" t="s">
        <v>164</v>
      </c>
      <c r="AN195" s="27" t="s">
        <v>214</v>
      </c>
      <c r="AO195" s="27" t="s">
        <v>164</v>
      </c>
      <c r="AP195" s="136">
        <v>45306</v>
      </c>
      <c r="AQ195" s="27" t="s">
        <v>52</v>
      </c>
      <c r="AT195" s="27" t="str">
        <f t="shared" ref="AT195:AT258" si="6">IF(ISBLANK(B195),"",IF(AP195="","Activo","Inactivo"))</f>
        <v>Inactivo</v>
      </c>
      <c r="AU195" s="27" cm="1">
        <f t="array" aca="1" ref="AU195" ca="1">_xlfn.IFS(AT195="","",AT195="Activo",TODAY()-H195,AT195="Inactivo",AP195-H195)</f>
        <v>146</v>
      </c>
      <c r="AV195" s="180">
        <f ca="1">IF(ISBLANK(Tabla1[[#This Row],[Fecha Nacimento (dd/mm/yyyy)]]),"",YEARFRAC(Tabla1[[#This Row],[Fecha Nacimento (dd/mm/yyyy)]],TODAY()))</f>
        <v>31.913888888888888</v>
      </c>
      <c r="AW195" s="141"/>
      <c r="AX195" s="27" t="str">
        <f t="shared" ref="AX195:AX258" si="7">IFERROR(DATE(VALUE(MID(AW195,7,4)), VALUE(MID(AW195,4,2)), VALUE(MID(AW195,1,2))),"")</f>
        <v/>
      </c>
    </row>
    <row r="196" spans="1:50" s="27" customFormat="1" x14ac:dyDescent="0.25">
      <c r="A196" s="134">
        <v>196</v>
      </c>
      <c r="B196" s="27" t="s">
        <v>1317</v>
      </c>
      <c r="C196" s="27" t="s">
        <v>1318</v>
      </c>
      <c r="D196" s="27" t="s">
        <v>141</v>
      </c>
      <c r="E196" s="403">
        <v>94487826</v>
      </c>
      <c r="F196" s="27" t="s">
        <v>142</v>
      </c>
      <c r="G196" s="27" t="s">
        <v>143</v>
      </c>
      <c r="H196" s="136">
        <v>45162</v>
      </c>
      <c r="I196" s="136"/>
      <c r="J196" s="27" t="s">
        <v>144</v>
      </c>
      <c r="K196" s="137">
        <v>1300000</v>
      </c>
      <c r="L196" s="27" t="s">
        <v>145</v>
      </c>
      <c r="M196" s="27" t="s">
        <v>146</v>
      </c>
      <c r="N196" s="27" t="s">
        <v>145</v>
      </c>
      <c r="Q196" s="27" t="s">
        <v>148</v>
      </c>
      <c r="R196" s="27" t="s">
        <v>168</v>
      </c>
      <c r="S196" s="27" t="s">
        <v>150</v>
      </c>
      <c r="T196" s="28" t="s">
        <v>1319</v>
      </c>
      <c r="U196" s="37">
        <v>26140</v>
      </c>
      <c r="V196" s="27" t="s">
        <v>1320</v>
      </c>
      <c r="W196" s="27" t="s">
        <v>1321</v>
      </c>
      <c r="X196" s="27" t="s">
        <v>979</v>
      </c>
      <c r="Y196" s="27" t="s">
        <v>172</v>
      </c>
      <c r="Z196" s="27" t="s">
        <v>19</v>
      </c>
      <c r="AA196" s="27" t="s">
        <v>174</v>
      </c>
      <c r="AB196" s="27" t="s">
        <v>158</v>
      </c>
      <c r="AC196" s="135" t="s">
        <v>160</v>
      </c>
      <c r="AD196" s="135" t="s">
        <v>160</v>
      </c>
      <c r="AE196" s="27" t="s">
        <v>161</v>
      </c>
      <c r="AF196" s="27" t="s">
        <v>176</v>
      </c>
      <c r="AG196" s="27" t="s">
        <v>177</v>
      </c>
      <c r="AH196" s="27" t="s">
        <v>164</v>
      </c>
      <c r="AI196" s="179"/>
      <c r="AP196" s="136"/>
      <c r="AT196" s="27" t="str">
        <f t="shared" si="6"/>
        <v>Activo</v>
      </c>
      <c r="AU196" s="27" cm="1">
        <f t="array" aca="1" ref="AU196" ca="1">_xlfn.IFS(AT196="","",AT196="Activo",TODAY()-H196,AT196="Inactivo",AP196-H196)</f>
        <v>298</v>
      </c>
      <c r="AV196" s="180">
        <f ca="1">IF(ISBLANK(Tabla1[[#This Row],[Fecha Nacimento (dd/mm/yyyy)]]),"",YEARFRAC(Tabla1[[#This Row],[Fecha Nacimento (dd/mm/yyyy)]],TODAY()))</f>
        <v>52.891666666666666</v>
      </c>
      <c r="AW196" s="141"/>
      <c r="AX196" s="27" t="str">
        <f t="shared" si="7"/>
        <v/>
      </c>
    </row>
    <row r="197" spans="1:50" s="27" customFormat="1" x14ac:dyDescent="0.25">
      <c r="A197" s="134">
        <v>197</v>
      </c>
      <c r="B197" s="27" t="s">
        <v>1322</v>
      </c>
      <c r="C197" s="27" t="s">
        <v>1323</v>
      </c>
      <c r="D197" s="27" t="s">
        <v>141</v>
      </c>
      <c r="E197" s="403">
        <v>1094920436</v>
      </c>
      <c r="F197" s="27" t="s">
        <v>142</v>
      </c>
      <c r="G197" s="27" t="s">
        <v>143</v>
      </c>
      <c r="H197" s="136">
        <v>45163</v>
      </c>
      <c r="I197" s="136"/>
      <c r="J197" s="27" t="s">
        <v>144</v>
      </c>
      <c r="K197" s="137">
        <v>1300000</v>
      </c>
      <c r="L197" s="27" t="s">
        <v>145</v>
      </c>
      <c r="M197" s="27" t="s">
        <v>262</v>
      </c>
      <c r="N197" s="27" t="s">
        <v>145</v>
      </c>
      <c r="O197" s="139" t="s">
        <v>1324</v>
      </c>
      <c r="Q197" s="27" t="s">
        <v>148</v>
      </c>
      <c r="R197" s="27" t="s">
        <v>168</v>
      </c>
      <c r="S197" s="27" t="s">
        <v>150</v>
      </c>
      <c r="T197" s="28" t="s">
        <v>1325</v>
      </c>
      <c r="U197" s="37">
        <v>33385</v>
      </c>
      <c r="V197" s="27" t="s">
        <v>1326</v>
      </c>
      <c r="W197" s="27">
        <v>3126759400</v>
      </c>
      <c r="X197" s="27" t="s">
        <v>979</v>
      </c>
      <c r="Y197" s="27" t="s">
        <v>1075</v>
      </c>
      <c r="Z197" s="27" t="s">
        <v>559</v>
      </c>
      <c r="AA197" s="27" t="s">
        <v>543</v>
      </c>
      <c r="AB197" s="27" t="s">
        <v>212</v>
      </c>
      <c r="AC197" s="135" t="s">
        <v>160</v>
      </c>
      <c r="AD197" s="135" t="s">
        <v>160</v>
      </c>
      <c r="AE197" s="27" t="s">
        <v>161</v>
      </c>
      <c r="AF197" s="27" t="s">
        <v>162</v>
      </c>
      <c r="AG197" s="27" t="s">
        <v>177</v>
      </c>
      <c r="AH197" s="27" t="s">
        <v>164</v>
      </c>
      <c r="AI197" s="179"/>
      <c r="AJ197" s="27" t="s">
        <v>164</v>
      </c>
      <c r="AK197" s="27" t="s">
        <v>214</v>
      </c>
      <c r="AL197" s="27" t="s">
        <v>164</v>
      </c>
      <c r="AM197" s="27" t="s">
        <v>164</v>
      </c>
      <c r="AN197" s="27" t="s">
        <v>214</v>
      </c>
      <c r="AO197" s="27" t="s">
        <v>164</v>
      </c>
      <c r="AP197" s="136">
        <v>45171</v>
      </c>
      <c r="AQ197" s="27" t="s">
        <v>52</v>
      </c>
      <c r="AT197" s="27" t="str">
        <f t="shared" si="6"/>
        <v>Inactivo</v>
      </c>
      <c r="AU197" s="27" cm="1">
        <f t="array" aca="1" ref="AU197" ca="1">_xlfn.IFS(AT197="","",AT197="Activo",TODAY()-H197,AT197="Inactivo",AP197-H197)</f>
        <v>8</v>
      </c>
      <c r="AV197" s="180">
        <f ca="1">IF(ISBLANK(Tabla1[[#This Row],[Fecha Nacimento (dd/mm/yyyy)]]),"",YEARFRAC(Tabla1[[#This Row],[Fecha Nacimento (dd/mm/yyyy)]],TODAY()))</f>
        <v>33.055555555555557</v>
      </c>
      <c r="AW197" s="141"/>
      <c r="AX197" s="27" t="str">
        <f t="shared" si="7"/>
        <v/>
      </c>
    </row>
    <row r="198" spans="1:50" s="27" customFormat="1" x14ac:dyDescent="0.25">
      <c r="A198" s="134">
        <v>198</v>
      </c>
      <c r="B198" s="27" t="s">
        <v>1327</v>
      </c>
      <c r="C198" s="27" t="s">
        <v>1328</v>
      </c>
      <c r="D198" s="27" t="s">
        <v>141</v>
      </c>
      <c r="E198" s="403">
        <v>1098310624</v>
      </c>
      <c r="F198" s="27" t="s">
        <v>142</v>
      </c>
      <c r="G198" s="27" t="s">
        <v>143</v>
      </c>
      <c r="H198" s="136">
        <v>45163</v>
      </c>
      <c r="I198" s="136"/>
      <c r="J198" s="27" t="s">
        <v>144</v>
      </c>
      <c r="K198" s="137">
        <v>1300000</v>
      </c>
      <c r="L198" s="27" t="s">
        <v>145</v>
      </c>
      <c r="M198" s="27" t="s">
        <v>355</v>
      </c>
      <c r="N198" s="27" t="s">
        <v>145</v>
      </c>
      <c r="O198" s="139" t="s">
        <v>1329</v>
      </c>
      <c r="Q198" s="27" t="s">
        <v>148</v>
      </c>
      <c r="R198" s="27" t="s">
        <v>168</v>
      </c>
      <c r="S198" s="27" t="s">
        <v>150</v>
      </c>
      <c r="T198" s="28" t="s">
        <v>1330</v>
      </c>
      <c r="U198" s="37">
        <v>34526</v>
      </c>
      <c r="V198" s="27" t="s">
        <v>1331</v>
      </c>
      <c r="W198" s="27">
        <v>3007608495</v>
      </c>
      <c r="X198" s="27" t="s">
        <v>268</v>
      </c>
      <c r="Y198" s="27" t="s">
        <v>367</v>
      </c>
      <c r="Z198" s="27" t="s">
        <v>368</v>
      </c>
      <c r="AA198" s="27" t="s">
        <v>211</v>
      </c>
      <c r="AB198" s="27" t="s">
        <v>175</v>
      </c>
      <c r="AC198" s="135" t="s">
        <v>160</v>
      </c>
      <c r="AD198" s="135" t="s">
        <v>160</v>
      </c>
      <c r="AE198" s="27" t="s">
        <v>272</v>
      </c>
      <c r="AF198" s="27" t="s">
        <v>176</v>
      </c>
      <c r="AG198" s="27" t="s">
        <v>177</v>
      </c>
      <c r="AH198" s="27" t="s">
        <v>164</v>
      </c>
      <c r="AI198" s="179"/>
      <c r="AJ198" s="27" t="s">
        <v>145</v>
      </c>
      <c r="AK198" s="27" t="s">
        <v>1069</v>
      </c>
      <c r="AL198" s="27" t="s">
        <v>145</v>
      </c>
      <c r="AM198" s="27" t="s">
        <v>145</v>
      </c>
      <c r="AN198" s="27" t="s">
        <v>1069</v>
      </c>
      <c r="AO198" s="27" t="s">
        <v>145</v>
      </c>
      <c r="AP198" s="136">
        <v>45242</v>
      </c>
      <c r="AQ198" s="27" t="s">
        <v>52</v>
      </c>
      <c r="AT198" s="27" t="str">
        <f t="shared" si="6"/>
        <v>Inactivo</v>
      </c>
      <c r="AU198" s="27" cm="1">
        <f t="array" aca="1" ref="AU198" ca="1">_xlfn.IFS(AT198="","",AT198="Activo",TODAY()-H198,AT198="Inactivo",AP198-H198)</f>
        <v>79</v>
      </c>
      <c r="AV198" s="180">
        <f ca="1">IF(ISBLANK(Tabla1[[#This Row],[Fecha Nacimento (dd/mm/yyyy)]]),"",YEARFRAC(Tabla1[[#This Row],[Fecha Nacimento (dd/mm/yyyy)]],TODAY()))</f>
        <v>29.933333333333334</v>
      </c>
      <c r="AW198" s="141"/>
      <c r="AX198" s="27" t="str">
        <f t="shared" si="7"/>
        <v/>
      </c>
    </row>
    <row r="199" spans="1:50" s="27" customFormat="1" x14ac:dyDescent="0.25">
      <c r="A199" s="134">
        <v>199</v>
      </c>
      <c r="B199" s="27" t="s">
        <v>1332</v>
      </c>
      <c r="C199" s="27" t="s">
        <v>1333</v>
      </c>
      <c r="D199" s="27" t="s">
        <v>141</v>
      </c>
      <c r="E199" s="403">
        <v>1001271515</v>
      </c>
      <c r="F199" s="27" t="s">
        <v>142</v>
      </c>
      <c r="G199" s="27" t="s">
        <v>143</v>
      </c>
      <c r="H199" s="136">
        <v>45170</v>
      </c>
      <c r="I199" s="136"/>
      <c r="J199" s="27" t="s">
        <v>144</v>
      </c>
      <c r="K199" s="137">
        <v>1300000</v>
      </c>
      <c r="L199" s="27" t="s">
        <v>145</v>
      </c>
      <c r="M199" s="27" t="s">
        <v>203</v>
      </c>
      <c r="N199" s="27" t="s">
        <v>145</v>
      </c>
      <c r="O199" s="139" t="s">
        <v>1334</v>
      </c>
      <c r="Q199" s="27" t="s">
        <v>148</v>
      </c>
      <c r="R199" s="27" t="s">
        <v>371</v>
      </c>
      <c r="S199" s="27" t="s">
        <v>150</v>
      </c>
      <c r="T199" s="28" t="s">
        <v>1335</v>
      </c>
      <c r="U199" s="37">
        <v>37193</v>
      </c>
      <c r="V199" s="27" t="s">
        <v>1336</v>
      </c>
      <c r="W199" s="27">
        <v>3135079748</v>
      </c>
      <c r="X199" s="27" t="s">
        <v>979</v>
      </c>
      <c r="Y199" s="27" t="s">
        <v>155</v>
      </c>
      <c r="Z199" s="27" t="s">
        <v>544</v>
      </c>
      <c r="AA199" s="27" t="s">
        <v>615</v>
      </c>
      <c r="AB199" s="27" t="s">
        <v>175</v>
      </c>
      <c r="AC199" s="135" t="s">
        <v>159</v>
      </c>
      <c r="AD199" s="135" t="s">
        <v>160</v>
      </c>
      <c r="AE199" s="27" t="s">
        <v>616</v>
      </c>
      <c r="AF199" s="27" t="s">
        <v>162</v>
      </c>
      <c r="AG199" s="27" t="s">
        <v>177</v>
      </c>
      <c r="AH199" s="27" t="s">
        <v>164</v>
      </c>
      <c r="AI199" s="179"/>
      <c r="AJ199" s="27" t="s">
        <v>164</v>
      </c>
      <c r="AK199" s="27" t="s">
        <v>214</v>
      </c>
      <c r="AL199" s="27" t="s">
        <v>164</v>
      </c>
      <c r="AM199" s="27" t="s">
        <v>164</v>
      </c>
      <c r="AN199" s="27" t="s">
        <v>214</v>
      </c>
      <c r="AO199" s="27" t="s">
        <v>214</v>
      </c>
      <c r="AP199" s="136">
        <v>45190</v>
      </c>
      <c r="AT199" s="27" t="str">
        <f t="shared" si="6"/>
        <v>Inactivo</v>
      </c>
      <c r="AU199" s="27" cm="1">
        <f t="array" aca="1" ref="AU199" ca="1">_xlfn.IFS(AT199="","",AT199="Activo",TODAY()-H199,AT199="Inactivo",AP199-H199)</f>
        <v>20</v>
      </c>
      <c r="AV199" s="180">
        <f ca="1">IF(ISBLANK(Tabla1[[#This Row],[Fecha Nacimento (dd/mm/yyyy)]]),"",YEARFRAC(Tabla1[[#This Row],[Fecha Nacimento (dd/mm/yyyy)]],TODAY()))</f>
        <v>22.633333333333333</v>
      </c>
      <c r="AW199" s="141"/>
      <c r="AX199" s="27" t="str">
        <f t="shared" si="7"/>
        <v/>
      </c>
    </row>
    <row r="200" spans="1:50" s="27" customFormat="1" x14ac:dyDescent="0.25">
      <c r="A200" s="134">
        <v>200</v>
      </c>
      <c r="B200" s="27" t="s">
        <v>1337</v>
      </c>
      <c r="C200" s="27" t="s">
        <v>1338</v>
      </c>
      <c r="D200" s="27" t="s">
        <v>141</v>
      </c>
      <c r="E200" s="400">
        <v>9807471</v>
      </c>
      <c r="F200" s="27" t="s">
        <v>142</v>
      </c>
      <c r="G200" s="27" t="s">
        <v>143</v>
      </c>
      <c r="H200" s="136">
        <v>45170</v>
      </c>
      <c r="I200" s="136"/>
      <c r="J200" s="27" t="s">
        <v>144</v>
      </c>
      <c r="K200" s="140">
        <v>1300000</v>
      </c>
      <c r="L200" s="27" t="s">
        <v>145</v>
      </c>
      <c r="M200" s="27" t="s">
        <v>262</v>
      </c>
      <c r="N200" s="27" t="s">
        <v>145</v>
      </c>
      <c r="O200" s="139" t="s">
        <v>1339</v>
      </c>
      <c r="Q200" s="27" t="s">
        <v>205</v>
      </c>
      <c r="T200" s="27" t="s">
        <v>217</v>
      </c>
      <c r="U200" s="37">
        <v>25484</v>
      </c>
      <c r="V200" s="27" t="s">
        <v>1340</v>
      </c>
      <c r="W200" s="27" t="s">
        <v>1341</v>
      </c>
      <c r="X200" s="27" t="s">
        <v>731</v>
      </c>
      <c r="Y200" s="27" t="s">
        <v>401</v>
      </c>
      <c r="Z200" s="27" t="s">
        <v>401</v>
      </c>
      <c r="AA200" s="27" t="s">
        <v>211</v>
      </c>
      <c r="AB200" s="27" t="s">
        <v>175</v>
      </c>
      <c r="AC200" s="27" t="s">
        <v>159</v>
      </c>
      <c r="AD200" s="27" t="s">
        <v>160</v>
      </c>
      <c r="AE200" s="27" t="s">
        <v>732</v>
      </c>
      <c r="AF200" s="27" t="s">
        <v>176</v>
      </c>
      <c r="AG200" s="27" t="s">
        <v>163</v>
      </c>
      <c r="AH200" s="27" t="s">
        <v>164</v>
      </c>
      <c r="AI200" s="179"/>
      <c r="AJ200" s="27" t="s">
        <v>304</v>
      </c>
      <c r="AK200" s="27" t="s">
        <v>214</v>
      </c>
      <c r="AL200" s="27" t="s">
        <v>214</v>
      </c>
      <c r="AM200" s="27" t="s">
        <v>164</v>
      </c>
      <c r="AN200" s="27" t="s">
        <v>214</v>
      </c>
      <c r="AO200" s="27" t="s">
        <v>214</v>
      </c>
      <c r="AP200" s="136"/>
      <c r="AT200" s="27" t="str">
        <f t="shared" si="6"/>
        <v>Activo</v>
      </c>
      <c r="AU200" s="27" cm="1">
        <f t="array" aca="1" ref="AU200" ca="1">_xlfn.IFS(AT200="","",AT200="Activo",TODAY()-H200,AT200="Inactivo",AP200-H200)</f>
        <v>290</v>
      </c>
      <c r="AV200" s="180">
        <f ca="1">IF(ISBLANK(Tabla1[[#This Row],[Fecha Nacimento (dd/mm/yyyy)]]),"",YEARFRAC(Tabla1[[#This Row],[Fecha Nacimento (dd/mm/yyyy)]],TODAY()))</f>
        <v>54.69166666666667</v>
      </c>
      <c r="AW200" s="141"/>
      <c r="AX200" s="27" t="str">
        <f t="shared" si="7"/>
        <v/>
      </c>
    </row>
    <row r="201" spans="1:50" s="27" customFormat="1" x14ac:dyDescent="0.25">
      <c r="A201" s="134">
        <v>201</v>
      </c>
      <c r="B201" s="141" t="s">
        <v>1342</v>
      </c>
      <c r="C201" s="141" t="s">
        <v>1343</v>
      </c>
      <c r="D201" s="27" t="s">
        <v>141</v>
      </c>
      <c r="E201" s="402">
        <v>93456608</v>
      </c>
      <c r="F201" s="141" t="s">
        <v>142</v>
      </c>
      <c r="G201" s="27" t="s">
        <v>143</v>
      </c>
      <c r="H201" s="142">
        <v>45170</v>
      </c>
      <c r="I201" s="136"/>
      <c r="J201" s="27" t="s">
        <v>144</v>
      </c>
      <c r="K201" s="137">
        <v>1300000</v>
      </c>
      <c r="L201" s="27" t="s">
        <v>164</v>
      </c>
      <c r="M201" s="141" t="s">
        <v>203</v>
      </c>
      <c r="O201" s="139"/>
      <c r="Q201" s="27" t="s">
        <v>205</v>
      </c>
      <c r="U201" s="181">
        <v>28613</v>
      </c>
      <c r="V201" s="141" t="s">
        <v>1344</v>
      </c>
      <c r="W201" s="141" t="s">
        <v>1345</v>
      </c>
      <c r="X201" s="141" t="s">
        <v>703</v>
      </c>
      <c r="Y201" s="141" t="s">
        <v>209</v>
      </c>
      <c r="Z201" s="141" t="s">
        <v>1346</v>
      </c>
      <c r="AA201" s="141" t="s">
        <v>211</v>
      </c>
      <c r="AB201" s="141" t="s">
        <v>175</v>
      </c>
      <c r="AC201" s="141" t="s">
        <v>160</v>
      </c>
      <c r="AD201" s="141" t="s">
        <v>160</v>
      </c>
      <c r="AE201" s="27" t="s">
        <v>213</v>
      </c>
      <c r="AF201" s="27" t="s">
        <v>176</v>
      </c>
      <c r="AG201" s="27" t="s">
        <v>177</v>
      </c>
      <c r="AH201" s="27" t="s">
        <v>164</v>
      </c>
      <c r="AI201" s="179"/>
      <c r="AJ201" s="27" t="s">
        <v>164</v>
      </c>
      <c r="AK201" s="27" t="s">
        <v>214</v>
      </c>
      <c r="AL201" s="27" t="s">
        <v>214</v>
      </c>
      <c r="AM201" s="27" t="s">
        <v>164</v>
      </c>
      <c r="AN201" s="27" t="s">
        <v>214</v>
      </c>
      <c r="AO201" s="27" t="s">
        <v>214</v>
      </c>
      <c r="AP201" s="136"/>
      <c r="AT201" s="27" t="str">
        <f t="shared" si="6"/>
        <v>Activo</v>
      </c>
      <c r="AU201" s="27" cm="1">
        <f t="array" aca="1" ref="AU201" ca="1">_xlfn.IFS(AT201="","",AT201="Activo",TODAY()-H201,AT201="Inactivo",AP201-H201)</f>
        <v>290</v>
      </c>
      <c r="AV201" s="180">
        <f ca="1">IF(ISBLANK(Tabla1[[#This Row],[Fecha Nacimento (dd/mm/yyyy)]]),"",YEARFRAC(Tabla1[[#This Row],[Fecha Nacimento (dd/mm/yyyy)]],TODAY()))</f>
        <v>46.12222222222222</v>
      </c>
      <c r="AW201" s="141"/>
      <c r="AX201" s="27" t="str">
        <f t="shared" si="7"/>
        <v/>
      </c>
    </row>
    <row r="202" spans="1:50" s="27" customFormat="1" x14ac:dyDescent="0.25">
      <c r="A202" s="134">
        <v>202</v>
      </c>
      <c r="B202" s="27" t="s">
        <v>1347</v>
      </c>
      <c r="C202" s="27" t="s">
        <v>1348</v>
      </c>
      <c r="D202" s="27" t="s">
        <v>141</v>
      </c>
      <c r="E202" s="400">
        <v>1006293809</v>
      </c>
      <c r="F202" s="27" t="s">
        <v>142</v>
      </c>
      <c r="G202" s="27" t="s">
        <v>143</v>
      </c>
      <c r="H202" s="136">
        <v>45170</v>
      </c>
      <c r="I202" s="136"/>
      <c r="J202" s="27" t="s">
        <v>144</v>
      </c>
      <c r="K202" s="137">
        <v>1300000</v>
      </c>
      <c r="L202" s="27" t="s">
        <v>164</v>
      </c>
      <c r="M202" s="27" t="s">
        <v>203</v>
      </c>
      <c r="N202" s="27" t="s">
        <v>145</v>
      </c>
      <c r="Q202" s="27" t="s">
        <v>205</v>
      </c>
      <c r="T202" s="28"/>
      <c r="U202" s="37">
        <v>37358</v>
      </c>
      <c r="V202" s="27" t="s">
        <v>1349</v>
      </c>
      <c r="X202" s="27" t="s">
        <v>1061</v>
      </c>
      <c r="Y202" s="27" t="s">
        <v>19</v>
      </c>
      <c r="Z202" s="27" t="s">
        <v>223</v>
      </c>
      <c r="AA202" s="27" t="s">
        <v>211</v>
      </c>
      <c r="AB202" s="27" t="s">
        <v>175</v>
      </c>
      <c r="AC202" s="27" t="s">
        <v>160</v>
      </c>
      <c r="AD202" s="27" t="s">
        <v>160</v>
      </c>
      <c r="AE202" s="27" t="s">
        <v>848</v>
      </c>
      <c r="AF202" s="27" t="s">
        <v>176</v>
      </c>
      <c r="AG202" s="27" t="s">
        <v>177</v>
      </c>
      <c r="AH202" s="27" t="s">
        <v>164</v>
      </c>
      <c r="AI202" s="179"/>
      <c r="AJ202" s="27" t="s">
        <v>164</v>
      </c>
      <c r="AK202" s="27" t="s">
        <v>214</v>
      </c>
      <c r="AL202" s="27" t="s">
        <v>164</v>
      </c>
      <c r="AM202" s="27" t="s">
        <v>164</v>
      </c>
      <c r="AN202" s="27" t="s">
        <v>214</v>
      </c>
      <c r="AO202" s="27" t="s">
        <v>164</v>
      </c>
      <c r="AP202" s="136">
        <v>45205</v>
      </c>
      <c r="AQ202" s="27" t="s">
        <v>52</v>
      </c>
      <c r="AT202" s="27" t="str">
        <f t="shared" si="6"/>
        <v>Inactivo</v>
      </c>
      <c r="AU202" s="27" cm="1">
        <f t="array" aca="1" ref="AU202" ca="1">_xlfn.IFS(AT202="","",AT202="Activo",TODAY()-H202,AT202="Inactivo",AP202-H202)</f>
        <v>35</v>
      </c>
      <c r="AV202" s="180">
        <f ca="1">IF(ISBLANK(Tabla1[[#This Row],[Fecha Nacimento (dd/mm/yyyy)]]),"",YEARFRAC(Tabla1[[#This Row],[Fecha Nacimento (dd/mm/yyyy)]],TODAY()))</f>
        <v>22.180555555555557</v>
      </c>
      <c r="AW202" s="141"/>
      <c r="AX202" s="27" t="str">
        <f t="shared" si="7"/>
        <v/>
      </c>
    </row>
    <row r="203" spans="1:50" s="27" customFormat="1" x14ac:dyDescent="0.25">
      <c r="A203" s="134">
        <v>203</v>
      </c>
      <c r="B203" s="27" t="s">
        <v>1350</v>
      </c>
      <c r="C203" s="27" t="s">
        <v>1351</v>
      </c>
      <c r="D203" s="27" t="s">
        <v>141</v>
      </c>
      <c r="E203" s="400">
        <v>1005368181</v>
      </c>
      <c r="F203" s="27" t="s">
        <v>142</v>
      </c>
      <c r="G203" s="27" t="s">
        <v>143</v>
      </c>
      <c r="H203" s="136">
        <v>45170</v>
      </c>
      <c r="I203" s="136"/>
      <c r="J203" s="27" t="s">
        <v>144</v>
      </c>
      <c r="K203" s="137">
        <v>1300000</v>
      </c>
      <c r="L203" s="27" t="s">
        <v>145</v>
      </c>
      <c r="M203" s="27" t="s">
        <v>203</v>
      </c>
      <c r="N203" s="27" t="s">
        <v>145</v>
      </c>
      <c r="O203" s="139" t="s">
        <v>1352</v>
      </c>
      <c r="Q203" s="27" t="s">
        <v>148</v>
      </c>
      <c r="R203" s="27" t="s">
        <v>149</v>
      </c>
      <c r="S203" s="27" t="s">
        <v>150</v>
      </c>
      <c r="T203" s="27" t="s">
        <v>1353</v>
      </c>
      <c r="U203" s="37">
        <v>37381</v>
      </c>
      <c r="V203" s="27" t="s">
        <v>1354</v>
      </c>
      <c r="W203" s="27" t="s">
        <v>1355</v>
      </c>
      <c r="X203" s="27" t="s">
        <v>675</v>
      </c>
      <c r="Y203" s="27" t="s">
        <v>222</v>
      </c>
      <c r="Z203" s="27" t="s">
        <v>642</v>
      </c>
      <c r="AA203" s="27" t="s">
        <v>211</v>
      </c>
      <c r="AB203" s="27" t="s">
        <v>158</v>
      </c>
      <c r="AC203" s="27" t="s">
        <v>159</v>
      </c>
      <c r="AD203" s="27" t="s">
        <v>160</v>
      </c>
      <c r="AE203" s="27" t="s">
        <v>224</v>
      </c>
      <c r="AF203" s="27" t="s">
        <v>176</v>
      </c>
      <c r="AG203" s="27" t="s">
        <v>177</v>
      </c>
      <c r="AI203" s="179"/>
      <c r="AP203" s="136">
        <v>45306</v>
      </c>
      <c r="AQ203" s="27" t="s">
        <v>65</v>
      </c>
      <c r="AR203" s="27" t="s">
        <v>234</v>
      </c>
      <c r="AT203" s="27" t="str">
        <f t="shared" si="6"/>
        <v>Inactivo</v>
      </c>
      <c r="AU203" s="27" cm="1">
        <f t="array" aca="1" ref="AU203" ca="1">_xlfn.IFS(AT203="","",AT203="Activo",TODAY()-H203,AT203="Inactivo",AP203-H203)</f>
        <v>136</v>
      </c>
      <c r="AV203" s="180">
        <f ca="1">IF(ISBLANK(Tabla1[[#This Row],[Fecha Nacimento (dd/mm/yyyy)]]),"",YEARFRAC(Tabla1[[#This Row],[Fecha Nacimento (dd/mm/yyyy)]],TODAY()))</f>
        <v>22.116666666666667</v>
      </c>
      <c r="AW203" s="141"/>
      <c r="AX203" s="27" t="str">
        <f t="shared" si="7"/>
        <v/>
      </c>
    </row>
    <row r="204" spans="1:50" s="27" customFormat="1" x14ac:dyDescent="0.25">
      <c r="A204" s="134">
        <v>204</v>
      </c>
      <c r="B204" s="27" t="s">
        <v>1356</v>
      </c>
      <c r="C204" s="27" t="s">
        <v>1357</v>
      </c>
      <c r="D204" s="27" t="s">
        <v>141</v>
      </c>
      <c r="E204" s="400">
        <v>1037262274</v>
      </c>
      <c r="F204" s="27" t="s">
        <v>142</v>
      </c>
      <c r="G204" s="27" t="s">
        <v>143</v>
      </c>
      <c r="H204" s="136">
        <v>45170</v>
      </c>
      <c r="I204" s="136"/>
      <c r="J204" s="27" t="s">
        <v>144</v>
      </c>
      <c r="K204" s="137">
        <v>1300000</v>
      </c>
      <c r="L204" s="27" t="s">
        <v>145</v>
      </c>
      <c r="M204" s="27" t="s">
        <v>203</v>
      </c>
      <c r="N204" s="27" t="s">
        <v>145</v>
      </c>
      <c r="O204" s="139" t="s">
        <v>1358</v>
      </c>
      <c r="Q204" s="27" t="s">
        <v>148</v>
      </c>
      <c r="R204" s="27" t="s">
        <v>149</v>
      </c>
      <c r="S204" s="27" t="s">
        <v>150</v>
      </c>
      <c r="T204" s="27" t="s">
        <v>1359</v>
      </c>
      <c r="U204" s="37">
        <v>38094</v>
      </c>
      <c r="V204" s="27" t="s">
        <v>1354</v>
      </c>
      <c r="W204" s="27" t="s">
        <v>1360</v>
      </c>
      <c r="X204" s="27" t="s">
        <v>675</v>
      </c>
      <c r="Y204" s="27" t="s">
        <v>222</v>
      </c>
      <c r="Z204" s="27" t="s">
        <v>642</v>
      </c>
      <c r="AA204" s="27" t="s">
        <v>211</v>
      </c>
      <c r="AB204" s="27" t="s">
        <v>175</v>
      </c>
      <c r="AC204" s="27" t="s">
        <v>159</v>
      </c>
      <c r="AD204" s="27" t="s">
        <v>160</v>
      </c>
      <c r="AE204" s="27" t="s">
        <v>224</v>
      </c>
      <c r="AF204" s="27" t="s">
        <v>176</v>
      </c>
      <c r="AG204" s="27" t="s">
        <v>177</v>
      </c>
      <c r="AI204" s="179"/>
      <c r="AP204" s="136">
        <v>45306</v>
      </c>
      <c r="AQ204" s="27" t="s">
        <v>65</v>
      </c>
      <c r="AR204" s="27" t="s">
        <v>234</v>
      </c>
      <c r="AT204" s="27" t="str">
        <f t="shared" si="6"/>
        <v>Inactivo</v>
      </c>
      <c r="AU204" s="27" cm="1">
        <f t="array" aca="1" ref="AU204" ca="1">_xlfn.IFS(AT204="","",AT204="Activo",TODAY()-H204,AT204="Inactivo",AP204-H204)</f>
        <v>136</v>
      </c>
      <c r="AV204" s="180">
        <f ca="1">IF(ISBLANK(Tabla1[[#This Row],[Fecha Nacimento (dd/mm/yyyy)]]),"",YEARFRAC(Tabla1[[#This Row],[Fecha Nacimento (dd/mm/yyyy)]],TODAY()))</f>
        <v>20.166666666666668</v>
      </c>
      <c r="AW204" s="141"/>
      <c r="AX204" s="27" t="str">
        <f t="shared" si="7"/>
        <v/>
      </c>
    </row>
    <row r="205" spans="1:50" s="27" customFormat="1" x14ac:dyDescent="0.25">
      <c r="A205" s="134">
        <v>205</v>
      </c>
      <c r="B205" s="27" t="s">
        <v>1361</v>
      </c>
      <c r="C205" s="27" t="s">
        <v>1362</v>
      </c>
      <c r="D205" s="27" t="s">
        <v>141</v>
      </c>
      <c r="E205" s="400">
        <v>1005091433</v>
      </c>
      <c r="F205" s="27" t="s">
        <v>142</v>
      </c>
      <c r="G205" s="27" t="s">
        <v>143</v>
      </c>
      <c r="H205" s="136">
        <v>45170</v>
      </c>
      <c r="I205" s="136"/>
      <c r="J205" s="27" t="s">
        <v>144</v>
      </c>
      <c r="K205" s="137">
        <v>1300000</v>
      </c>
      <c r="L205" s="27" t="s">
        <v>145</v>
      </c>
      <c r="M205" s="27" t="s">
        <v>203</v>
      </c>
      <c r="N205" s="27" t="s">
        <v>145</v>
      </c>
      <c r="O205" s="139" t="s">
        <v>1363</v>
      </c>
      <c r="Q205" s="27" t="s">
        <v>148</v>
      </c>
      <c r="R205" s="27" t="s">
        <v>149</v>
      </c>
      <c r="S205" s="27" t="s">
        <v>150</v>
      </c>
      <c r="T205" s="27" t="s">
        <v>1364</v>
      </c>
      <c r="U205" s="37">
        <v>36527</v>
      </c>
      <c r="V205" s="27" t="s">
        <v>1354</v>
      </c>
      <c r="W205" s="27" t="s">
        <v>1365</v>
      </c>
      <c r="X205" s="27" t="s">
        <v>675</v>
      </c>
      <c r="Y205" s="27" t="s">
        <v>222</v>
      </c>
      <c r="Z205" s="27" t="s">
        <v>642</v>
      </c>
      <c r="AA205" s="27" t="s">
        <v>211</v>
      </c>
      <c r="AB205" s="27" t="s">
        <v>233</v>
      </c>
      <c r="AC205" s="27" t="s">
        <v>159</v>
      </c>
      <c r="AD205" s="27" t="s">
        <v>160</v>
      </c>
      <c r="AE205" s="27" t="s">
        <v>224</v>
      </c>
      <c r="AF205" s="27" t="s">
        <v>162</v>
      </c>
      <c r="AG205" s="27" t="s">
        <v>177</v>
      </c>
      <c r="AI205" s="179"/>
      <c r="AP205" s="136">
        <v>45306</v>
      </c>
      <c r="AQ205" s="27" t="s">
        <v>65</v>
      </c>
      <c r="AR205" s="27" t="s">
        <v>234</v>
      </c>
      <c r="AT205" s="27" t="str">
        <f t="shared" si="6"/>
        <v>Inactivo</v>
      </c>
      <c r="AU205" s="27" cm="1">
        <f t="array" aca="1" ref="AU205" ca="1">_xlfn.IFS(AT205="","",AT205="Activo",TODAY()-H205,AT205="Inactivo",AP205-H205)</f>
        <v>136</v>
      </c>
      <c r="AV205" s="180">
        <f ca="1">IF(ISBLANK(Tabla1[[#This Row],[Fecha Nacimento (dd/mm/yyyy)]]),"",YEARFRAC(Tabla1[[#This Row],[Fecha Nacimento (dd/mm/yyyy)]],TODAY()))</f>
        <v>24.458333333333332</v>
      </c>
      <c r="AW205" s="141"/>
      <c r="AX205" s="27" t="str">
        <f t="shared" si="7"/>
        <v/>
      </c>
    </row>
    <row r="206" spans="1:50" s="27" customFormat="1" x14ac:dyDescent="0.25">
      <c r="A206" s="134">
        <v>206</v>
      </c>
      <c r="B206" s="27" t="s">
        <v>1366</v>
      </c>
      <c r="C206" s="27" t="s">
        <v>1367</v>
      </c>
      <c r="D206" s="27" t="s">
        <v>141</v>
      </c>
      <c r="E206" s="403">
        <v>1037262274</v>
      </c>
      <c r="F206" s="27" t="s">
        <v>142</v>
      </c>
      <c r="G206" s="27" t="s">
        <v>143</v>
      </c>
      <c r="H206" s="136">
        <v>45307</v>
      </c>
      <c r="I206" s="136"/>
      <c r="J206" s="27" t="s">
        <v>144</v>
      </c>
      <c r="K206" s="137">
        <v>1300000</v>
      </c>
      <c r="L206" s="27" t="s">
        <v>145</v>
      </c>
      <c r="M206" s="27" t="s">
        <v>355</v>
      </c>
      <c r="N206" s="27" t="s">
        <v>145</v>
      </c>
      <c r="O206" s="139" t="s">
        <v>1358</v>
      </c>
      <c r="T206" s="28"/>
      <c r="U206" s="37">
        <v>38094</v>
      </c>
      <c r="V206" s="27" t="s">
        <v>1368</v>
      </c>
      <c r="W206" s="27">
        <v>3205831488</v>
      </c>
      <c r="AC206" s="135"/>
      <c r="AD206" s="135"/>
      <c r="AE206" s="27" t="s">
        <v>1369</v>
      </c>
      <c r="AF206" s="27" t="s">
        <v>176</v>
      </c>
      <c r="AI206" s="179"/>
      <c r="AP206" s="136"/>
      <c r="AT206" s="27" t="str">
        <f t="shared" si="6"/>
        <v>Activo</v>
      </c>
      <c r="AU206" s="27" cm="1">
        <f t="array" aca="1" ref="AU206" ca="1">_xlfn.IFS(AT206="","",AT206="Activo",TODAY()-H206,AT206="Inactivo",AP206-H206)</f>
        <v>153</v>
      </c>
      <c r="AV206" s="180">
        <f ca="1">IF(ISBLANK(Tabla1[[#This Row],[Fecha Nacimento (dd/mm/yyyy)]]),"",YEARFRAC(Tabla1[[#This Row],[Fecha Nacimento (dd/mm/yyyy)]],TODAY()))</f>
        <v>20.166666666666668</v>
      </c>
      <c r="AW206" s="141"/>
      <c r="AX206" s="27" t="str">
        <f t="shared" si="7"/>
        <v/>
      </c>
    </row>
    <row r="207" spans="1:50" s="27" customFormat="1" x14ac:dyDescent="0.25">
      <c r="A207" s="134">
        <v>207</v>
      </c>
      <c r="B207" s="27" t="s">
        <v>1370</v>
      </c>
      <c r="C207" s="27" t="s">
        <v>1371</v>
      </c>
      <c r="D207" s="27" t="s">
        <v>141</v>
      </c>
      <c r="E207" s="403">
        <v>1063145801</v>
      </c>
      <c r="F207" s="27" t="s">
        <v>142</v>
      </c>
      <c r="G207" s="27" t="s">
        <v>143</v>
      </c>
      <c r="H207" s="136">
        <v>45173</v>
      </c>
      <c r="I207" s="136"/>
      <c r="J207" s="27" t="s">
        <v>144</v>
      </c>
      <c r="K207" s="137">
        <v>1300000</v>
      </c>
      <c r="L207" s="27" t="s">
        <v>145</v>
      </c>
      <c r="M207" s="27" t="s">
        <v>203</v>
      </c>
      <c r="N207" s="27" t="s">
        <v>145</v>
      </c>
      <c r="O207" s="139" t="s">
        <v>1372</v>
      </c>
      <c r="Q207" s="27" t="s">
        <v>148</v>
      </c>
      <c r="R207" s="27" t="s">
        <v>426</v>
      </c>
      <c r="S207" s="27" t="s">
        <v>150</v>
      </c>
      <c r="T207" s="28" t="s">
        <v>1373</v>
      </c>
      <c r="U207" s="37">
        <v>31090</v>
      </c>
      <c r="V207" s="27" t="s">
        <v>1374</v>
      </c>
      <c r="W207" s="27">
        <v>3005533865</v>
      </c>
      <c r="X207" s="27" t="s">
        <v>1375</v>
      </c>
      <c r="Y207" s="27" t="s">
        <v>1075</v>
      </c>
      <c r="Z207" s="27" t="s">
        <v>1376</v>
      </c>
      <c r="AA207" s="27" t="s">
        <v>543</v>
      </c>
      <c r="AB207" s="27" t="s">
        <v>186</v>
      </c>
      <c r="AC207" s="135" t="s">
        <v>160</v>
      </c>
      <c r="AD207" s="135" t="s">
        <v>160</v>
      </c>
      <c r="AE207" s="27" t="s">
        <v>1184</v>
      </c>
      <c r="AF207" s="27" t="s">
        <v>162</v>
      </c>
      <c r="AG207" s="27" t="s">
        <v>177</v>
      </c>
      <c r="AH207" s="27" t="s">
        <v>145</v>
      </c>
      <c r="AI207" s="179">
        <v>207828</v>
      </c>
      <c r="AJ207" s="27" t="s">
        <v>164</v>
      </c>
      <c r="AK207" s="27" t="s">
        <v>214</v>
      </c>
      <c r="AL207" s="27" t="s">
        <v>214</v>
      </c>
      <c r="AM207" s="27" t="s">
        <v>164</v>
      </c>
      <c r="AN207" s="27" t="s">
        <v>214</v>
      </c>
      <c r="AO207" s="27" t="s">
        <v>164</v>
      </c>
      <c r="AP207" s="136">
        <v>45184</v>
      </c>
      <c r="AQ207" s="27" t="s">
        <v>1190</v>
      </c>
      <c r="AT207" s="27" t="str">
        <f t="shared" si="6"/>
        <v>Inactivo</v>
      </c>
      <c r="AU207" s="27" cm="1">
        <f t="array" aca="1" ref="AU207" ca="1">_xlfn.IFS(AT207="","",AT207="Activo",TODAY()-H207,AT207="Inactivo",AP207-H207)</f>
        <v>11</v>
      </c>
      <c r="AV207" s="180">
        <f ca="1">IF(ISBLANK(Tabla1[[#This Row],[Fecha Nacimento (dd/mm/yyyy)]]),"",YEARFRAC(Tabla1[[#This Row],[Fecha Nacimento (dd/mm/yyyy)]],TODAY()))</f>
        <v>39.347222222222221</v>
      </c>
      <c r="AW207" s="141"/>
      <c r="AX207" s="27" t="str">
        <f t="shared" si="7"/>
        <v/>
      </c>
    </row>
    <row r="208" spans="1:50" s="27" customFormat="1" x14ac:dyDescent="0.25">
      <c r="A208" s="134">
        <v>208</v>
      </c>
      <c r="B208" s="27" t="s">
        <v>1377</v>
      </c>
      <c r="C208" s="27" t="s">
        <v>1378</v>
      </c>
      <c r="D208" s="27" t="s">
        <v>141</v>
      </c>
      <c r="E208" s="403">
        <v>1098309232</v>
      </c>
      <c r="F208" s="27" t="s">
        <v>142</v>
      </c>
      <c r="G208" s="27" t="s">
        <v>143</v>
      </c>
      <c r="H208" s="136">
        <v>45176</v>
      </c>
      <c r="I208" s="136"/>
      <c r="J208" s="27" t="s">
        <v>144</v>
      </c>
      <c r="K208" s="137">
        <v>1300000</v>
      </c>
      <c r="L208" s="27" t="s">
        <v>145</v>
      </c>
      <c r="M208" s="27" t="s">
        <v>355</v>
      </c>
      <c r="N208" s="27" t="s">
        <v>145</v>
      </c>
      <c r="O208" s="139" t="s">
        <v>1379</v>
      </c>
      <c r="Q208" s="27" t="s">
        <v>148</v>
      </c>
      <c r="R208" s="27" t="s">
        <v>371</v>
      </c>
      <c r="S208" s="27" t="s">
        <v>150</v>
      </c>
      <c r="T208" s="28" t="s">
        <v>1380</v>
      </c>
      <c r="U208" s="37">
        <v>33548</v>
      </c>
      <c r="V208" s="27" t="s">
        <v>1381</v>
      </c>
      <c r="W208" s="27">
        <v>3013214499</v>
      </c>
      <c r="X208" s="27" t="s">
        <v>268</v>
      </c>
      <c r="Y208" s="27" t="s">
        <v>367</v>
      </c>
      <c r="Z208" s="27" t="s">
        <v>368</v>
      </c>
      <c r="AA208" s="27" t="s">
        <v>211</v>
      </c>
      <c r="AB208" s="27" t="s">
        <v>175</v>
      </c>
      <c r="AC208" s="135" t="s">
        <v>271</v>
      </c>
      <c r="AD208" s="135" t="s">
        <v>271</v>
      </c>
      <c r="AE208" s="27" t="s">
        <v>272</v>
      </c>
      <c r="AF208" s="27" t="s">
        <v>162</v>
      </c>
      <c r="AG208" s="27" t="s">
        <v>177</v>
      </c>
      <c r="AH208" s="27" t="s">
        <v>164</v>
      </c>
      <c r="AI208" s="179"/>
      <c r="AJ208" s="27" t="s">
        <v>1382</v>
      </c>
      <c r="AK208" s="27" t="s">
        <v>1069</v>
      </c>
      <c r="AL208" s="27" t="s">
        <v>214</v>
      </c>
      <c r="AM208" s="27" t="s">
        <v>145</v>
      </c>
      <c r="AN208" s="27" t="s">
        <v>1069</v>
      </c>
      <c r="AO208" s="27" t="s">
        <v>164</v>
      </c>
      <c r="AP208" s="136">
        <v>45199</v>
      </c>
      <c r="AQ208" s="27" t="s">
        <v>52</v>
      </c>
      <c r="AT208" s="27" t="str">
        <f t="shared" si="6"/>
        <v>Inactivo</v>
      </c>
      <c r="AU208" s="27" cm="1">
        <f t="array" aca="1" ref="AU208" ca="1">_xlfn.IFS(AT208="","",AT208="Activo",TODAY()-H208,AT208="Inactivo",AP208-H208)</f>
        <v>23</v>
      </c>
      <c r="AV208" s="180">
        <f ca="1">IF(ISBLANK(Tabla1[[#This Row],[Fecha Nacimento (dd/mm/yyyy)]]),"",YEARFRAC(Tabla1[[#This Row],[Fecha Nacimento (dd/mm/yyyy)]],TODAY()))</f>
        <v>32.613888888888887</v>
      </c>
      <c r="AW208" s="141"/>
      <c r="AX208" s="27" t="str">
        <f t="shared" si="7"/>
        <v/>
      </c>
    </row>
    <row r="209" spans="1:50" s="27" customFormat="1" x14ac:dyDescent="0.25">
      <c r="A209" s="134">
        <v>209</v>
      </c>
      <c r="B209" s="27" t="s">
        <v>1383</v>
      </c>
      <c r="C209" s="27" t="s">
        <v>1384</v>
      </c>
      <c r="D209" s="27" t="s">
        <v>141</v>
      </c>
      <c r="E209" s="403">
        <v>1112482332</v>
      </c>
      <c r="F209" s="27" t="s">
        <v>142</v>
      </c>
      <c r="G209" s="27" t="s">
        <v>143</v>
      </c>
      <c r="H209" s="136">
        <v>45180</v>
      </c>
      <c r="I209" s="136"/>
      <c r="J209" s="27" t="s">
        <v>144</v>
      </c>
      <c r="K209" s="137">
        <v>1244320</v>
      </c>
      <c r="L209" s="27" t="s">
        <v>145</v>
      </c>
      <c r="M209" s="27" t="s">
        <v>203</v>
      </c>
      <c r="N209" s="27" t="s">
        <v>145</v>
      </c>
      <c r="O209" s="139" t="s">
        <v>1385</v>
      </c>
      <c r="Q209" s="27" t="s">
        <v>148</v>
      </c>
      <c r="R209" s="27" t="s">
        <v>168</v>
      </c>
      <c r="S209" s="27" t="s">
        <v>150</v>
      </c>
      <c r="T209" s="28" t="s">
        <v>1386</v>
      </c>
      <c r="U209" s="37">
        <v>34558</v>
      </c>
      <c r="V209" s="27" t="s">
        <v>1387</v>
      </c>
      <c r="W209" s="27">
        <v>3122621284</v>
      </c>
      <c r="X209" s="27" t="s">
        <v>1181</v>
      </c>
      <c r="Y209" s="27" t="s">
        <v>1075</v>
      </c>
      <c r="Z209" s="27" t="s">
        <v>1388</v>
      </c>
      <c r="AA209" s="27" t="s">
        <v>543</v>
      </c>
      <c r="AB209" s="27" t="s">
        <v>158</v>
      </c>
      <c r="AC209" s="135" t="s">
        <v>160</v>
      </c>
      <c r="AD209" s="135" t="s">
        <v>160</v>
      </c>
      <c r="AE209" s="27" t="s">
        <v>1184</v>
      </c>
      <c r="AF209" s="27" t="s">
        <v>162</v>
      </c>
      <c r="AG209" s="27" t="s">
        <v>177</v>
      </c>
      <c r="AH209" s="27" t="s">
        <v>145</v>
      </c>
      <c r="AI209" s="179">
        <v>207828</v>
      </c>
      <c r="AJ209" s="27" t="s">
        <v>164</v>
      </c>
      <c r="AK209" s="27" t="s">
        <v>214</v>
      </c>
      <c r="AL209" s="27" t="s">
        <v>214</v>
      </c>
      <c r="AM209" s="27" t="s">
        <v>164</v>
      </c>
      <c r="AN209" s="27" t="s">
        <v>214</v>
      </c>
      <c r="AO209" s="27" t="s">
        <v>164</v>
      </c>
      <c r="AP209" s="136">
        <v>44927</v>
      </c>
      <c r="AT209" s="27" t="str">
        <f t="shared" si="6"/>
        <v>Inactivo</v>
      </c>
      <c r="AU209" s="27" cm="1">
        <f t="array" aca="1" ref="AU209" ca="1">_xlfn.IFS(AT209="","",AT209="Activo",TODAY()-H209,AT209="Inactivo",AP209-H209)</f>
        <v>-253</v>
      </c>
      <c r="AV209" s="180">
        <f ca="1">IF(ISBLANK(Tabla1[[#This Row],[Fecha Nacimento (dd/mm/yyyy)]]),"",YEARFRAC(Tabla1[[#This Row],[Fecha Nacimento (dd/mm/yyyy)]],TODAY()))</f>
        <v>29.847222222222221</v>
      </c>
      <c r="AW209" s="141"/>
      <c r="AX209" s="27" t="str">
        <f t="shared" si="7"/>
        <v/>
      </c>
    </row>
    <row r="210" spans="1:50" s="27" customFormat="1" x14ac:dyDescent="0.25">
      <c r="A210" s="134">
        <v>210</v>
      </c>
      <c r="B210" s="27" t="s">
        <v>1389</v>
      </c>
      <c r="C210" s="27" t="s">
        <v>1390</v>
      </c>
      <c r="D210" s="27" t="s">
        <v>141</v>
      </c>
      <c r="E210" s="403">
        <v>66723709</v>
      </c>
      <c r="F210" s="27" t="s">
        <v>142</v>
      </c>
      <c r="G210" s="27" t="s">
        <v>143</v>
      </c>
      <c r="H210" s="136">
        <v>45180</v>
      </c>
      <c r="I210" s="136"/>
      <c r="J210" s="27" t="s">
        <v>144</v>
      </c>
      <c r="K210" s="137">
        <v>1244320</v>
      </c>
      <c r="L210" s="27" t="s">
        <v>145</v>
      </c>
      <c r="M210" s="27" t="s">
        <v>203</v>
      </c>
      <c r="N210" s="27" t="s">
        <v>145</v>
      </c>
      <c r="O210" s="139" t="s">
        <v>1391</v>
      </c>
      <c r="Q210" s="27" t="s">
        <v>148</v>
      </c>
      <c r="R210" s="27" t="s">
        <v>149</v>
      </c>
      <c r="S210" s="27" t="s">
        <v>150</v>
      </c>
      <c r="T210" s="28" t="s">
        <v>1392</v>
      </c>
      <c r="U210" s="37">
        <v>27251</v>
      </c>
      <c r="V210" s="27" t="s">
        <v>1393</v>
      </c>
      <c r="W210" s="27">
        <v>3137628727</v>
      </c>
      <c r="X210" s="27" t="s">
        <v>1394</v>
      </c>
      <c r="Y210" s="27" t="s">
        <v>1075</v>
      </c>
      <c r="Z210" s="27" t="s">
        <v>1388</v>
      </c>
      <c r="AA210" s="27" t="s">
        <v>543</v>
      </c>
      <c r="AB210" s="27" t="s">
        <v>158</v>
      </c>
      <c r="AC210" s="135" t="s">
        <v>160</v>
      </c>
      <c r="AD210" s="135" t="s">
        <v>271</v>
      </c>
      <c r="AE210" s="27" t="s">
        <v>1184</v>
      </c>
      <c r="AF210" s="27" t="s">
        <v>162</v>
      </c>
      <c r="AG210" s="27" t="s">
        <v>177</v>
      </c>
      <c r="AH210" s="27" t="s">
        <v>145</v>
      </c>
      <c r="AI210" s="179">
        <v>207828</v>
      </c>
      <c r="AJ210" s="27" t="s">
        <v>164</v>
      </c>
      <c r="AK210" s="27" t="s">
        <v>214</v>
      </c>
      <c r="AL210" s="27" t="s">
        <v>214</v>
      </c>
      <c r="AM210" s="27" t="s">
        <v>164</v>
      </c>
      <c r="AN210" s="27" t="s">
        <v>214</v>
      </c>
      <c r="AO210" s="27" t="s">
        <v>164</v>
      </c>
      <c r="AP210" s="136">
        <v>45190</v>
      </c>
      <c r="AQ210" s="27" t="s">
        <v>1190</v>
      </c>
      <c r="AT210" s="27" t="str">
        <f t="shared" si="6"/>
        <v>Inactivo</v>
      </c>
      <c r="AU210" s="27" cm="1">
        <f t="array" aca="1" ref="AU210" ca="1">_xlfn.IFS(AT210="","",AT210="Activo",TODAY()-H210,AT210="Inactivo",AP210-H210)</f>
        <v>10</v>
      </c>
      <c r="AV210" s="180">
        <f ca="1">IF(ISBLANK(Tabla1[[#This Row],[Fecha Nacimento (dd/mm/yyyy)]]),"",YEARFRAC(Tabla1[[#This Row],[Fecha Nacimento (dd/mm/yyyy)]],TODAY()))</f>
        <v>49.852777777777774</v>
      </c>
      <c r="AW210" s="141"/>
      <c r="AX210" s="27" t="str">
        <f t="shared" si="7"/>
        <v/>
      </c>
    </row>
    <row r="211" spans="1:50" s="27" customFormat="1" x14ac:dyDescent="0.25">
      <c r="A211" s="134">
        <v>211</v>
      </c>
      <c r="B211" s="27" t="s">
        <v>1395</v>
      </c>
      <c r="C211" s="27" t="s">
        <v>1396</v>
      </c>
      <c r="D211" s="27" t="s">
        <v>141</v>
      </c>
      <c r="E211" s="403">
        <v>30338883</v>
      </c>
      <c r="F211" s="27" t="s">
        <v>142</v>
      </c>
      <c r="G211" s="27" t="s">
        <v>143</v>
      </c>
      <c r="H211" s="136">
        <v>45180</v>
      </c>
      <c r="I211" s="136"/>
      <c r="J211" s="27" t="s">
        <v>144</v>
      </c>
      <c r="K211" s="137">
        <v>1300000</v>
      </c>
      <c r="L211" s="27" t="s">
        <v>145</v>
      </c>
      <c r="M211" s="27" t="s">
        <v>203</v>
      </c>
      <c r="N211" s="27" t="s">
        <v>145</v>
      </c>
      <c r="O211" s="139" t="s">
        <v>1397</v>
      </c>
      <c r="Q211" s="27" t="s">
        <v>148</v>
      </c>
      <c r="R211" s="27" t="s">
        <v>149</v>
      </c>
      <c r="S211" s="27" t="s">
        <v>150</v>
      </c>
      <c r="T211" s="28" t="s">
        <v>1398</v>
      </c>
      <c r="U211" s="37">
        <v>27605</v>
      </c>
      <c r="V211" s="27" t="s">
        <v>1399</v>
      </c>
      <c r="W211" s="27">
        <v>3127941687</v>
      </c>
      <c r="X211" s="27" t="s">
        <v>1400</v>
      </c>
      <c r="Y211" s="27" t="s">
        <v>1075</v>
      </c>
      <c r="Z211" s="27" t="s">
        <v>1388</v>
      </c>
      <c r="AA211" s="27" t="s">
        <v>543</v>
      </c>
      <c r="AB211" s="27" t="s">
        <v>725</v>
      </c>
      <c r="AC211" s="135" t="s">
        <v>1183</v>
      </c>
      <c r="AD211" s="135" t="s">
        <v>160</v>
      </c>
      <c r="AE211" s="27" t="s">
        <v>1184</v>
      </c>
      <c r="AF211" s="27" t="s">
        <v>162</v>
      </c>
      <c r="AG211" s="27" t="s">
        <v>177</v>
      </c>
      <c r="AH211" s="27" t="s">
        <v>145</v>
      </c>
      <c r="AI211" s="179">
        <v>207828</v>
      </c>
      <c r="AJ211" s="27" t="s">
        <v>164</v>
      </c>
      <c r="AK211" s="27" t="s">
        <v>214</v>
      </c>
      <c r="AL211" s="27" t="s">
        <v>214</v>
      </c>
      <c r="AM211" s="27" t="s">
        <v>164</v>
      </c>
      <c r="AN211" s="27" t="s">
        <v>214</v>
      </c>
      <c r="AO211" s="27" t="s">
        <v>164</v>
      </c>
      <c r="AP211" s="136">
        <v>44927</v>
      </c>
      <c r="AT211" s="27" t="str">
        <f t="shared" si="6"/>
        <v>Inactivo</v>
      </c>
      <c r="AU211" s="27" cm="1">
        <f t="array" aca="1" ref="AU211" ca="1">_xlfn.IFS(AT211="","",AT211="Activo",TODAY()-H211,AT211="Inactivo",AP211-H211)</f>
        <v>-253</v>
      </c>
      <c r="AV211" s="180">
        <f ca="1">IF(ISBLANK(Tabla1[[#This Row],[Fecha Nacimento (dd/mm/yyyy)]]),"",YEARFRAC(Tabla1[[#This Row],[Fecha Nacimento (dd/mm/yyyy)]],TODAY()))</f>
        <v>48.880555555555553</v>
      </c>
      <c r="AW211" s="141"/>
      <c r="AX211" s="27" t="str">
        <f t="shared" si="7"/>
        <v/>
      </c>
    </row>
    <row r="212" spans="1:50" s="27" customFormat="1" x14ac:dyDescent="0.25">
      <c r="A212" s="134">
        <v>212</v>
      </c>
      <c r="B212" s="27" t="s">
        <v>1401</v>
      </c>
      <c r="C212" s="27" t="s">
        <v>1402</v>
      </c>
      <c r="D212" s="27" t="s">
        <v>141</v>
      </c>
      <c r="E212" s="403">
        <v>24582581</v>
      </c>
      <c r="F212" s="27" t="s">
        <v>142</v>
      </c>
      <c r="G212" s="27" t="s">
        <v>143</v>
      </c>
      <c r="H212" s="136">
        <v>45180</v>
      </c>
      <c r="I212" s="136"/>
      <c r="J212" s="27" t="s">
        <v>144</v>
      </c>
      <c r="K212" s="137">
        <v>1300000</v>
      </c>
      <c r="L212" s="27" t="s">
        <v>145</v>
      </c>
      <c r="M212" s="27" t="s">
        <v>203</v>
      </c>
      <c r="N212" s="27" t="s">
        <v>145</v>
      </c>
      <c r="O212" s="139" t="s">
        <v>1403</v>
      </c>
      <c r="Q212" s="27" t="s">
        <v>148</v>
      </c>
      <c r="R212" s="27" t="s">
        <v>149</v>
      </c>
      <c r="S212" s="27" t="s">
        <v>150</v>
      </c>
      <c r="T212" s="28" t="s">
        <v>1404</v>
      </c>
      <c r="U212" s="37">
        <v>26308</v>
      </c>
      <c r="V212" s="27" t="s">
        <v>1405</v>
      </c>
      <c r="W212" s="27">
        <v>3052947776</v>
      </c>
      <c r="X212" s="27" t="s">
        <v>979</v>
      </c>
      <c r="Y212" s="27" t="s">
        <v>1075</v>
      </c>
      <c r="Z212" s="27" t="s">
        <v>1388</v>
      </c>
      <c r="AA212" s="27" t="s">
        <v>543</v>
      </c>
      <c r="AB212" s="27" t="s">
        <v>175</v>
      </c>
      <c r="AC212" s="135" t="s">
        <v>271</v>
      </c>
      <c r="AD212" s="135" t="s">
        <v>271</v>
      </c>
      <c r="AE212" s="27" t="s">
        <v>1184</v>
      </c>
      <c r="AF212" s="27" t="s">
        <v>162</v>
      </c>
      <c r="AG212" s="27" t="s">
        <v>177</v>
      </c>
      <c r="AH212" s="27" t="s">
        <v>145</v>
      </c>
      <c r="AI212" s="179">
        <v>207828</v>
      </c>
      <c r="AJ212" s="27" t="s">
        <v>164</v>
      </c>
      <c r="AK212" s="27" t="s">
        <v>214</v>
      </c>
      <c r="AL212" s="27" t="s">
        <v>214</v>
      </c>
      <c r="AM212" s="27" t="s">
        <v>164</v>
      </c>
      <c r="AN212" s="27" t="s">
        <v>214</v>
      </c>
      <c r="AO212" s="27" t="s">
        <v>164</v>
      </c>
      <c r="AP212" s="136">
        <v>45190</v>
      </c>
      <c r="AQ212" s="27" t="s">
        <v>1190</v>
      </c>
      <c r="AT212" s="27" t="str">
        <f t="shared" si="6"/>
        <v>Inactivo</v>
      </c>
      <c r="AU212" s="27" cm="1">
        <f t="array" aca="1" ref="AU212" ca="1">_xlfn.IFS(AT212="","",AT212="Activo",TODAY()-H212,AT212="Inactivo",AP212-H212)</f>
        <v>10</v>
      </c>
      <c r="AV212" s="180">
        <f ca="1">IF(ISBLANK(Tabla1[[#This Row],[Fecha Nacimento (dd/mm/yyyy)]]),"",YEARFRAC(Tabla1[[#This Row],[Fecha Nacimento (dd/mm/yyyy)]],TODAY()))</f>
        <v>52.43611111111111</v>
      </c>
      <c r="AW212" s="141"/>
      <c r="AX212" s="27" t="str">
        <f t="shared" si="7"/>
        <v/>
      </c>
    </row>
    <row r="213" spans="1:50" s="27" customFormat="1" x14ac:dyDescent="0.25">
      <c r="A213" s="134">
        <v>213</v>
      </c>
      <c r="B213" s="27" t="s">
        <v>1406</v>
      </c>
      <c r="C213" s="27" t="s">
        <v>1407</v>
      </c>
      <c r="D213" s="27" t="s">
        <v>141</v>
      </c>
      <c r="E213" s="400">
        <v>18413519</v>
      </c>
      <c r="F213" s="27" t="s">
        <v>142</v>
      </c>
      <c r="G213" s="27" t="s">
        <v>143</v>
      </c>
      <c r="H213" s="136">
        <v>45186</v>
      </c>
      <c r="I213" s="136"/>
      <c r="J213" s="27" t="s">
        <v>144</v>
      </c>
      <c r="K213" s="137">
        <v>1300000</v>
      </c>
      <c r="L213" s="27" t="s">
        <v>164</v>
      </c>
      <c r="M213" s="27" t="s">
        <v>203</v>
      </c>
      <c r="N213" s="27" t="s">
        <v>145</v>
      </c>
      <c r="Q213" s="27" t="s">
        <v>205</v>
      </c>
      <c r="T213" s="28"/>
      <c r="U213" s="37">
        <v>24638</v>
      </c>
      <c r="V213" s="27" t="s">
        <v>1067</v>
      </c>
      <c r="W213" s="27" t="s">
        <v>1408</v>
      </c>
      <c r="X213" s="27" t="s">
        <v>1067</v>
      </c>
      <c r="Y213" s="27" t="s">
        <v>351</v>
      </c>
      <c r="Z213" s="27" t="s">
        <v>223</v>
      </c>
      <c r="AA213" s="27" t="s">
        <v>211</v>
      </c>
      <c r="AB213" s="27" t="s">
        <v>175</v>
      </c>
      <c r="AC213" s="27" t="s">
        <v>271</v>
      </c>
      <c r="AD213" s="27" t="s">
        <v>271</v>
      </c>
      <c r="AE213" s="27" t="s">
        <v>848</v>
      </c>
      <c r="AF213" s="27" t="s">
        <v>176</v>
      </c>
      <c r="AG213" s="27" t="s">
        <v>177</v>
      </c>
      <c r="AH213" s="27" t="s">
        <v>164</v>
      </c>
      <c r="AI213" s="179"/>
      <c r="AJ213" s="27" t="s">
        <v>304</v>
      </c>
      <c r="AK213" s="27" t="s">
        <v>214</v>
      </c>
      <c r="AL213" s="27" t="s">
        <v>164</v>
      </c>
      <c r="AM213" s="27" t="s">
        <v>164</v>
      </c>
      <c r="AN213" s="27" t="s">
        <v>214</v>
      </c>
      <c r="AO213" s="27" t="s">
        <v>164</v>
      </c>
      <c r="AP213" s="136">
        <v>45291</v>
      </c>
      <c r="AQ213" s="27" t="s">
        <v>52</v>
      </c>
      <c r="AT213" s="27" t="str">
        <f t="shared" si="6"/>
        <v>Inactivo</v>
      </c>
      <c r="AU213" s="27" cm="1">
        <f t="array" aca="1" ref="AU213" ca="1">_xlfn.IFS(AT213="","",AT213="Activo",TODAY()-H213,AT213="Inactivo",AP213-H213)</f>
        <v>105</v>
      </c>
      <c r="AV213" s="180">
        <f ca="1">IF(ISBLANK(Tabla1[[#This Row],[Fecha Nacimento (dd/mm/yyyy)]]),"",YEARFRAC(Tabla1[[#This Row],[Fecha Nacimento (dd/mm/yyyy)]],TODAY()))</f>
        <v>57.005555555555553</v>
      </c>
      <c r="AW213" s="141"/>
      <c r="AX213" s="27" t="str">
        <f t="shared" si="7"/>
        <v/>
      </c>
    </row>
    <row r="214" spans="1:50" s="27" customFormat="1" x14ac:dyDescent="0.25">
      <c r="A214" s="134">
        <v>214</v>
      </c>
      <c r="B214" s="27" t="s">
        <v>1409</v>
      </c>
      <c r="C214" s="27" t="s">
        <v>1410</v>
      </c>
      <c r="D214" s="27" t="s">
        <v>141</v>
      </c>
      <c r="E214" s="403">
        <v>1097722991</v>
      </c>
      <c r="F214" s="27" t="s">
        <v>142</v>
      </c>
      <c r="G214" s="27" t="s">
        <v>143</v>
      </c>
      <c r="H214" s="136">
        <v>45187</v>
      </c>
      <c r="I214" s="136"/>
      <c r="J214" s="27" t="s">
        <v>144</v>
      </c>
      <c r="K214" s="137">
        <v>1300000</v>
      </c>
      <c r="L214" s="27" t="s">
        <v>145</v>
      </c>
      <c r="M214" s="27" t="s">
        <v>355</v>
      </c>
      <c r="N214" s="27" t="s">
        <v>145</v>
      </c>
      <c r="O214" s="139" t="s">
        <v>1411</v>
      </c>
      <c r="Q214" s="27" t="s">
        <v>148</v>
      </c>
      <c r="R214" s="27" t="s">
        <v>168</v>
      </c>
      <c r="S214" s="27" t="s">
        <v>150</v>
      </c>
      <c r="T214" s="28" t="s">
        <v>1412</v>
      </c>
      <c r="U214" s="37">
        <v>32644</v>
      </c>
      <c r="V214" s="27" t="s">
        <v>1413</v>
      </c>
      <c r="W214" s="27">
        <v>3218996725</v>
      </c>
      <c r="X214" s="27" t="s">
        <v>979</v>
      </c>
      <c r="Y214" s="27" t="s">
        <v>1075</v>
      </c>
      <c r="Z214" s="27" t="s">
        <v>559</v>
      </c>
      <c r="AA214" s="27" t="s">
        <v>543</v>
      </c>
      <c r="AB214" s="27" t="s">
        <v>175</v>
      </c>
      <c r="AC214" s="135" t="s">
        <v>160</v>
      </c>
      <c r="AD214" s="135" t="s">
        <v>160</v>
      </c>
      <c r="AE214" s="27" t="s">
        <v>161</v>
      </c>
      <c r="AF214" s="27" t="s">
        <v>162</v>
      </c>
      <c r="AG214" s="27" t="s">
        <v>177</v>
      </c>
      <c r="AH214" s="27" t="s">
        <v>164</v>
      </c>
      <c r="AI214" s="179"/>
      <c r="AJ214" s="27" t="s">
        <v>145</v>
      </c>
      <c r="AK214" s="27" t="s">
        <v>1069</v>
      </c>
      <c r="AL214" s="27" t="s">
        <v>145</v>
      </c>
      <c r="AM214" s="27" t="s">
        <v>145</v>
      </c>
      <c r="AN214" s="27" t="s">
        <v>1069</v>
      </c>
      <c r="AO214" s="27" t="s">
        <v>145</v>
      </c>
      <c r="AP214" s="136">
        <v>45238</v>
      </c>
      <c r="AQ214" s="27" t="s">
        <v>52</v>
      </c>
      <c r="AT214" s="27" t="str">
        <f t="shared" si="6"/>
        <v>Inactivo</v>
      </c>
      <c r="AU214" s="27" cm="1">
        <f t="array" aca="1" ref="AU214" ca="1">_xlfn.IFS(AT214="","",AT214="Activo",TODAY()-H214,AT214="Inactivo",AP214-H214)</f>
        <v>51</v>
      </c>
      <c r="AV214" s="180">
        <f ca="1">IF(ISBLANK(Tabla1[[#This Row],[Fecha Nacimento (dd/mm/yyyy)]]),"",YEARFRAC(Tabla1[[#This Row],[Fecha Nacimento (dd/mm/yyyy)]],TODAY()))</f>
        <v>35.086111111111109</v>
      </c>
      <c r="AW214" s="141"/>
      <c r="AX214" s="27" t="str">
        <f t="shared" si="7"/>
        <v/>
      </c>
    </row>
    <row r="215" spans="1:50" s="27" customFormat="1" x14ac:dyDescent="0.25">
      <c r="A215" s="134">
        <v>215</v>
      </c>
      <c r="B215" s="27" t="s">
        <v>1414</v>
      </c>
      <c r="C215" s="27" t="s">
        <v>1415</v>
      </c>
      <c r="D215" s="27" t="s">
        <v>141</v>
      </c>
      <c r="E215" s="403">
        <v>1094977269</v>
      </c>
      <c r="F215" s="27" t="s">
        <v>142</v>
      </c>
      <c r="G215" s="27" t="s">
        <v>143</v>
      </c>
      <c r="H215" s="136">
        <v>45187</v>
      </c>
      <c r="I215" s="136"/>
      <c r="J215" s="27" t="s">
        <v>144</v>
      </c>
      <c r="K215" s="137">
        <v>1300000</v>
      </c>
      <c r="L215" s="27" t="s">
        <v>145</v>
      </c>
      <c r="M215" s="27" t="s">
        <v>203</v>
      </c>
      <c r="N215" s="27" t="s">
        <v>145</v>
      </c>
      <c r="O215" s="139" t="s">
        <v>1416</v>
      </c>
      <c r="Q215" s="27" t="s">
        <v>148</v>
      </c>
      <c r="R215" s="27" t="s">
        <v>377</v>
      </c>
      <c r="S215" s="27" t="s">
        <v>150</v>
      </c>
      <c r="T215" s="28" t="s">
        <v>1417</v>
      </c>
      <c r="U215" s="37">
        <v>36455</v>
      </c>
      <c r="V215" s="27" t="s">
        <v>1418</v>
      </c>
      <c r="W215" s="27">
        <v>3116815699</v>
      </c>
      <c r="X215" s="27" t="s">
        <v>268</v>
      </c>
      <c r="Y215" s="27" t="s">
        <v>172</v>
      </c>
      <c r="Z215" s="27" t="s">
        <v>402</v>
      </c>
      <c r="AA215" s="27" t="s">
        <v>211</v>
      </c>
      <c r="AB215" s="27" t="s">
        <v>175</v>
      </c>
      <c r="AC215" s="135" t="s">
        <v>271</v>
      </c>
      <c r="AD215" s="135" t="s">
        <v>271</v>
      </c>
      <c r="AE215" s="27" t="s">
        <v>272</v>
      </c>
      <c r="AF215" s="27" t="s">
        <v>176</v>
      </c>
      <c r="AG215" s="27" t="s">
        <v>177</v>
      </c>
      <c r="AH215" s="27" t="s">
        <v>164</v>
      </c>
      <c r="AI215" s="179"/>
      <c r="AJ215" s="27" t="s">
        <v>164</v>
      </c>
      <c r="AK215" s="27" t="s">
        <v>214</v>
      </c>
      <c r="AL215" s="27" t="s">
        <v>214</v>
      </c>
      <c r="AM215" s="27" t="s">
        <v>164</v>
      </c>
      <c r="AN215" s="27" t="s">
        <v>214</v>
      </c>
      <c r="AO215" s="27" t="s">
        <v>164</v>
      </c>
      <c r="AP215" s="136">
        <v>45204</v>
      </c>
      <c r="AQ215" s="27" t="s">
        <v>52</v>
      </c>
      <c r="AT215" s="27" t="str">
        <f t="shared" si="6"/>
        <v>Inactivo</v>
      </c>
      <c r="AU215" s="27" cm="1">
        <f t="array" aca="1" ref="AU215" ca="1">_xlfn.IFS(AT215="","",AT215="Activo",TODAY()-H215,AT215="Inactivo",AP215-H215)</f>
        <v>17</v>
      </c>
      <c r="AV215" s="180">
        <f ca="1">IF(ISBLANK(Tabla1[[#This Row],[Fecha Nacimento (dd/mm/yyyy)]]),"",YEARFRAC(Tabla1[[#This Row],[Fecha Nacimento (dd/mm/yyyy)]],TODAY()))</f>
        <v>24.652777777777779</v>
      </c>
      <c r="AW215" s="141"/>
      <c r="AX215" s="27" t="str">
        <f t="shared" si="7"/>
        <v/>
      </c>
    </row>
    <row r="216" spans="1:50" s="27" customFormat="1" x14ac:dyDescent="0.25">
      <c r="A216" s="134">
        <v>216</v>
      </c>
      <c r="B216" s="27" t="s">
        <v>1419</v>
      </c>
      <c r="C216" s="27" t="s">
        <v>1420</v>
      </c>
      <c r="D216" s="27" t="s">
        <v>141</v>
      </c>
      <c r="E216" s="403">
        <v>41905166</v>
      </c>
      <c r="F216" s="27" t="s">
        <v>1421</v>
      </c>
      <c r="G216" s="27" t="s">
        <v>143</v>
      </c>
      <c r="H216" s="136">
        <v>45189</v>
      </c>
      <c r="I216" s="136"/>
      <c r="J216" s="27" t="s">
        <v>144</v>
      </c>
      <c r="K216" s="137">
        <v>2247450</v>
      </c>
      <c r="L216" s="27" t="s">
        <v>145</v>
      </c>
      <c r="M216" s="27" t="s">
        <v>262</v>
      </c>
      <c r="N216" s="27" t="s">
        <v>145</v>
      </c>
      <c r="O216" s="139" t="s">
        <v>1422</v>
      </c>
      <c r="Q216" s="27" t="s">
        <v>205</v>
      </c>
      <c r="T216" s="28"/>
      <c r="U216" s="37">
        <v>23693</v>
      </c>
      <c r="V216" s="27" t="s">
        <v>1423</v>
      </c>
      <c r="W216" s="38" t="s">
        <v>1424</v>
      </c>
      <c r="X216" s="27" t="s">
        <v>316</v>
      </c>
      <c r="Y216" s="27" t="s">
        <v>19</v>
      </c>
      <c r="Z216" s="27" t="s">
        <v>19</v>
      </c>
      <c r="AA216" s="27" t="s">
        <v>211</v>
      </c>
      <c r="AC216" s="135" t="s">
        <v>160</v>
      </c>
      <c r="AD216" s="135" t="s">
        <v>271</v>
      </c>
      <c r="AE216" s="27" t="s">
        <v>494</v>
      </c>
      <c r="AF216" s="27" t="s">
        <v>162</v>
      </c>
      <c r="AG216" s="27" t="s">
        <v>177</v>
      </c>
      <c r="AH216" s="27" t="s">
        <v>164</v>
      </c>
      <c r="AI216" s="179"/>
      <c r="AJ216" s="27" t="s">
        <v>164</v>
      </c>
      <c r="AK216" s="27" t="s">
        <v>214</v>
      </c>
      <c r="AL216" s="27" t="s">
        <v>164</v>
      </c>
      <c r="AM216" s="27" t="s">
        <v>164</v>
      </c>
      <c r="AN216" s="27" t="s">
        <v>214</v>
      </c>
      <c r="AO216" s="27" t="s">
        <v>164</v>
      </c>
      <c r="AP216" s="136"/>
      <c r="AT216" s="27" t="str">
        <f t="shared" si="6"/>
        <v>Activo</v>
      </c>
      <c r="AU216" s="27" cm="1">
        <f t="array" aca="1" ref="AU216" ca="1">_xlfn.IFS(AT216="","",AT216="Activo",TODAY()-H216,AT216="Inactivo",AP216-H216)</f>
        <v>271</v>
      </c>
      <c r="AV216" s="180">
        <f ca="1">IF(ISBLANK(Tabla1[[#This Row],[Fecha Nacimento (dd/mm/yyyy)]]),"",YEARFRAC(Tabla1[[#This Row],[Fecha Nacimento (dd/mm/yyyy)]],TODAY()))</f>
        <v>59.597222222222221</v>
      </c>
      <c r="AW216" s="141"/>
      <c r="AX216" s="27" t="str">
        <f t="shared" si="7"/>
        <v/>
      </c>
    </row>
    <row r="217" spans="1:50" s="27" customFormat="1" x14ac:dyDescent="0.25">
      <c r="A217" s="134">
        <v>217</v>
      </c>
      <c r="B217" s="27" t="s">
        <v>1425</v>
      </c>
      <c r="C217" s="27" t="s">
        <v>1426</v>
      </c>
      <c r="D217" s="27" t="s">
        <v>141</v>
      </c>
      <c r="E217" s="403">
        <v>41930233</v>
      </c>
      <c r="F217" s="27" t="s">
        <v>142</v>
      </c>
      <c r="G217" s="27" t="s">
        <v>143</v>
      </c>
      <c r="H217" s="136">
        <v>45191</v>
      </c>
      <c r="I217" s="136"/>
      <c r="J217" s="27" t="s">
        <v>144</v>
      </c>
      <c r="K217" s="137">
        <v>1300000</v>
      </c>
      <c r="L217" s="27" t="s">
        <v>145</v>
      </c>
      <c r="M217" s="27" t="s">
        <v>146</v>
      </c>
      <c r="N217" s="27" t="s">
        <v>145</v>
      </c>
      <c r="O217" s="139" t="s">
        <v>1427</v>
      </c>
      <c r="Q217" s="27" t="s">
        <v>148</v>
      </c>
      <c r="R217" s="27" t="s">
        <v>168</v>
      </c>
      <c r="S217" s="27" t="s">
        <v>150</v>
      </c>
      <c r="T217" s="28" t="s">
        <v>1428</v>
      </c>
      <c r="U217" s="191">
        <v>26883</v>
      </c>
      <c r="V217" s="27" t="s">
        <v>1429</v>
      </c>
      <c r="W217" s="27">
        <v>3177388464</v>
      </c>
      <c r="X217" s="27" t="s">
        <v>979</v>
      </c>
      <c r="Y217" s="27" t="s">
        <v>1075</v>
      </c>
      <c r="Z217" s="27" t="s">
        <v>559</v>
      </c>
      <c r="AA217" s="27" t="s">
        <v>1201</v>
      </c>
      <c r="AB217" s="27" t="s">
        <v>175</v>
      </c>
      <c r="AC217" s="135" t="s">
        <v>159</v>
      </c>
      <c r="AD217" s="135" t="s">
        <v>160</v>
      </c>
      <c r="AE217" s="27" t="s">
        <v>161</v>
      </c>
      <c r="AF217" s="27" t="s">
        <v>162</v>
      </c>
      <c r="AG217" s="27" t="s">
        <v>177</v>
      </c>
      <c r="AH217" s="27" t="s">
        <v>164</v>
      </c>
      <c r="AI217" s="179"/>
      <c r="AP217" s="136"/>
      <c r="AT217" s="27" t="str">
        <f t="shared" si="6"/>
        <v>Activo</v>
      </c>
      <c r="AU217" s="27" cm="1">
        <f t="array" aca="1" ref="AU217" ca="1">_xlfn.IFS(AT217="","",AT217="Activo",TODAY()-H217,AT217="Inactivo",AP217-H217)</f>
        <v>269</v>
      </c>
      <c r="AV217" s="180">
        <f ca="1">IF(ISBLANK(Tabla1[[#This Row],[Fecha Nacimento (dd/mm/yyyy)]]),"",YEARFRAC(Tabla1[[#This Row],[Fecha Nacimento (dd/mm/yyyy)]],TODAY()))</f>
        <v>50.861111111111114</v>
      </c>
      <c r="AW217" s="141"/>
      <c r="AX217" s="27" t="str">
        <f t="shared" si="7"/>
        <v/>
      </c>
    </row>
    <row r="218" spans="1:50" s="27" customFormat="1" x14ac:dyDescent="0.25">
      <c r="A218" s="134">
        <v>218</v>
      </c>
      <c r="B218" s="27" t="s">
        <v>1430</v>
      </c>
      <c r="C218" s="27" t="s">
        <v>1431</v>
      </c>
      <c r="D218" s="27" t="s">
        <v>141</v>
      </c>
      <c r="E218" s="400">
        <v>1064434226</v>
      </c>
      <c r="F218" s="27" t="s">
        <v>142</v>
      </c>
      <c r="G218" s="27" t="s">
        <v>143</v>
      </c>
      <c r="H218" s="136">
        <v>45195</v>
      </c>
      <c r="I218" s="136" t="s">
        <v>217</v>
      </c>
      <c r="J218" s="27" t="s">
        <v>144</v>
      </c>
      <c r="K218" s="140">
        <v>1300000</v>
      </c>
      <c r="L218" s="27" t="s">
        <v>145</v>
      </c>
      <c r="M218" s="27" t="s">
        <v>203</v>
      </c>
      <c r="N218" s="27" t="s">
        <v>145</v>
      </c>
      <c r="O218" s="139" t="s">
        <v>1432</v>
      </c>
      <c r="Q218" s="27" t="s">
        <v>148</v>
      </c>
      <c r="R218" s="27" t="s">
        <v>168</v>
      </c>
      <c r="S218" s="27" t="s">
        <v>150</v>
      </c>
      <c r="T218" s="27" t="s">
        <v>1433</v>
      </c>
      <c r="U218" s="136"/>
      <c r="V218" s="27" t="s">
        <v>1434</v>
      </c>
      <c r="W218" s="27" t="s">
        <v>1435</v>
      </c>
      <c r="X218" s="27" t="s">
        <v>464</v>
      </c>
      <c r="Y218" s="27" t="s">
        <v>222</v>
      </c>
      <c r="Z218" s="27" t="s">
        <v>15</v>
      </c>
      <c r="AA218" s="27" t="s">
        <v>211</v>
      </c>
      <c r="AB218" s="27" t="s">
        <v>259</v>
      </c>
      <c r="AC218" s="27" t="s">
        <v>271</v>
      </c>
      <c r="AD218" s="27" t="s">
        <v>271</v>
      </c>
      <c r="AE218" s="27" t="s">
        <v>1</v>
      </c>
      <c r="AF218" s="27" t="s">
        <v>176</v>
      </c>
      <c r="AG218" s="27" t="s">
        <v>177</v>
      </c>
      <c r="AI218" s="179"/>
      <c r="AP218" s="136"/>
      <c r="AT218" s="27" t="str">
        <f t="shared" si="6"/>
        <v>Activo</v>
      </c>
      <c r="AU218" s="27" cm="1">
        <f t="array" aca="1" ref="AU218" ca="1">_xlfn.IFS(AT218="","",AT218="Activo",TODAY()-H218,AT218="Inactivo",AP218-H218)</f>
        <v>265</v>
      </c>
      <c r="AV218" s="180" t="str">
        <f ca="1">IF(ISBLANK(Tabla1[[#This Row],[Fecha Nacimento (dd/mm/yyyy)]]),"",YEARFRAC(Tabla1[[#This Row],[Fecha Nacimento (dd/mm/yyyy)]],TODAY()))</f>
        <v/>
      </c>
      <c r="AW218" s="141"/>
      <c r="AX218" s="27" t="str">
        <f t="shared" si="7"/>
        <v/>
      </c>
    </row>
    <row r="219" spans="1:50" s="27" customFormat="1" x14ac:dyDescent="0.25">
      <c r="A219" s="134">
        <v>219</v>
      </c>
      <c r="B219" s="27" t="s">
        <v>1436</v>
      </c>
      <c r="C219" s="27" t="s">
        <v>1437</v>
      </c>
      <c r="D219" s="27" t="s">
        <v>141</v>
      </c>
      <c r="E219" s="403">
        <v>1096007811</v>
      </c>
      <c r="F219" s="27" t="s">
        <v>142</v>
      </c>
      <c r="G219" s="27" t="s">
        <v>143</v>
      </c>
      <c r="H219" s="136">
        <v>45198</v>
      </c>
      <c r="I219" s="136"/>
      <c r="J219" s="27" t="s">
        <v>144</v>
      </c>
      <c r="K219" s="137">
        <v>1300000</v>
      </c>
      <c r="L219" s="27" t="s">
        <v>145</v>
      </c>
      <c r="M219" s="27" t="s">
        <v>146</v>
      </c>
      <c r="N219" s="27" t="s">
        <v>145</v>
      </c>
      <c r="O219" s="139" t="s">
        <v>1438</v>
      </c>
      <c r="Q219" s="27" t="s">
        <v>148</v>
      </c>
      <c r="R219" s="27" t="s">
        <v>168</v>
      </c>
      <c r="S219" s="27" t="s">
        <v>150</v>
      </c>
      <c r="T219" s="28" t="s">
        <v>1439</v>
      </c>
      <c r="U219" s="37">
        <v>36258</v>
      </c>
      <c r="V219" s="27" t="s">
        <v>1440</v>
      </c>
      <c r="W219" s="27">
        <v>3135774992</v>
      </c>
      <c r="X219" s="27" t="s">
        <v>979</v>
      </c>
      <c r="Y219" s="27" t="s">
        <v>543</v>
      </c>
      <c r="Z219" s="27" t="s">
        <v>1697</v>
      </c>
      <c r="AA219" s="27" t="s">
        <v>1201</v>
      </c>
      <c r="AB219" s="27" t="s">
        <v>175</v>
      </c>
      <c r="AC219" s="135" t="s">
        <v>271</v>
      </c>
      <c r="AD219" s="135" t="s">
        <v>160</v>
      </c>
      <c r="AE219" s="27" t="s">
        <v>161</v>
      </c>
      <c r="AF219" s="27" t="s">
        <v>162</v>
      </c>
      <c r="AG219" s="27" t="s">
        <v>177</v>
      </c>
      <c r="AH219" s="27" t="s">
        <v>164</v>
      </c>
      <c r="AI219" s="179"/>
      <c r="AJ219" s="27" t="s">
        <v>145</v>
      </c>
      <c r="AK219" s="27" t="s">
        <v>1069</v>
      </c>
      <c r="AL219" s="27" t="s">
        <v>145</v>
      </c>
      <c r="AM219" s="27" t="s">
        <v>145</v>
      </c>
      <c r="AN219" s="27" t="s">
        <v>1069</v>
      </c>
      <c r="AO219" s="27" t="s">
        <v>145</v>
      </c>
      <c r="AP219" s="136"/>
      <c r="AT219" s="27" t="str">
        <f t="shared" si="6"/>
        <v>Activo</v>
      </c>
      <c r="AU219" s="27" cm="1">
        <f t="array" aca="1" ref="AU219" ca="1">_xlfn.IFS(AT219="","",AT219="Activo",TODAY()-H219,AT219="Inactivo",AP219-H219)</f>
        <v>262</v>
      </c>
      <c r="AV219" s="180">
        <f ca="1">IF(ISBLANK(Tabla1[[#This Row],[Fecha Nacimento (dd/mm/yyyy)]]),"",YEARFRAC(Tabla1[[#This Row],[Fecha Nacimento (dd/mm/yyyy)]],TODAY()))</f>
        <v>25.191666666666666</v>
      </c>
      <c r="AW219" s="141"/>
      <c r="AX219" s="27" t="str">
        <f t="shared" si="7"/>
        <v/>
      </c>
    </row>
    <row r="220" spans="1:50" s="27" customFormat="1" x14ac:dyDescent="0.25">
      <c r="A220" s="134">
        <v>220</v>
      </c>
      <c r="B220" s="27" t="s">
        <v>658</v>
      </c>
      <c r="C220" s="27" t="s">
        <v>1441</v>
      </c>
      <c r="D220" s="27" t="s">
        <v>141</v>
      </c>
      <c r="E220" s="403">
        <v>9728635</v>
      </c>
      <c r="F220" s="27" t="s">
        <v>142</v>
      </c>
      <c r="G220" s="27" t="s">
        <v>143</v>
      </c>
      <c r="H220" s="136">
        <v>45199</v>
      </c>
      <c r="I220" s="136"/>
      <c r="J220" s="27" t="s">
        <v>144</v>
      </c>
      <c r="K220" s="137">
        <v>1300000</v>
      </c>
      <c r="L220" s="27" t="s">
        <v>145</v>
      </c>
      <c r="M220" s="27" t="s">
        <v>146</v>
      </c>
      <c r="N220" s="27" t="s">
        <v>145</v>
      </c>
      <c r="O220" s="139" t="s">
        <v>1442</v>
      </c>
      <c r="Q220" s="27" t="s">
        <v>148</v>
      </c>
      <c r="R220" s="27" t="s">
        <v>168</v>
      </c>
      <c r="S220" s="27" t="s">
        <v>150</v>
      </c>
      <c r="T220" s="28" t="s">
        <v>1443</v>
      </c>
      <c r="U220" s="37">
        <v>29831</v>
      </c>
      <c r="V220" s="27" t="s">
        <v>1444</v>
      </c>
      <c r="W220" s="27">
        <v>3112867438</v>
      </c>
      <c r="X220" s="27" t="s">
        <v>979</v>
      </c>
      <c r="Y220" s="27" t="s">
        <v>543</v>
      </c>
      <c r="Z220" s="27" t="s">
        <v>559</v>
      </c>
      <c r="AA220" s="27" t="s">
        <v>1201</v>
      </c>
      <c r="AB220" s="27" t="s">
        <v>158</v>
      </c>
      <c r="AC220" s="135" t="s">
        <v>271</v>
      </c>
      <c r="AD220" s="135" t="s">
        <v>160</v>
      </c>
      <c r="AE220" s="27" t="s">
        <v>161</v>
      </c>
      <c r="AF220" s="27" t="s">
        <v>176</v>
      </c>
      <c r="AG220" s="27" t="s">
        <v>177</v>
      </c>
      <c r="AH220" s="27" t="s">
        <v>164</v>
      </c>
      <c r="AI220" s="179"/>
      <c r="AJ220" s="27" t="s">
        <v>145</v>
      </c>
      <c r="AK220" s="27" t="s">
        <v>1069</v>
      </c>
      <c r="AM220" s="27" t="s">
        <v>145</v>
      </c>
      <c r="AN220" s="27" t="s">
        <v>1069</v>
      </c>
      <c r="AP220" s="136"/>
      <c r="AT220" s="27" t="str">
        <f t="shared" si="6"/>
        <v>Activo</v>
      </c>
      <c r="AU220" s="27" cm="1">
        <f t="array" aca="1" ref="AU220" ca="1">_xlfn.IFS(AT220="","",AT220="Activo",TODAY()-H220,AT220="Inactivo",AP220-H220)</f>
        <v>261</v>
      </c>
      <c r="AV220" s="180">
        <f ca="1">IF(ISBLANK(Tabla1[[#This Row],[Fecha Nacimento (dd/mm/yyyy)]]),"",YEARFRAC(Tabla1[[#This Row],[Fecha Nacimento (dd/mm/yyyy)]],TODAY()))</f>
        <v>42.791666666666664</v>
      </c>
      <c r="AW220" s="141"/>
      <c r="AX220" s="27" t="str">
        <f t="shared" si="7"/>
        <v/>
      </c>
    </row>
    <row r="221" spans="1:50" s="27" customFormat="1" x14ac:dyDescent="0.25">
      <c r="A221" s="134">
        <v>221</v>
      </c>
      <c r="B221" s="27" t="s">
        <v>1445</v>
      </c>
      <c r="C221" s="27" t="s">
        <v>1446</v>
      </c>
      <c r="D221" s="27" t="s">
        <v>141</v>
      </c>
      <c r="E221" s="403">
        <v>41915165</v>
      </c>
      <c r="F221" s="27" t="s">
        <v>142</v>
      </c>
      <c r="G221" s="27" t="s">
        <v>143</v>
      </c>
      <c r="H221" s="136">
        <v>45199</v>
      </c>
      <c r="I221" s="136"/>
      <c r="J221" s="27" t="s">
        <v>144</v>
      </c>
      <c r="K221" s="137">
        <v>1300000</v>
      </c>
      <c r="L221" s="27" t="s">
        <v>145</v>
      </c>
      <c r="M221" s="27" t="s">
        <v>146</v>
      </c>
      <c r="N221" s="27" t="s">
        <v>145</v>
      </c>
      <c r="O221" s="139" t="s">
        <v>1447</v>
      </c>
      <c r="Q221" s="27" t="s">
        <v>148</v>
      </c>
      <c r="R221" s="27" t="s">
        <v>168</v>
      </c>
      <c r="S221" s="27" t="s">
        <v>150</v>
      </c>
      <c r="T221" s="28" t="s">
        <v>1448</v>
      </c>
      <c r="U221" s="37">
        <v>24685</v>
      </c>
      <c r="V221" s="27" t="s">
        <v>1449</v>
      </c>
      <c r="W221" s="27">
        <v>3166046519</v>
      </c>
      <c r="X221" s="27" t="s">
        <v>979</v>
      </c>
      <c r="Y221" s="27" t="s">
        <v>543</v>
      </c>
      <c r="Z221" s="27" t="s">
        <v>559</v>
      </c>
      <c r="AA221" s="27" t="s">
        <v>1201</v>
      </c>
      <c r="AB221" s="27" t="s">
        <v>175</v>
      </c>
      <c r="AC221" s="135" t="s">
        <v>159</v>
      </c>
      <c r="AD221" s="135" t="s">
        <v>160</v>
      </c>
      <c r="AE221" s="27" t="s">
        <v>161</v>
      </c>
      <c r="AF221" s="27" t="s">
        <v>162</v>
      </c>
      <c r="AG221" s="27" t="s">
        <v>177</v>
      </c>
      <c r="AH221" s="27" t="s">
        <v>164</v>
      </c>
      <c r="AI221" s="179"/>
      <c r="AJ221" s="27" t="s">
        <v>164</v>
      </c>
      <c r="AM221" s="27" t="s">
        <v>164</v>
      </c>
      <c r="AP221" s="136">
        <v>45320</v>
      </c>
      <c r="AQ221" s="27" t="s">
        <v>52</v>
      </c>
      <c r="AT221" s="27" t="str">
        <f t="shared" si="6"/>
        <v>Inactivo</v>
      </c>
      <c r="AU221" s="27" cm="1">
        <f t="array" aca="1" ref="AU221" ca="1">_xlfn.IFS(AT221="","",AT221="Activo",TODAY()-H221,AT221="Inactivo",AP221-H221)</f>
        <v>121</v>
      </c>
      <c r="AV221" s="180">
        <f ca="1">IF(ISBLANK(Tabla1[[#This Row],[Fecha Nacimento (dd/mm/yyyy)]]),"",YEARFRAC(Tabla1[[#This Row],[Fecha Nacimento (dd/mm/yyyy)]],TODAY()))</f>
        <v>56.87777777777778</v>
      </c>
      <c r="AW221" s="141"/>
      <c r="AX221" s="27" t="str">
        <f t="shared" si="7"/>
        <v/>
      </c>
    </row>
    <row r="222" spans="1:50" s="27" customFormat="1" x14ac:dyDescent="0.25">
      <c r="A222" s="134">
        <v>222</v>
      </c>
      <c r="B222" s="27" t="s">
        <v>1450</v>
      </c>
      <c r="C222" s="27" t="s">
        <v>1451</v>
      </c>
      <c r="D222" s="27" t="s">
        <v>141</v>
      </c>
      <c r="E222" s="400">
        <v>1001669288</v>
      </c>
      <c r="F222" s="27" t="s">
        <v>142</v>
      </c>
      <c r="G222" s="27" t="s">
        <v>143</v>
      </c>
      <c r="H222" s="136">
        <v>45200</v>
      </c>
      <c r="I222" s="136"/>
      <c r="J222" s="27" t="s">
        <v>144</v>
      </c>
      <c r="K222" s="140">
        <v>1300000</v>
      </c>
      <c r="L222" s="27" t="s">
        <v>145</v>
      </c>
      <c r="M222" s="27" t="s">
        <v>203</v>
      </c>
      <c r="N222" s="27" t="s">
        <v>145</v>
      </c>
      <c r="O222" s="139" t="s">
        <v>1452</v>
      </c>
      <c r="Q222" s="27" t="s">
        <v>148</v>
      </c>
      <c r="R222" s="27" t="s">
        <v>149</v>
      </c>
      <c r="S222" s="27" t="s">
        <v>150</v>
      </c>
      <c r="T222" s="27" t="s">
        <v>1453</v>
      </c>
      <c r="U222" s="37">
        <v>37811</v>
      </c>
      <c r="V222" s="27" t="s">
        <v>1454</v>
      </c>
      <c r="W222" s="27" t="s">
        <v>1455</v>
      </c>
      <c r="X222" s="27" t="s">
        <v>612</v>
      </c>
      <c r="Y222" s="27" t="s">
        <v>1456</v>
      </c>
      <c r="Z222" s="27" t="s">
        <v>828</v>
      </c>
      <c r="AA222" s="27" t="s">
        <v>615</v>
      </c>
      <c r="AB222" s="27" t="s">
        <v>911</v>
      </c>
      <c r="AC222" s="27" t="s">
        <v>159</v>
      </c>
      <c r="AD222" s="27" t="s">
        <v>160</v>
      </c>
      <c r="AE222" s="27" t="s">
        <v>616</v>
      </c>
      <c r="AF222" s="27" t="s">
        <v>162</v>
      </c>
      <c r="AG222" s="27" t="s">
        <v>177</v>
      </c>
      <c r="AH222" s="27" t="s">
        <v>164</v>
      </c>
      <c r="AI222" s="179"/>
      <c r="AJ222" s="27" t="s">
        <v>164</v>
      </c>
      <c r="AK222" s="27" t="s">
        <v>214</v>
      </c>
      <c r="AL222" s="27" t="s">
        <v>214</v>
      </c>
      <c r="AM222" s="27" t="s">
        <v>164</v>
      </c>
      <c r="AN222" s="27" t="s">
        <v>214</v>
      </c>
      <c r="AO222" s="27" t="s">
        <v>214</v>
      </c>
      <c r="AP222" s="136"/>
      <c r="AT222" s="27" t="str">
        <f t="shared" si="6"/>
        <v>Activo</v>
      </c>
      <c r="AU222" s="27" cm="1">
        <f t="array" aca="1" ref="AU222" ca="1">_xlfn.IFS(AT222="","",AT222="Activo",TODAY()-H222,AT222="Inactivo",AP222-H222)</f>
        <v>260</v>
      </c>
      <c r="AV222" s="180">
        <f ca="1">IF(ISBLANK(Tabla1[[#This Row],[Fecha Nacimento (dd/mm/yyyy)]]),"",YEARFRAC(Tabla1[[#This Row],[Fecha Nacimento (dd/mm/yyyy)]],TODAY()))</f>
        <v>20.93888888888889</v>
      </c>
      <c r="AW222" s="141"/>
      <c r="AX222" s="27" t="str">
        <f t="shared" si="7"/>
        <v/>
      </c>
    </row>
    <row r="223" spans="1:50" s="27" customFormat="1" x14ac:dyDescent="0.25">
      <c r="A223" s="134">
        <v>223</v>
      </c>
      <c r="B223" s="27" t="s">
        <v>1108</v>
      </c>
      <c r="C223" s="27" t="s">
        <v>1457</v>
      </c>
      <c r="D223" s="27" t="s">
        <v>141</v>
      </c>
      <c r="E223" s="400">
        <v>5935528</v>
      </c>
      <c r="F223" s="27" t="s">
        <v>142</v>
      </c>
      <c r="G223" s="27" t="s">
        <v>143</v>
      </c>
      <c r="H223" s="136">
        <v>45200</v>
      </c>
      <c r="I223" s="136"/>
      <c r="J223" s="27" t="s">
        <v>144</v>
      </c>
      <c r="K223" s="137">
        <v>1300000</v>
      </c>
      <c r="L223" s="27" t="s">
        <v>145</v>
      </c>
      <c r="M223" s="27" t="s">
        <v>355</v>
      </c>
      <c r="O223" s="139"/>
      <c r="P223" s="186"/>
      <c r="Q223" s="186" t="s">
        <v>148</v>
      </c>
      <c r="R223" s="186" t="s">
        <v>168</v>
      </c>
      <c r="S223" s="186" t="s">
        <v>150</v>
      </c>
      <c r="T223" s="186" t="s">
        <v>1458</v>
      </c>
      <c r="U223" s="192">
        <v>25676</v>
      </c>
      <c r="V223" s="186" t="s">
        <v>1459</v>
      </c>
      <c r="W223" s="186"/>
      <c r="X223" s="186" t="s">
        <v>154</v>
      </c>
      <c r="Y223" s="186" t="s">
        <v>172</v>
      </c>
      <c r="Z223" s="186" t="s">
        <v>1460</v>
      </c>
      <c r="AA223" s="186" t="s">
        <v>174</v>
      </c>
      <c r="AB223" s="186" t="s">
        <v>175</v>
      </c>
      <c r="AC223" s="186" t="s">
        <v>271</v>
      </c>
      <c r="AD223" s="186" t="s">
        <v>160</v>
      </c>
      <c r="AE223" s="186" t="s">
        <v>161</v>
      </c>
      <c r="AF223" s="186" t="s">
        <v>176</v>
      </c>
      <c r="AG223" s="186" t="s">
        <v>177</v>
      </c>
      <c r="AH223" s="186" t="s">
        <v>164</v>
      </c>
      <c r="AI223" s="193"/>
      <c r="AJ223" s="186"/>
      <c r="AK223" s="186"/>
      <c r="AL223" s="186"/>
      <c r="AM223" s="186"/>
      <c r="AN223" s="186"/>
      <c r="AO223" s="186"/>
      <c r="AP223" s="189">
        <v>45311</v>
      </c>
      <c r="AQ223" s="186" t="s">
        <v>52</v>
      </c>
      <c r="AR223" s="186"/>
      <c r="AS223" s="186"/>
      <c r="AT223" s="186" t="str">
        <f t="shared" si="6"/>
        <v>Inactivo</v>
      </c>
      <c r="AU223" s="27" cm="1">
        <f t="array" aca="1" ref="AU223" ca="1">_xlfn.IFS(AT223="","",AT223="Activo",TODAY()-H223,AT223="Inactivo",AP223-H223)</f>
        <v>111</v>
      </c>
      <c r="AV223" s="194">
        <f ca="1">IF(ISBLANK(Tabla1[[#This Row],[Fecha Nacimento (dd/mm/yyyy)]]),"",YEARFRAC(Tabla1[[#This Row],[Fecha Nacimento (dd/mm/yyyy)]],TODAY()))</f>
        <v>54.163888888888891</v>
      </c>
      <c r="AW223" s="141"/>
      <c r="AX223" s="27" t="str">
        <f t="shared" si="7"/>
        <v/>
      </c>
    </row>
    <row r="224" spans="1:50" s="27" customFormat="1" x14ac:dyDescent="0.25">
      <c r="A224" s="134">
        <v>224</v>
      </c>
      <c r="B224" s="27" t="s">
        <v>1461</v>
      </c>
      <c r="C224" s="27" t="s">
        <v>1462</v>
      </c>
      <c r="D224" s="27" t="s">
        <v>141</v>
      </c>
      <c r="E224" s="403">
        <v>59821939</v>
      </c>
      <c r="F224" s="27" t="s">
        <v>142</v>
      </c>
      <c r="G224" s="27" t="s">
        <v>143</v>
      </c>
      <c r="H224" s="136">
        <v>45200</v>
      </c>
      <c r="I224" s="136"/>
      <c r="J224" s="27" t="s">
        <v>144</v>
      </c>
      <c r="K224" s="137">
        <v>1300000</v>
      </c>
      <c r="L224" s="27" t="s">
        <v>145</v>
      </c>
      <c r="M224" s="27" t="s">
        <v>146</v>
      </c>
      <c r="O224" s="139" t="s">
        <v>1463</v>
      </c>
      <c r="Q224" s="27" t="s">
        <v>148</v>
      </c>
      <c r="R224" s="27" t="s">
        <v>168</v>
      </c>
      <c r="S224" s="27" t="s">
        <v>150</v>
      </c>
      <c r="T224" s="28" t="s">
        <v>1464</v>
      </c>
      <c r="U224" s="37">
        <v>25598</v>
      </c>
      <c r="V224" s="27" t="s">
        <v>1465</v>
      </c>
      <c r="W224" s="27">
        <v>3106157415</v>
      </c>
      <c r="X224" s="27" t="s">
        <v>1466</v>
      </c>
      <c r="Y224" s="27" t="s">
        <v>543</v>
      </c>
      <c r="Z224" s="27" t="s">
        <v>559</v>
      </c>
      <c r="AA224" s="27" t="s">
        <v>545</v>
      </c>
      <c r="AB224" s="27" t="s">
        <v>259</v>
      </c>
      <c r="AC224" s="135" t="s">
        <v>159</v>
      </c>
      <c r="AD224" s="135" t="s">
        <v>160</v>
      </c>
      <c r="AE224" s="27" t="s">
        <v>161</v>
      </c>
      <c r="AF224" s="27" t="s">
        <v>162</v>
      </c>
      <c r="AG224" s="27" t="s">
        <v>177</v>
      </c>
      <c r="AH224" s="27" t="s">
        <v>164</v>
      </c>
      <c r="AI224" s="179"/>
      <c r="AP224" s="136">
        <v>45311</v>
      </c>
      <c r="AQ224" s="27" t="s">
        <v>52</v>
      </c>
      <c r="AT224" s="27" t="str">
        <f t="shared" si="6"/>
        <v>Inactivo</v>
      </c>
      <c r="AU224" s="27" cm="1">
        <f t="array" aca="1" ref="AU224" ca="1">_xlfn.IFS(AT224="","",AT224="Activo",TODAY()-H224,AT224="Inactivo",AP224-H224)</f>
        <v>111</v>
      </c>
      <c r="AV224" s="180">
        <f ca="1">IF(ISBLANK(Tabla1[[#This Row],[Fecha Nacimento (dd/mm/yyyy)]]),"",YEARFRAC(Tabla1[[#This Row],[Fecha Nacimento (dd/mm/yyyy)]],TODAY()))</f>
        <v>54.380555555555553</v>
      </c>
      <c r="AW224" s="141"/>
      <c r="AX224" s="27" t="str">
        <f t="shared" si="7"/>
        <v/>
      </c>
    </row>
    <row r="225" spans="1:50" s="27" customFormat="1" x14ac:dyDescent="0.25">
      <c r="A225" s="134">
        <v>225</v>
      </c>
      <c r="B225" s="27" t="s">
        <v>1467</v>
      </c>
      <c r="C225" s="27" t="s">
        <v>1468</v>
      </c>
      <c r="D225" s="27" t="s">
        <v>141</v>
      </c>
      <c r="E225" s="400">
        <v>7540576</v>
      </c>
      <c r="F225" s="27" t="s">
        <v>142</v>
      </c>
      <c r="G225" s="27" t="s">
        <v>143</v>
      </c>
      <c r="H225" s="136">
        <v>45200</v>
      </c>
      <c r="I225" s="136"/>
      <c r="J225" s="27" t="s">
        <v>144</v>
      </c>
      <c r="K225" s="137">
        <v>1300000</v>
      </c>
      <c r="L225" s="27" t="s">
        <v>145</v>
      </c>
      <c r="M225" s="27" t="s">
        <v>355</v>
      </c>
      <c r="O225" s="139"/>
      <c r="Q225" s="27" t="s">
        <v>148</v>
      </c>
      <c r="R225" s="27" t="s">
        <v>168</v>
      </c>
      <c r="S225" s="27" t="s">
        <v>150</v>
      </c>
      <c r="T225" s="27" t="s">
        <v>1469</v>
      </c>
      <c r="U225" s="37">
        <v>22994</v>
      </c>
      <c r="V225" s="27" t="s">
        <v>1470</v>
      </c>
      <c r="X225" s="27" t="s">
        <v>154</v>
      </c>
      <c r="Y225" s="27" t="s">
        <v>172</v>
      </c>
      <c r="Z225" s="27" t="s">
        <v>1460</v>
      </c>
      <c r="AA225" s="27" t="s">
        <v>174</v>
      </c>
      <c r="AB225" s="27" t="s">
        <v>175</v>
      </c>
      <c r="AC225" s="27" t="s">
        <v>159</v>
      </c>
      <c r="AD225" s="27" t="s">
        <v>160</v>
      </c>
      <c r="AE225" s="27" t="s">
        <v>161</v>
      </c>
      <c r="AF225" s="27" t="s">
        <v>176</v>
      </c>
      <c r="AG225" s="27" t="s">
        <v>177</v>
      </c>
      <c r="AH225" s="27" t="s">
        <v>164</v>
      </c>
      <c r="AI225" s="179"/>
      <c r="AP225" s="136">
        <v>45237</v>
      </c>
      <c r="AQ225" s="27" t="s">
        <v>52</v>
      </c>
      <c r="AT225" s="27" t="str">
        <f t="shared" si="6"/>
        <v>Inactivo</v>
      </c>
      <c r="AU225" s="27" cm="1">
        <f t="array" aca="1" ref="AU225" ca="1">_xlfn.IFS(AT225="","",AT225="Activo",TODAY()-H225,AT225="Inactivo",AP225-H225)</f>
        <v>37</v>
      </c>
      <c r="AV225" s="180">
        <f ca="1">IF(ISBLANK(Tabla1[[#This Row],[Fecha Nacimento (dd/mm/yyyy)]]),"",YEARFRAC(Tabla1[[#This Row],[Fecha Nacimento (dd/mm/yyyy)]],TODAY()))</f>
        <v>61.508333333333333</v>
      </c>
      <c r="AW225" s="141"/>
      <c r="AX225" s="27" t="str">
        <f t="shared" si="7"/>
        <v/>
      </c>
    </row>
    <row r="226" spans="1:50" s="27" customFormat="1" x14ac:dyDescent="0.25">
      <c r="A226" s="134">
        <v>226</v>
      </c>
      <c r="B226" s="27" t="s">
        <v>1471</v>
      </c>
      <c r="C226" s="27" t="s">
        <v>166</v>
      </c>
      <c r="D226" s="27" t="s">
        <v>141</v>
      </c>
      <c r="E226" s="403">
        <v>41922264</v>
      </c>
      <c r="F226" s="27" t="s">
        <v>142</v>
      </c>
      <c r="G226" s="27" t="s">
        <v>143</v>
      </c>
      <c r="H226" s="136">
        <v>45200</v>
      </c>
      <c r="I226" s="136"/>
      <c r="J226" s="27" t="s">
        <v>144</v>
      </c>
      <c r="K226" s="137">
        <v>1300000</v>
      </c>
      <c r="L226" s="27" t="s">
        <v>145</v>
      </c>
      <c r="M226" s="27" t="s">
        <v>146</v>
      </c>
      <c r="Q226" s="27" t="s">
        <v>148</v>
      </c>
      <c r="R226" s="27" t="s">
        <v>168</v>
      </c>
      <c r="S226" s="27" t="s">
        <v>150</v>
      </c>
      <c r="T226" s="28" t="s">
        <v>1472</v>
      </c>
      <c r="U226" s="37">
        <v>25989</v>
      </c>
      <c r="V226" s="27" t="s">
        <v>1473</v>
      </c>
      <c r="W226" s="27">
        <v>3218083715</v>
      </c>
      <c r="X226" s="27" t="s">
        <v>154</v>
      </c>
      <c r="Y226" s="27" t="s">
        <v>543</v>
      </c>
      <c r="Z226" s="27" t="s">
        <v>559</v>
      </c>
      <c r="AA226" s="27" t="s">
        <v>1201</v>
      </c>
      <c r="AB226" s="27" t="s">
        <v>158</v>
      </c>
      <c r="AC226" s="135" t="s">
        <v>160</v>
      </c>
      <c r="AD226" s="135" t="s">
        <v>160</v>
      </c>
      <c r="AE226" s="27" t="s">
        <v>161</v>
      </c>
      <c r="AF226" s="27" t="s">
        <v>162</v>
      </c>
      <c r="AG226" s="27" t="s">
        <v>177</v>
      </c>
      <c r="AH226" s="27" t="s">
        <v>164</v>
      </c>
      <c r="AI226" s="179"/>
      <c r="AP226" s="136"/>
      <c r="AT226" s="27" t="str">
        <f t="shared" si="6"/>
        <v>Activo</v>
      </c>
      <c r="AU226" s="27" cm="1">
        <f t="array" aca="1" ref="AU226" ca="1">_xlfn.IFS(AT226="","",AT226="Activo",TODAY()-H226,AT226="Inactivo",AP226-H226)</f>
        <v>260</v>
      </c>
      <c r="AV226" s="180">
        <f ca="1">IF(ISBLANK(Tabla1[[#This Row],[Fecha Nacimento (dd/mm/yyyy)]]),"",YEARFRAC(Tabla1[[#This Row],[Fecha Nacimento (dd/mm/yyyy)]],TODAY()))</f>
        <v>53.31111111111111</v>
      </c>
      <c r="AW226" s="141"/>
      <c r="AX226" s="27" t="str">
        <f t="shared" si="7"/>
        <v/>
      </c>
    </row>
    <row r="227" spans="1:50" s="27" customFormat="1" x14ac:dyDescent="0.25">
      <c r="A227" s="134">
        <v>227</v>
      </c>
      <c r="B227" s="27" t="s">
        <v>1474</v>
      </c>
      <c r="C227" s="27" t="s">
        <v>1475</v>
      </c>
      <c r="D227" s="27" t="s">
        <v>141</v>
      </c>
      <c r="E227" s="400">
        <v>7551187</v>
      </c>
      <c r="F227" s="27" t="s">
        <v>142</v>
      </c>
      <c r="G227" s="27" t="s">
        <v>143</v>
      </c>
      <c r="H227" s="136">
        <v>45200</v>
      </c>
      <c r="I227" s="136"/>
      <c r="J227" s="27" t="s">
        <v>144</v>
      </c>
      <c r="K227" s="137">
        <v>1300000</v>
      </c>
      <c r="L227" s="27" t="s">
        <v>145</v>
      </c>
      <c r="M227" s="27" t="s">
        <v>355</v>
      </c>
      <c r="O227" s="139"/>
      <c r="Q227" s="27" t="s">
        <v>148</v>
      </c>
      <c r="R227" s="27" t="s">
        <v>168</v>
      </c>
      <c r="S227" s="27" t="s">
        <v>150</v>
      </c>
      <c r="T227" s="27" t="s">
        <v>1476</v>
      </c>
      <c r="U227" s="37">
        <v>24420</v>
      </c>
      <c r="V227" s="27" t="s">
        <v>1477</v>
      </c>
      <c r="W227" s="27" t="s">
        <v>1478</v>
      </c>
      <c r="X227" s="27" t="s">
        <v>154</v>
      </c>
      <c r="Y227" s="27" t="s">
        <v>172</v>
      </c>
      <c r="Z227" s="27" t="s">
        <v>1460</v>
      </c>
      <c r="AA227" s="27" t="s">
        <v>174</v>
      </c>
      <c r="AB227" s="27" t="s">
        <v>175</v>
      </c>
      <c r="AC227" s="27" t="s">
        <v>160</v>
      </c>
      <c r="AD227" s="27" t="s">
        <v>160</v>
      </c>
      <c r="AE227" s="27" t="s">
        <v>161</v>
      </c>
      <c r="AF227" s="27" t="s">
        <v>176</v>
      </c>
      <c r="AG227" s="27" t="s">
        <v>177</v>
      </c>
      <c r="AH227" s="27" t="s">
        <v>164</v>
      </c>
      <c r="AI227" s="179"/>
      <c r="AP227" s="136">
        <v>45306</v>
      </c>
      <c r="AQ227" s="27" t="s">
        <v>52</v>
      </c>
      <c r="AT227" s="27" t="str">
        <f t="shared" si="6"/>
        <v>Inactivo</v>
      </c>
      <c r="AU227" s="27" cm="1">
        <f t="array" aca="1" ref="AU227" ca="1">_xlfn.IFS(AT227="","",AT227="Activo",TODAY()-H227,AT227="Inactivo",AP227-H227)</f>
        <v>106</v>
      </c>
      <c r="AV227" s="180">
        <f ca="1">IF(ISBLANK(Tabla1[[#This Row],[Fecha Nacimento (dd/mm/yyyy)]]),"",YEARFRAC(Tabla1[[#This Row],[Fecha Nacimento (dd/mm/yyyy)]],TODAY()))</f>
        <v>57.605555555555554</v>
      </c>
      <c r="AW227" s="141"/>
      <c r="AX227" s="27" t="str">
        <f t="shared" si="7"/>
        <v/>
      </c>
    </row>
    <row r="228" spans="1:50" s="27" customFormat="1" x14ac:dyDescent="0.25">
      <c r="A228" s="134">
        <v>228</v>
      </c>
      <c r="B228" s="27" t="s">
        <v>1479</v>
      </c>
      <c r="C228" s="27" t="s">
        <v>1480</v>
      </c>
      <c r="D228" s="27" t="s">
        <v>141</v>
      </c>
      <c r="E228" s="400">
        <v>41908173</v>
      </c>
      <c r="F228" s="27" t="s">
        <v>142</v>
      </c>
      <c r="G228" s="27" t="s">
        <v>143</v>
      </c>
      <c r="H228" s="136">
        <v>45200</v>
      </c>
      <c r="I228" s="136"/>
      <c r="J228" s="27" t="s">
        <v>144</v>
      </c>
      <c r="K228" s="137">
        <v>1300000</v>
      </c>
      <c r="L228" s="27" t="s">
        <v>145</v>
      </c>
      <c r="M228" s="27" t="s">
        <v>355</v>
      </c>
      <c r="O228" s="139" t="s">
        <v>180</v>
      </c>
      <c r="Q228" s="27" t="s">
        <v>148</v>
      </c>
      <c r="R228" s="27" t="s">
        <v>168</v>
      </c>
      <c r="S228" s="27" t="s">
        <v>150</v>
      </c>
      <c r="T228" s="28" t="s">
        <v>1481</v>
      </c>
      <c r="U228" s="37">
        <v>23483</v>
      </c>
      <c r="V228" s="27" t="s">
        <v>1482</v>
      </c>
      <c r="W228" s="27">
        <v>3226770395</v>
      </c>
      <c r="X228" s="27" t="s">
        <v>154</v>
      </c>
      <c r="Y228" s="27" t="s">
        <v>543</v>
      </c>
      <c r="Z228" s="27" t="s">
        <v>559</v>
      </c>
      <c r="AA228" s="27" t="s">
        <v>543</v>
      </c>
      <c r="AB228" s="27" t="s">
        <v>186</v>
      </c>
      <c r="AC228" s="27" t="s">
        <v>159</v>
      </c>
      <c r="AD228" s="27" t="s">
        <v>160</v>
      </c>
      <c r="AE228" s="27" t="s">
        <v>161</v>
      </c>
      <c r="AF228" s="27" t="s">
        <v>162</v>
      </c>
      <c r="AG228" s="27" t="s">
        <v>177</v>
      </c>
      <c r="AH228" s="27" t="s">
        <v>164</v>
      </c>
      <c r="AI228" s="179"/>
      <c r="AP228" s="136">
        <v>45306</v>
      </c>
      <c r="AQ228" s="27" t="s">
        <v>52</v>
      </c>
      <c r="AT228" s="27" t="str">
        <f t="shared" si="6"/>
        <v>Inactivo</v>
      </c>
      <c r="AU228" s="27" cm="1">
        <f t="array" aca="1" ref="AU228" ca="1">_xlfn.IFS(AT228="","",AT228="Activo",TODAY()-H228,AT228="Inactivo",AP228-H228)</f>
        <v>106</v>
      </c>
      <c r="AV228" s="180">
        <f ca="1">IF(ISBLANK(Tabla1[[#This Row],[Fecha Nacimento (dd/mm/yyyy)]]),"",YEARFRAC(Tabla1[[#This Row],[Fecha Nacimento (dd/mm/yyyy)]],TODAY()))</f>
        <v>60.169444444444444</v>
      </c>
      <c r="AW228" s="141"/>
      <c r="AX228" s="27" t="str">
        <f t="shared" si="7"/>
        <v/>
      </c>
    </row>
    <row r="229" spans="1:50" s="27" customFormat="1" x14ac:dyDescent="0.25">
      <c r="A229" s="134">
        <v>229</v>
      </c>
      <c r="B229" s="27" t="s">
        <v>215</v>
      </c>
      <c r="C229" s="27" t="s">
        <v>1483</v>
      </c>
      <c r="D229" s="27" t="s">
        <v>141</v>
      </c>
      <c r="E229" s="400">
        <v>12552529</v>
      </c>
      <c r="F229" s="27" t="s">
        <v>142</v>
      </c>
      <c r="G229" s="27" t="s">
        <v>143</v>
      </c>
      <c r="H229" s="136">
        <v>45200</v>
      </c>
      <c r="I229" s="136"/>
      <c r="J229" s="27" t="s">
        <v>144</v>
      </c>
      <c r="K229" s="137">
        <v>1300000</v>
      </c>
      <c r="L229" s="27" t="s">
        <v>145</v>
      </c>
      <c r="M229" s="27" t="s">
        <v>146</v>
      </c>
      <c r="O229" s="139"/>
      <c r="Q229" s="27" t="s">
        <v>148</v>
      </c>
      <c r="R229" s="27" t="s">
        <v>168</v>
      </c>
      <c r="S229" s="27" t="s">
        <v>150</v>
      </c>
      <c r="T229" s="27" t="s">
        <v>1484</v>
      </c>
      <c r="U229" s="37">
        <v>22422</v>
      </c>
      <c r="V229" s="27" t="s">
        <v>1485</v>
      </c>
      <c r="W229" s="27">
        <v>3128305087</v>
      </c>
      <c r="X229" s="27" t="s">
        <v>154</v>
      </c>
      <c r="Y229" s="27" t="s">
        <v>543</v>
      </c>
      <c r="Z229" s="27" t="s">
        <v>559</v>
      </c>
      <c r="AA229" s="27" t="s">
        <v>1201</v>
      </c>
      <c r="AB229" s="27" t="s">
        <v>212</v>
      </c>
      <c r="AC229" s="27" t="s">
        <v>159</v>
      </c>
      <c r="AD229" s="27" t="s">
        <v>160</v>
      </c>
      <c r="AE229" s="27" t="s">
        <v>161</v>
      </c>
      <c r="AF229" s="27" t="s">
        <v>176</v>
      </c>
      <c r="AG229" s="27" t="s">
        <v>177</v>
      </c>
      <c r="AH229" s="27" t="s">
        <v>164</v>
      </c>
      <c r="AI229" s="179"/>
      <c r="AP229" s="136">
        <v>45322</v>
      </c>
      <c r="AQ229" s="27" t="s">
        <v>52</v>
      </c>
      <c r="AT229" s="27" t="str">
        <f t="shared" si="6"/>
        <v>Inactivo</v>
      </c>
      <c r="AU229" s="27" cm="1">
        <f t="array" aca="1" ref="AU229" ca="1">_xlfn.IFS(AT229="","",AT229="Activo",TODAY()-H229,AT229="Inactivo",AP229-H229)</f>
        <v>122</v>
      </c>
      <c r="AV229" s="180">
        <f ca="1">IF(ISBLANK(Tabla1[[#This Row],[Fecha Nacimento (dd/mm/yyyy)]]),"",YEARFRAC(Tabla1[[#This Row],[Fecha Nacimento (dd/mm/yyyy)]],TODAY()))</f>
        <v>63.072222222222223</v>
      </c>
      <c r="AW229" s="141"/>
      <c r="AX229" s="27" t="str">
        <f t="shared" si="7"/>
        <v/>
      </c>
    </row>
    <row r="230" spans="1:50" s="27" customFormat="1" x14ac:dyDescent="0.25">
      <c r="A230" s="134">
        <v>230</v>
      </c>
      <c r="B230" s="27" t="s">
        <v>1486</v>
      </c>
      <c r="C230" s="27" t="s">
        <v>1487</v>
      </c>
      <c r="D230" s="27" t="s">
        <v>141</v>
      </c>
      <c r="E230" s="400">
        <v>1094885833</v>
      </c>
      <c r="F230" s="27" t="s">
        <v>142</v>
      </c>
      <c r="G230" s="27" t="s">
        <v>143</v>
      </c>
      <c r="H230" s="136">
        <v>45200</v>
      </c>
      <c r="I230" s="136"/>
      <c r="J230" s="27" t="s">
        <v>144</v>
      </c>
      <c r="K230" s="137">
        <v>1300000</v>
      </c>
      <c r="L230" s="27" t="s">
        <v>145</v>
      </c>
      <c r="M230" s="27" t="s">
        <v>355</v>
      </c>
      <c r="O230" s="139" t="s">
        <v>180</v>
      </c>
      <c r="Q230" s="27" t="s">
        <v>148</v>
      </c>
      <c r="R230" s="27" t="s">
        <v>168</v>
      </c>
      <c r="S230" s="27" t="s">
        <v>150</v>
      </c>
      <c r="T230" s="28" t="s">
        <v>1488</v>
      </c>
      <c r="U230" s="37">
        <v>31781</v>
      </c>
      <c r="V230" s="27" t="s">
        <v>1482</v>
      </c>
      <c r="W230" s="27" t="s">
        <v>1489</v>
      </c>
      <c r="X230" s="27" t="s">
        <v>1466</v>
      </c>
      <c r="Y230" s="27" t="s">
        <v>543</v>
      </c>
      <c r="Z230" s="27" t="s">
        <v>559</v>
      </c>
      <c r="AA230" s="27" t="s">
        <v>543</v>
      </c>
      <c r="AB230" s="27" t="s">
        <v>599</v>
      </c>
      <c r="AC230" s="27" t="s">
        <v>160</v>
      </c>
      <c r="AD230" s="27" t="s">
        <v>160</v>
      </c>
      <c r="AE230" s="27" t="s">
        <v>161</v>
      </c>
      <c r="AF230" s="27" t="s">
        <v>162</v>
      </c>
      <c r="AG230" s="27" t="s">
        <v>177</v>
      </c>
      <c r="AH230" s="27" t="s">
        <v>164</v>
      </c>
      <c r="AI230" s="179"/>
      <c r="AP230" s="136">
        <v>45291</v>
      </c>
      <c r="AQ230" s="27" t="s">
        <v>52</v>
      </c>
      <c r="AT230" s="27" t="str">
        <f t="shared" si="6"/>
        <v>Inactivo</v>
      </c>
      <c r="AU230" s="27" cm="1">
        <f t="array" aca="1" ref="AU230" ca="1">_xlfn.IFS(AT230="","",AT230="Activo",TODAY()-H230,AT230="Inactivo",AP230-H230)</f>
        <v>91</v>
      </c>
      <c r="AV230" s="180">
        <f ca="1">IF(ISBLANK(Tabla1[[#This Row],[Fecha Nacimento (dd/mm/yyyy)]]),"",YEARFRAC(Tabla1[[#This Row],[Fecha Nacimento (dd/mm/yyyy)]],TODAY()))</f>
        <v>37.452777777777776</v>
      </c>
      <c r="AW230" s="141"/>
      <c r="AX230" s="27" t="str">
        <f t="shared" si="7"/>
        <v/>
      </c>
    </row>
    <row r="231" spans="1:50" s="27" customFormat="1" x14ac:dyDescent="0.25">
      <c r="A231" s="134">
        <v>231</v>
      </c>
      <c r="B231" s="27" t="s">
        <v>537</v>
      </c>
      <c r="C231" s="27" t="s">
        <v>1490</v>
      </c>
      <c r="D231" s="27" t="s">
        <v>141</v>
      </c>
      <c r="E231" s="403">
        <v>1088330413</v>
      </c>
      <c r="F231" s="27" t="s">
        <v>142</v>
      </c>
      <c r="G231" s="27" t="s">
        <v>143</v>
      </c>
      <c r="H231" s="136">
        <v>45208</v>
      </c>
      <c r="I231" s="136" t="s">
        <v>217</v>
      </c>
      <c r="J231" s="27" t="s">
        <v>144</v>
      </c>
      <c r="K231" s="137">
        <v>1300000</v>
      </c>
      <c r="L231" s="27" t="s">
        <v>145</v>
      </c>
      <c r="M231" s="27" t="s">
        <v>203</v>
      </c>
      <c r="N231" s="27" t="s">
        <v>145</v>
      </c>
      <c r="O231" s="139" t="s">
        <v>1491</v>
      </c>
      <c r="Q231" s="27" t="s">
        <v>148</v>
      </c>
      <c r="R231" s="27" t="s">
        <v>168</v>
      </c>
      <c r="S231" s="27" t="s">
        <v>150</v>
      </c>
      <c r="T231" s="28"/>
      <c r="U231" s="136">
        <v>34989</v>
      </c>
      <c r="V231" s="27" t="s">
        <v>1492</v>
      </c>
      <c r="W231" s="27">
        <v>3104615890</v>
      </c>
      <c r="X231" s="27" t="s">
        <v>1466</v>
      </c>
      <c r="Y231" s="27" t="s">
        <v>172</v>
      </c>
      <c r="Z231" s="27" t="s">
        <v>17</v>
      </c>
      <c r="AA231" s="27" t="s">
        <v>174</v>
      </c>
      <c r="AB231" s="27" t="s">
        <v>493</v>
      </c>
      <c r="AC231" s="135" t="s">
        <v>160</v>
      </c>
      <c r="AD231" s="135" t="s">
        <v>160</v>
      </c>
      <c r="AE231" s="27" t="s">
        <v>1</v>
      </c>
      <c r="AF231" s="27" t="s">
        <v>162</v>
      </c>
      <c r="AG231" s="27" t="s">
        <v>177</v>
      </c>
      <c r="AI231" s="179"/>
      <c r="AJ231" s="27" t="s">
        <v>866</v>
      </c>
      <c r="AK231" s="27" t="s">
        <v>1069</v>
      </c>
      <c r="AL231" s="27" t="s">
        <v>164</v>
      </c>
      <c r="AM231" s="27" t="s">
        <v>145</v>
      </c>
      <c r="AN231" s="27" t="s">
        <v>1069</v>
      </c>
      <c r="AO231" s="27" t="s">
        <v>164</v>
      </c>
      <c r="AP231" s="136"/>
      <c r="AT231" s="27" t="str">
        <f t="shared" si="6"/>
        <v>Activo</v>
      </c>
      <c r="AU231" s="27" cm="1">
        <f t="array" aca="1" ref="AU231" ca="1">_xlfn.IFS(AT231="","",AT231="Activo",TODAY()-H231,AT231="Inactivo",AP231-H231)</f>
        <v>252</v>
      </c>
      <c r="AV231" s="180">
        <f ca="1">IF(ISBLANK(Tabla1[[#This Row],[Fecha Nacimento (dd/mm/yyyy)]]),"",YEARFRAC(Tabla1[[#This Row],[Fecha Nacimento (dd/mm/yyyy)]],TODAY()))</f>
        <v>28.666666666666668</v>
      </c>
      <c r="AW231" s="141"/>
      <c r="AX231" s="27" t="str">
        <f t="shared" si="7"/>
        <v/>
      </c>
    </row>
    <row r="232" spans="1:50" s="27" customFormat="1" x14ac:dyDescent="0.25">
      <c r="A232" s="134">
        <v>232</v>
      </c>
      <c r="B232" s="141" t="s">
        <v>1493</v>
      </c>
      <c r="C232" s="141" t="s">
        <v>1494</v>
      </c>
      <c r="D232" s="27" t="s">
        <v>141</v>
      </c>
      <c r="E232" s="402">
        <v>94435240</v>
      </c>
      <c r="F232" s="141" t="s">
        <v>142</v>
      </c>
      <c r="G232" s="27" t="s">
        <v>143</v>
      </c>
      <c r="H232" s="142">
        <v>45208</v>
      </c>
      <c r="I232" s="136"/>
      <c r="J232" s="27" t="s">
        <v>144</v>
      </c>
      <c r="K232" s="143">
        <v>1300000</v>
      </c>
      <c r="L232" s="27" t="s">
        <v>145</v>
      </c>
      <c r="M232" s="141" t="s">
        <v>203</v>
      </c>
      <c r="O232" s="145" t="s">
        <v>1495</v>
      </c>
      <c r="Q232" s="27" t="s">
        <v>205</v>
      </c>
      <c r="U232" s="181">
        <v>29820</v>
      </c>
      <c r="V232" s="141" t="s">
        <v>1496</v>
      </c>
      <c r="W232" s="141" t="s">
        <v>1497</v>
      </c>
      <c r="X232" s="141" t="s">
        <v>1496</v>
      </c>
      <c r="Y232" s="141" t="s">
        <v>484</v>
      </c>
      <c r="Z232" s="141" t="s">
        <v>430</v>
      </c>
      <c r="AA232" s="141" t="s">
        <v>211</v>
      </c>
      <c r="AB232" s="141" t="s">
        <v>175</v>
      </c>
      <c r="AC232" s="141" t="s">
        <v>160</v>
      </c>
      <c r="AD232" s="141" t="s">
        <v>160</v>
      </c>
      <c r="AE232" s="27" t="s">
        <v>485</v>
      </c>
      <c r="AF232" s="27" t="s">
        <v>176</v>
      </c>
      <c r="AG232" s="27" t="s">
        <v>177</v>
      </c>
      <c r="AH232" s="27" t="s">
        <v>164</v>
      </c>
      <c r="AI232" s="179"/>
      <c r="AJ232" s="27" t="s">
        <v>164</v>
      </c>
      <c r="AK232" s="27" t="s">
        <v>214</v>
      </c>
      <c r="AL232" s="27" t="s">
        <v>214</v>
      </c>
      <c r="AM232" s="27" t="s">
        <v>164</v>
      </c>
      <c r="AN232" s="27" t="s">
        <v>214</v>
      </c>
      <c r="AO232" s="27" t="s">
        <v>214</v>
      </c>
      <c r="AP232" s="136"/>
      <c r="AT232" s="27" t="str">
        <f t="shared" si="6"/>
        <v>Activo</v>
      </c>
      <c r="AU232" s="27" cm="1">
        <f t="array" aca="1" ref="AU232" ca="1">_xlfn.IFS(AT232="","",AT232="Activo",TODAY()-H232,AT232="Inactivo",AP232-H232)</f>
        <v>252</v>
      </c>
      <c r="AV232" s="180">
        <f ca="1">IF(ISBLANK(Tabla1[[#This Row],[Fecha Nacimento (dd/mm/yyyy)]]),"",YEARFRAC(Tabla1[[#This Row],[Fecha Nacimento (dd/mm/yyyy)]],TODAY()))</f>
        <v>42.819444444444443</v>
      </c>
      <c r="AW232" s="141"/>
      <c r="AX232" s="27" t="str">
        <f t="shared" si="7"/>
        <v/>
      </c>
    </row>
    <row r="233" spans="1:50" s="27" customFormat="1" x14ac:dyDescent="0.25">
      <c r="A233" s="134">
        <v>233</v>
      </c>
      <c r="B233" s="27" t="s">
        <v>1498</v>
      </c>
      <c r="C233" s="27" t="s">
        <v>1499</v>
      </c>
      <c r="D233" s="27" t="s">
        <v>141</v>
      </c>
      <c r="E233" s="400">
        <v>1007527291</v>
      </c>
      <c r="F233" s="27" t="s">
        <v>142</v>
      </c>
      <c r="G233" s="27" t="s">
        <v>143</v>
      </c>
      <c r="H233" s="136">
        <v>45209</v>
      </c>
      <c r="I233" s="136" t="s">
        <v>217</v>
      </c>
      <c r="J233" s="27" t="s">
        <v>144</v>
      </c>
      <c r="K233" s="140">
        <v>1300000</v>
      </c>
      <c r="L233" s="27" t="s">
        <v>145</v>
      </c>
      <c r="M233" s="27" t="s">
        <v>203</v>
      </c>
      <c r="N233" s="27" t="s">
        <v>145</v>
      </c>
      <c r="O233" s="139" t="s">
        <v>1500</v>
      </c>
      <c r="Q233" s="27" t="s">
        <v>148</v>
      </c>
      <c r="R233" s="27" t="s">
        <v>168</v>
      </c>
      <c r="S233" s="27" t="s">
        <v>150</v>
      </c>
      <c r="T233" s="27" t="s">
        <v>1501</v>
      </c>
      <c r="U233" s="136">
        <v>36933</v>
      </c>
      <c r="V233" s="27" t="s">
        <v>1502</v>
      </c>
      <c r="W233" s="27" t="s">
        <v>1503</v>
      </c>
      <c r="X233" s="27" t="s">
        <v>464</v>
      </c>
      <c r="Y233" s="27" t="s">
        <v>222</v>
      </c>
      <c r="Z233" s="27" t="s">
        <v>15</v>
      </c>
      <c r="AA233" s="27" t="s">
        <v>211</v>
      </c>
      <c r="AB233" s="27" t="s">
        <v>212</v>
      </c>
      <c r="AC233" s="27" t="s">
        <v>160</v>
      </c>
      <c r="AD233" s="27" t="s">
        <v>160</v>
      </c>
      <c r="AE233" s="27" t="s">
        <v>1</v>
      </c>
      <c r="AF233" s="27" t="s">
        <v>176</v>
      </c>
      <c r="AG233" s="27" t="s">
        <v>177</v>
      </c>
      <c r="AI233" s="179"/>
      <c r="AP233" s="136"/>
      <c r="AT233" s="27" t="str">
        <f t="shared" si="6"/>
        <v>Activo</v>
      </c>
      <c r="AU233" s="27" cm="1">
        <f t="array" aca="1" ref="AU233" ca="1">_xlfn.IFS(AT233="","",AT233="Activo",TODAY()-H233,AT233="Inactivo",AP233-H233)</f>
        <v>251</v>
      </c>
      <c r="AV233" s="180">
        <f ca="1">IF(ISBLANK(Tabla1[[#This Row],[Fecha Nacimento (dd/mm/yyyy)]]),"",YEARFRAC(Tabla1[[#This Row],[Fecha Nacimento (dd/mm/yyyy)]],TODAY()))</f>
        <v>23.35</v>
      </c>
      <c r="AW233" s="141"/>
      <c r="AX233" s="27" t="str">
        <f t="shared" si="7"/>
        <v/>
      </c>
    </row>
    <row r="234" spans="1:50" s="27" customFormat="1" x14ac:dyDescent="0.25">
      <c r="A234" s="134">
        <v>234</v>
      </c>
      <c r="B234" s="27" t="s">
        <v>1504</v>
      </c>
      <c r="C234" s="27" t="s">
        <v>1505</v>
      </c>
      <c r="D234" s="27" t="s">
        <v>141</v>
      </c>
      <c r="E234" s="400">
        <v>31950501</v>
      </c>
      <c r="F234" s="27" t="s">
        <v>142</v>
      </c>
      <c r="G234" s="27" t="s">
        <v>143</v>
      </c>
      <c r="H234" s="136">
        <v>45215</v>
      </c>
      <c r="I234" s="136"/>
      <c r="J234" s="27" t="s">
        <v>144</v>
      </c>
      <c r="K234" s="137">
        <v>1300000</v>
      </c>
      <c r="L234" s="27" t="s">
        <v>164</v>
      </c>
      <c r="M234" s="27" t="s">
        <v>262</v>
      </c>
      <c r="O234" s="147" t="s">
        <v>1506</v>
      </c>
      <c r="Q234" s="27" t="s">
        <v>205</v>
      </c>
      <c r="U234" s="37">
        <v>23526</v>
      </c>
      <c r="V234" s="27" t="s">
        <v>1507</v>
      </c>
      <c r="W234" s="27">
        <v>3105050157</v>
      </c>
      <c r="X234" s="27" t="s">
        <v>154</v>
      </c>
      <c r="Y234" s="27" t="s">
        <v>172</v>
      </c>
      <c r="Z234" s="27" t="s">
        <v>440</v>
      </c>
      <c r="AA234" s="27" t="s">
        <v>174</v>
      </c>
      <c r="AB234" s="27" t="s">
        <v>233</v>
      </c>
      <c r="AC234" s="27" t="s">
        <v>159</v>
      </c>
      <c r="AD234" s="27" t="s">
        <v>160</v>
      </c>
      <c r="AE234" s="27" t="s">
        <v>980</v>
      </c>
      <c r="AF234" s="27" t="s">
        <v>162</v>
      </c>
      <c r="AG234" s="27" t="s">
        <v>177</v>
      </c>
      <c r="AH234" s="27" t="s">
        <v>164</v>
      </c>
      <c r="AI234" s="179"/>
      <c r="AJ234" s="27" t="s">
        <v>164</v>
      </c>
      <c r="AK234" s="27" t="s">
        <v>214</v>
      </c>
      <c r="AL234" s="27" t="s">
        <v>164</v>
      </c>
      <c r="AM234" s="27" t="s">
        <v>164</v>
      </c>
      <c r="AN234" s="27" t="s">
        <v>214</v>
      </c>
      <c r="AO234" s="27" t="s">
        <v>164</v>
      </c>
      <c r="AP234" s="136">
        <v>45298</v>
      </c>
      <c r="AQ234" s="27" t="s">
        <v>55</v>
      </c>
      <c r="AT234" s="27" t="str">
        <f t="shared" si="6"/>
        <v>Inactivo</v>
      </c>
      <c r="AU234" s="27" cm="1">
        <f t="array" aca="1" ref="AU234" ca="1">_xlfn.IFS(AT234="","",AT234="Activo",TODAY()-H234,AT234="Inactivo",AP234-H234)</f>
        <v>83</v>
      </c>
      <c r="AV234" s="180">
        <f ca="1">IF(ISBLANK(Tabla1[[#This Row],[Fecha Nacimento (dd/mm/yyyy)]]),"",YEARFRAC(Tabla1[[#This Row],[Fecha Nacimento (dd/mm/yyyy)]],TODAY()))</f>
        <v>60.05</v>
      </c>
      <c r="AW234" s="141"/>
      <c r="AX234" s="27" t="str">
        <f t="shared" si="7"/>
        <v/>
      </c>
    </row>
    <row r="235" spans="1:50" s="27" customFormat="1" x14ac:dyDescent="0.25">
      <c r="A235" s="134">
        <v>235</v>
      </c>
      <c r="B235" s="141" t="s">
        <v>1508</v>
      </c>
      <c r="C235" s="141" t="s">
        <v>1509</v>
      </c>
      <c r="D235" s="27" t="s">
        <v>141</v>
      </c>
      <c r="E235" s="402">
        <v>1116441979</v>
      </c>
      <c r="F235" s="141" t="s">
        <v>142</v>
      </c>
      <c r="G235" s="27" t="s">
        <v>143</v>
      </c>
      <c r="H235" s="142">
        <v>45215</v>
      </c>
      <c r="I235" s="136"/>
      <c r="J235" s="27" t="s">
        <v>144</v>
      </c>
      <c r="K235" s="144">
        <v>1300000</v>
      </c>
      <c r="L235" s="27" t="s">
        <v>164</v>
      </c>
      <c r="M235" s="141" t="s">
        <v>203</v>
      </c>
      <c r="N235" s="27" t="s">
        <v>145</v>
      </c>
      <c r="O235" s="139"/>
      <c r="Q235" s="27" t="s">
        <v>205</v>
      </c>
      <c r="T235" s="180"/>
      <c r="U235" s="37"/>
      <c r="V235" s="141" t="s">
        <v>217</v>
      </c>
      <c r="W235" s="141" t="s">
        <v>1510</v>
      </c>
      <c r="X235" s="141" t="s">
        <v>436</v>
      </c>
      <c r="Y235" s="141" t="s">
        <v>172</v>
      </c>
      <c r="Z235" s="141" t="s">
        <v>223</v>
      </c>
      <c r="AA235" s="141" t="s">
        <v>211</v>
      </c>
      <c r="AB235" s="141" t="s">
        <v>175</v>
      </c>
      <c r="AC235" s="141" t="s">
        <v>160</v>
      </c>
      <c r="AD235" s="141" t="s">
        <v>160</v>
      </c>
      <c r="AE235" s="27" t="s">
        <v>344</v>
      </c>
      <c r="AF235" s="27" t="s">
        <v>176</v>
      </c>
      <c r="AG235" s="27" t="s">
        <v>177</v>
      </c>
      <c r="AH235" s="27" t="s">
        <v>164</v>
      </c>
      <c r="AI235" s="179"/>
      <c r="AJ235" s="27" t="s">
        <v>304</v>
      </c>
      <c r="AK235" s="27" t="s">
        <v>214</v>
      </c>
      <c r="AL235" s="27" t="s">
        <v>214</v>
      </c>
      <c r="AM235" s="27" t="s">
        <v>164</v>
      </c>
      <c r="AN235" s="27" t="s">
        <v>214</v>
      </c>
      <c r="AO235" s="27" t="s">
        <v>214</v>
      </c>
      <c r="AP235" s="136"/>
      <c r="AT235" s="27" t="str">
        <f t="shared" si="6"/>
        <v>Activo</v>
      </c>
      <c r="AU235" s="27" cm="1">
        <f t="array" aca="1" ref="AU235" ca="1">_xlfn.IFS(AT235="","",AT235="Activo",TODAY()-H235,AT235="Inactivo",AP235-H235)</f>
        <v>245</v>
      </c>
      <c r="AV235" s="180" t="str">
        <f ca="1">IF(ISBLANK(Tabla1[[#This Row],[Fecha Nacimento (dd/mm/yyyy)]]),"",YEARFRAC(Tabla1[[#This Row],[Fecha Nacimento (dd/mm/yyyy)]],TODAY()))</f>
        <v/>
      </c>
      <c r="AW235" s="141"/>
      <c r="AX235" s="27" t="str">
        <f t="shared" si="7"/>
        <v/>
      </c>
    </row>
    <row r="236" spans="1:50" s="27" customFormat="1" x14ac:dyDescent="0.25">
      <c r="A236" s="134">
        <v>236</v>
      </c>
      <c r="B236" s="141" t="s">
        <v>1511</v>
      </c>
      <c r="C236" s="141" t="s">
        <v>1512</v>
      </c>
      <c r="D236" s="27" t="s">
        <v>141</v>
      </c>
      <c r="E236" s="402">
        <v>16803357</v>
      </c>
      <c r="F236" s="141" t="s">
        <v>142</v>
      </c>
      <c r="G236" s="27" t="s">
        <v>143</v>
      </c>
      <c r="H236" s="142">
        <v>45215</v>
      </c>
      <c r="I236" s="136"/>
      <c r="J236" s="27" t="s">
        <v>144</v>
      </c>
      <c r="K236" s="143">
        <v>1300000</v>
      </c>
      <c r="L236" s="27" t="s">
        <v>145</v>
      </c>
      <c r="M236" s="141" t="s">
        <v>203</v>
      </c>
      <c r="O236" s="145" t="s">
        <v>1513</v>
      </c>
      <c r="Q236" s="27" t="s">
        <v>205</v>
      </c>
      <c r="U236" s="181">
        <v>28550</v>
      </c>
      <c r="V236" s="141" t="s">
        <v>1496</v>
      </c>
      <c r="W236" s="141" t="s">
        <v>1514</v>
      </c>
      <c r="X236" s="141" t="s">
        <v>1515</v>
      </c>
      <c r="Y236" s="141" t="s">
        <v>484</v>
      </c>
      <c r="Z236" s="141" t="s">
        <v>1516</v>
      </c>
      <c r="AA236" s="141" t="s">
        <v>211</v>
      </c>
      <c r="AB236" s="141" t="s">
        <v>175</v>
      </c>
      <c r="AC236" s="141" t="s">
        <v>159</v>
      </c>
      <c r="AD236" s="141" t="s">
        <v>160</v>
      </c>
      <c r="AE236" s="27" t="s">
        <v>485</v>
      </c>
      <c r="AF236" s="27" t="s">
        <v>176</v>
      </c>
      <c r="AG236" s="27" t="s">
        <v>177</v>
      </c>
      <c r="AH236" s="27" t="s">
        <v>164</v>
      </c>
      <c r="AI236" s="179"/>
      <c r="AJ236" s="27" t="s">
        <v>164</v>
      </c>
      <c r="AK236" s="27" t="s">
        <v>214</v>
      </c>
      <c r="AL236" s="27" t="s">
        <v>214</v>
      </c>
      <c r="AM236" s="27" t="s">
        <v>164</v>
      </c>
      <c r="AN236" s="27" t="s">
        <v>214</v>
      </c>
      <c r="AO236" s="27" t="s">
        <v>214</v>
      </c>
      <c r="AP236" s="136"/>
      <c r="AT236" s="27" t="str">
        <f t="shared" si="6"/>
        <v>Activo</v>
      </c>
      <c r="AU236" s="27" cm="1">
        <f t="array" aca="1" ref="AU236" ca="1">_xlfn.IFS(AT236="","",AT236="Activo",TODAY()-H236,AT236="Inactivo",AP236-H236)</f>
        <v>245</v>
      </c>
      <c r="AV236" s="180">
        <f ca="1">IF(ISBLANK(Tabla1[[#This Row],[Fecha Nacimento (dd/mm/yyyy)]]),"",YEARFRAC(Tabla1[[#This Row],[Fecha Nacimento (dd/mm/yyyy)]],TODAY()))</f>
        <v>46.294444444444444</v>
      </c>
      <c r="AW236" s="141"/>
      <c r="AX236" s="27" t="str">
        <f t="shared" si="7"/>
        <v/>
      </c>
    </row>
    <row r="237" spans="1:50" s="27" customFormat="1" x14ac:dyDescent="0.25">
      <c r="A237" s="134">
        <v>237</v>
      </c>
      <c r="B237" s="141" t="s">
        <v>1517</v>
      </c>
      <c r="C237" s="141" t="s">
        <v>1518</v>
      </c>
      <c r="D237" s="27" t="s">
        <v>141</v>
      </c>
      <c r="E237" s="402">
        <v>94287053</v>
      </c>
      <c r="F237" s="141" t="s">
        <v>142</v>
      </c>
      <c r="G237" s="27" t="s">
        <v>143</v>
      </c>
      <c r="H237" s="142">
        <v>45215</v>
      </c>
      <c r="I237" s="136"/>
      <c r="J237" s="27" t="s">
        <v>144</v>
      </c>
      <c r="K237" s="137">
        <v>1300000</v>
      </c>
      <c r="L237" s="27" t="s">
        <v>164</v>
      </c>
      <c r="M237" s="141" t="s">
        <v>203</v>
      </c>
      <c r="O237" s="141" t="s">
        <v>217</v>
      </c>
      <c r="Q237" s="27" t="s">
        <v>205</v>
      </c>
      <c r="U237" s="181">
        <v>28792</v>
      </c>
      <c r="V237" s="141" t="s">
        <v>217</v>
      </c>
      <c r="W237" s="141" t="s">
        <v>1519</v>
      </c>
      <c r="X237" s="141" t="s">
        <v>703</v>
      </c>
      <c r="Y237" s="141" t="s">
        <v>351</v>
      </c>
      <c r="Z237" s="141" t="s">
        <v>430</v>
      </c>
      <c r="AA237" s="141" t="s">
        <v>211</v>
      </c>
      <c r="AB237" s="141" t="s">
        <v>212</v>
      </c>
      <c r="AC237" s="141" t="s">
        <v>271</v>
      </c>
      <c r="AD237" s="141" t="s">
        <v>271</v>
      </c>
      <c r="AE237" s="27" t="s">
        <v>213</v>
      </c>
      <c r="AF237" s="27" t="s">
        <v>176</v>
      </c>
      <c r="AG237" s="27" t="s">
        <v>177</v>
      </c>
      <c r="AH237" s="27" t="s">
        <v>164</v>
      </c>
      <c r="AI237" s="179"/>
      <c r="AJ237" s="27" t="s">
        <v>164</v>
      </c>
      <c r="AK237" s="27" t="s">
        <v>214</v>
      </c>
      <c r="AL237" s="27" t="s">
        <v>214</v>
      </c>
      <c r="AM237" s="27" t="s">
        <v>164</v>
      </c>
      <c r="AN237" s="27" t="s">
        <v>214</v>
      </c>
      <c r="AO237" s="27" t="s">
        <v>214</v>
      </c>
      <c r="AP237" s="136"/>
      <c r="AT237" s="27" t="str">
        <f t="shared" si="6"/>
        <v>Activo</v>
      </c>
      <c r="AU237" s="27" cm="1">
        <f t="array" aca="1" ref="AU237" ca="1">_xlfn.IFS(AT237="","",AT237="Activo",TODAY()-H237,AT237="Inactivo",AP237-H237)</f>
        <v>245</v>
      </c>
      <c r="AV237" s="180">
        <f ca="1">IF(ISBLANK(Tabla1[[#This Row],[Fecha Nacimento (dd/mm/yyyy)]]),"",YEARFRAC(Tabla1[[#This Row],[Fecha Nacimento (dd/mm/yyyy)]],TODAY()))</f>
        <v>45.633333333333333</v>
      </c>
      <c r="AW237" s="141"/>
      <c r="AX237" s="27" t="str">
        <f t="shared" si="7"/>
        <v/>
      </c>
    </row>
    <row r="238" spans="1:50" s="27" customFormat="1" x14ac:dyDescent="0.25">
      <c r="A238" s="134">
        <v>238</v>
      </c>
      <c r="B238" s="27" t="s">
        <v>1520</v>
      </c>
      <c r="C238" s="27" t="s">
        <v>1521</v>
      </c>
      <c r="D238" s="27" t="s">
        <v>141</v>
      </c>
      <c r="E238" s="400">
        <v>5348909</v>
      </c>
      <c r="F238" s="27" t="s">
        <v>142</v>
      </c>
      <c r="G238" s="27" t="s">
        <v>143</v>
      </c>
      <c r="H238" s="136">
        <v>45216</v>
      </c>
      <c r="I238" s="136"/>
      <c r="J238" s="27" t="s">
        <v>144</v>
      </c>
      <c r="K238" s="138">
        <v>1350000</v>
      </c>
      <c r="L238" s="27" t="s">
        <v>145</v>
      </c>
      <c r="M238" s="27" t="s">
        <v>146</v>
      </c>
      <c r="N238" s="27" t="s">
        <v>145</v>
      </c>
      <c r="O238" s="139" t="s">
        <v>1522</v>
      </c>
      <c r="Q238" s="27" t="s">
        <v>148</v>
      </c>
      <c r="R238" s="27" t="s">
        <v>1024</v>
      </c>
      <c r="S238" s="27" t="s">
        <v>150</v>
      </c>
      <c r="T238" s="27">
        <v>665053534</v>
      </c>
      <c r="U238" s="37">
        <v>27479</v>
      </c>
      <c r="V238" s="27" t="s">
        <v>1523</v>
      </c>
      <c r="W238" s="27">
        <v>3054451992</v>
      </c>
      <c r="X238" s="27" t="s">
        <v>154</v>
      </c>
      <c r="Y238" s="27" t="s">
        <v>172</v>
      </c>
      <c r="Z238" s="27" t="s">
        <v>193</v>
      </c>
      <c r="AA238" s="27" t="s">
        <v>174</v>
      </c>
      <c r="AB238" s="27" t="s">
        <v>911</v>
      </c>
      <c r="AC238" s="27" t="s">
        <v>214</v>
      </c>
      <c r="AD238" s="27" t="s">
        <v>160</v>
      </c>
      <c r="AE238" s="27" t="s">
        <v>1027</v>
      </c>
      <c r="AF238" s="27" t="s">
        <v>176</v>
      </c>
      <c r="AG238" s="27" t="s">
        <v>177</v>
      </c>
      <c r="AH238" s="27" t="s">
        <v>145</v>
      </c>
      <c r="AI238" s="179">
        <v>668000</v>
      </c>
      <c r="AJ238" s="27" t="s">
        <v>164</v>
      </c>
      <c r="AK238" s="27" t="s">
        <v>214</v>
      </c>
      <c r="AL238" s="27" t="s">
        <v>214</v>
      </c>
      <c r="AM238" s="27" t="s">
        <v>164</v>
      </c>
      <c r="AN238" s="27" t="s">
        <v>214</v>
      </c>
      <c r="AO238" s="27" t="s">
        <v>164</v>
      </c>
      <c r="AP238" s="136">
        <v>45220</v>
      </c>
      <c r="AQ238" s="27" t="s">
        <v>52</v>
      </c>
      <c r="AT238" s="27" t="str">
        <f t="shared" si="6"/>
        <v>Inactivo</v>
      </c>
      <c r="AU238" s="27" cm="1">
        <f t="array" aca="1" ref="AU238" ca="1">_xlfn.IFS(AT238="","",AT238="Activo",TODAY()-H238,AT238="Inactivo",AP238-H238)</f>
        <v>4</v>
      </c>
      <c r="AV238" s="180">
        <f ca="1">IF(ISBLANK(Tabla1[[#This Row],[Fecha Nacimento (dd/mm/yyyy)]]),"",YEARFRAC(Tabla1[[#This Row],[Fecha Nacimento (dd/mm/yyyy)]],TODAY()))</f>
        <v>49.225000000000001</v>
      </c>
      <c r="AW238" s="141"/>
      <c r="AX238" s="27" t="str">
        <f t="shared" si="7"/>
        <v/>
      </c>
    </row>
    <row r="239" spans="1:50" s="27" customFormat="1" x14ac:dyDescent="0.25">
      <c r="A239" s="134">
        <v>239</v>
      </c>
      <c r="B239" s="27" t="s">
        <v>283</v>
      </c>
      <c r="C239" s="27" t="s">
        <v>1524</v>
      </c>
      <c r="D239" s="27" t="s">
        <v>141</v>
      </c>
      <c r="E239" s="400">
        <v>1094883790</v>
      </c>
      <c r="F239" s="27" t="s">
        <v>142</v>
      </c>
      <c r="G239" s="27" t="s">
        <v>959</v>
      </c>
      <c r="H239" s="136">
        <v>45216</v>
      </c>
      <c r="I239" s="136">
        <v>44942</v>
      </c>
      <c r="J239" s="27" t="s">
        <v>1525</v>
      </c>
      <c r="K239" s="138">
        <v>580000</v>
      </c>
      <c r="L239" s="27" t="s">
        <v>145</v>
      </c>
      <c r="M239" s="27" t="s">
        <v>262</v>
      </c>
      <c r="O239" s="139" t="s">
        <v>1526</v>
      </c>
      <c r="Q239" s="27" t="s">
        <v>148</v>
      </c>
      <c r="R239" s="27" t="s">
        <v>149</v>
      </c>
      <c r="S239" s="27" t="s">
        <v>150</v>
      </c>
      <c r="T239" s="27">
        <v>37454695535</v>
      </c>
      <c r="U239" s="37">
        <v>31676</v>
      </c>
      <c r="V239" s="27" t="s">
        <v>1527</v>
      </c>
      <c r="W239" s="27">
        <v>3128361773</v>
      </c>
      <c r="X239" s="27" t="s">
        <v>154</v>
      </c>
      <c r="Y239" s="27" t="s">
        <v>155</v>
      </c>
      <c r="Z239" s="27" t="s">
        <v>1528</v>
      </c>
      <c r="AA239" s="27" t="s">
        <v>302</v>
      </c>
      <c r="AB239" s="27" t="s">
        <v>158</v>
      </c>
      <c r="AC239" s="27" t="s">
        <v>160</v>
      </c>
      <c r="AD239" s="27" t="s">
        <v>160</v>
      </c>
      <c r="AE239" s="27" t="s">
        <v>224</v>
      </c>
      <c r="AF239" s="27" t="s">
        <v>162</v>
      </c>
      <c r="AG239" s="27" t="s">
        <v>177</v>
      </c>
      <c r="AI239" s="179"/>
      <c r="AP239" s="136">
        <v>45307</v>
      </c>
      <c r="AQ239" s="27" t="s">
        <v>65</v>
      </c>
      <c r="AR239" s="27" t="s">
        <v>1529</v>
      </c>
      <c r="AT239" s="27" t="str">
        <f t="shared" si="6"/>
        <v>Inactivo</v>
      </c>
      <c r="AU239" s="27" cm="1">
        <f t="array" aca="1" ref="AU239" ca="1">_xlfn.IFS(AT239="","",AT239="Activo",TODAY()-H239,AT239="Inactivo",AP239-H239)</f>
        <v>91</v>
      </c>
      <c r="AV239" s="180">
        <f ca="1">IF(ISBLANK(Tabla1[[#This Row],[Fecha Nacimento (dd/mm/yyyy)]]),"",YEARFRAC(Tabla1[[#This Row],[Fecha Nacimento (dd/mm/yyyy)]],TODAY()))</f>
        <v>37.738888888888887</v>
      </c>
      <c r="AW239" s="141"/>
      <c r="AX239" s="27" t="str">
        <f t="shared" si="7"/>
        <v/>
      </c>
    </row>
    <row r="240" spans="1:50" s="27" customFormat="1" x14ac:dyDescent="0.25">
      <c r="A240" s="134">
        <v>240</v>
      </c>
      <c r="B240" s="27" t="s">
        <v>1108</v>
      </c>
      <c r="C240" s="27" t="s">
        <v>1530</v>
      </c>
      <c r="D240" s="27" t="s">
        <v>363</v>
      </c>
      <c r="E240" s="400">
        <v>4091638</v>
      </c>
      <c r="F240" s="27" t="s">
        <v>142</v>
      </c>
      <c r="G240" s="27" t="s">
        <v>143</v>
      </c>
      <c r="H240" s="136">
        <v>45219</v>
      </c>
      <c r="I240" s="136"/>
      <c r="J240" s="27" t="s">
        <v>144</v>
      </c>
      <c r="K240" s="137">
        <v>1300000</v>
      </c>
      <c r="L240" s="27" t="s">
        <v>145</v>
      </c>
      <c r="M240" s="27" t="s">
        <v>355</v>
      </c>
      <c r="N240" s="27" t="s">
        <v>145</v>
      </c>
      <c r="O240" s="139" t="s">
        <v>1531</v>
      </c>
      <c r="Q240" s="27" t="s">
        <v>148</v>
      </c>
      <c r="R240" s="27" t="s">
        <v>168</v>
      </c>
      <c r="S240" s="27" t="s">
        <v>150</v>
      </c>
      <c r="T240" s="180">
        <v>550136200170522</v>
      </c>
      <c r="U240" s="37">
        <v>34948</v>
      </c>
      <c r="V240" s="27" t="s">
        <v>1532</v>
      </c>
      <c r="W240" s="27">
        <v>3007134276</v>
      </c>
      <c r="X240" s="27" t="s">
        <v>268</v>
      </c>
      <c r="Y240" s="27" t="s">
        <v>367</v>
      </c>
      <c r="Z240" s="27" t="s">
        <v>368</v>
      </c>
      <c r="AA240" s="27" t="s">
        <v>174</v>
      </c>
      <c r="AB240" s="27" t="s">
        <v>175</v>
      </c>
      <c r="AC240" s="27" t="s">
        <v>160</v>
      </c>
      <c r="AD240" s="27" t="s">
        <v>160</v>
      </c>
      <c r="AE240" s="27" t="s">
        <v>272</v>
      </c>
      <c r="AF240" s="27" t="s">
        <v>176</v>
      </c>
      <c r="AG240" s="27" t="s">
        <v>177</v>
      </c>
      <c r="AH240" s="27" t="s">
        <v>164</v>
      </c>
      <c r="AI240" s="179"/>
      <c r="AJ240" s="27" t="s">
        <v>164</v>
      </c>
      <c r="AK240" s="27" t="s">
        <v>214</v>
      </c>
      <c r="AL240" s="27" t="s">
        <v>214</v>
      </c>
      <c r="AM240" s="27" t="s">
        <v>164</v>
      </c>
      <c r="AN240" s="27" t="s">
        <v>214</v>
      </c>
      <c r="AO240" s="27" t="s">
        <v>164</v>
      </c>
      <c r="AP240" s="136">
        <v>45275</v>
      </c>
      <c r="AQ240" s="27" t="s">
        <v>52</v>
      </c>
      <c r="AT240" s="27" t="str">
        <f t="shared" si="6"/>
        <v>Inactivo</v>
      </c>
      <c r="AU240" s="27" cm="1">
        <f t="array" aca="1" ref="AU240" ca="1">_xlfn.IFS(AT240="","",AT240="Activo",TODAY()-H240,AT240="Inactivo",AP240-H240)</f>
        <v>56</v>
      </c>
      <c r="AV240" s="180">
        <f ca="1">IF(ISBLANK(Tabla1[[#This Row],[Fecha Nacimento (dd/mm/yyyy)]]),"",YEARFRAC(Tabla1[[#This Row],[Fecha Nacimento (dd/mm/yyyy)]],TODAY()))</f>
        <v>28.780555555555555</v>
      </c>
      <c r="AW240" s="141"/>
      <c r="AX240" s="27" t="str">
        <f t="shared" si="7"/>
        <v/>
      </c>
    </row>
    <row r="241" spans="1:50" s="27" customFormat="1" x14ac:dyDescent="0.25">
      <c r="A241" s="134">
        <v>241</v>
      </c>
      <c r="B241" s="27" t="s">
        <v>1533</v>
      </c>
      <c r="C241" s="27" t="s">
        <v>1534</v>
      </c>
      <c r="D241" s="27" t="s">
        <v>141</v>
      </c>
      <c r="E241" s="400">
        <v>1130660791</v>
      </c>
      <c r="F241" s="27" t="s">
        <v>142</v>
      </c>
      <c r="G241" s="27" t="s">
        <v>143</v>
      </c>
      <c r="H241" s="136">
        <v>45222</v>
      </c>
      <c r="I241" s="136"/>
      <c r="J241" s="27" t="s">
        <v>144</v>
      </c>
      <c r="K241" s="138">
        <v>1300000</v>
      </c>
      <c r="L241" s="27" t="s">
        <v>145</v>
      </c>
      <c r="M241" s="27" t="s">
        <v>355</v>
      </c>
      <c r="N241" s="135" t="s">
        <v>145</v>
      </c>
      <c r="O241" s="139" t="s">
        <v>1535</v>
      </c>
      <c r="Q241" s="27" t="s">
        <v>148</v>
      </c>
      <c r="R241" s="27" t="s">
        <v>426</v>
      </c>
      <c r="S241" s="27" t="s">
        <v>150</v>
      </c>
      <c r="T241" s="27">
        <v>3187359764</v>
      </c>
      <c r="U241" s="37">
        <v>32190</v>
      </c>
      <c r="V241" s="27" t="s">
        <v>1536</v>
      </c>
      <c r="W241" s="27">
        <v>3208015567</v>
      </c>
      <c r="X241" s="27" t="s">
        <v>154</v>
      </c>
      <c r="Y241" s="27" t="s">
        <v>543</v>
      </c>
      <c r="Z241" s="27" t="s">
        <v>1182</v>
      </c>
      <c r="AA241" s="27" t="s">
        <v>543</v>
      </c>
      <c r="AB241" s="27" t="s">
        <v>259</v>
      </c>
      <c r="AC241" s="27" t="s">
        <v>160</v>
      </c>
      <c r="AD241" s="27" t="s">
        <v>160</v>
      </c>
      <c r="AE241" s="27" t="s">
        <v>1184</v>
      </c>
      <c r="AF241" s="27" t="s">
        <v>162</v>
      </c>
      <c r="AG241" s="27" t="s">
        <v>177</v>
      </c>
      <c r="AH241" s="27" t="s">
        <v>145</v>
      </c>
      <c r="AI241" s="179">
        <v>182828</v>
      </c>
      <c r="AJ241" s="27" t="s">
        <v>1537</v>
      </c>
      <c r="AK241" s="27" t="s">
        <v>214</v>
      </c>
      <c r="AL241" s="27" t="s">
        <v>214</v>
      </c>
      <c r="AM241" s="27" t="s">
        <v>164</v>
      </c>
      <c r="AN241" s="27" t="s">
        <v>214</v>
      </c>
      <c r="AO241" s="27" t="s">
        <v>164</v>
      </c>
      <c r="AP241" s="136">
        <v>45282</v>
      </c>
      <c r="AQ241" s="27" t="s">
        <v>1190</v>
      </c>
      <c r="AT241" s="27" t="str">
        <f t="shared" si="6"/>
        <v>Inactivo</v>
      </c>
      <c r="AU241" s="27" cm="1">
        <f t="array" aca="1" ref="AU241" ca="1">_xlfn.IFS(AT241="","",AT241="Activo",TODAY()-H241,AT241="Inactivo",AP241-H241)</f>
        <v>60</v>
      </c>
      <c r="AV241" s="180">
        <f ca="1">IF(ISBLANK(Tabla1[[#This Row],[Fecha Nacimento (dd/mm/yyyy)]]),"",YEARFRAC(Tabla1[[#This Row],[Fecha Nacimento (dd/mm/yyyy)]],TODAY()))</f>
        <v>36.333333333333336</v>
      </c>
      <c r="AW241" s="141"/>
      <c r="AX241" s="27" t="str">
        <f t="shared" si="7"/>
        <v/>
      </c>
    </row>
    <row r="242" spans="1:50" s="27" customFormat="1" x14ac:dyDescent="0.25">
      <c r="A242" s="134">
        <v>242</v>
      </c>
      <c r="B242" s="27" t="s">
        <v>1538</v>
      </c>
      <c r="C242" s="27" t="s">
        <v>1539</v>
      </c>
      <c r="D242" s="27" t="s">
        <v>141</v>
      </c>
      <c r="E242" s="400">
        <v>67007510</v>
      </c>
      <c r="F242" s="27" t="s">
        <v>142</v>
      </c>
      <c r="G242" s="27" t="s">
        <v>143</v>
      </c>
      <c r="H242" s="136">
        <v>45222</v>
      </c>
      <c r="I242" s="136"/>
      <c r="J242" s="27" t="s">
        <v>144</v>
      </c>
      <c r="K242" s="138">
        <v>1300000</v>
      </c>
      <c r="L242" s="27" t="s">
        <v>145</v>
      </c>
      <c r="M242" s="27" t="s">
        <v>355</v>
      </c>
      <c r="N242" s="27" t="s">
        <v>145</v>
      </c>
      <c r="O242" s="139" t="s">
        <v>1540</v>
      </c>
      <c r="Q242" s="27" t="s">
        <v>148</v>
      </c>
      <c r="R242" s="27" t="s">
        <v>149</v>
      </c>
      <c r="S242" s="27" t="s">
        <v>150</v>
      </c>
      <c r="T242" s="27">
        <v>1872827214</v>
      </c>
      <c r="U242" s="37">
        <v>28349</v>
      </c>
      <c r="V242" s="27" t="s">
        <v>1541</v>
      </c>
      <c r="W242" s="27">
        <v>3157236075</v>
      </c>
      <c r="X242" s="27" t="s">
        <v>154</v>
      </c>
      <c r="Y242" s="27" t="s">
        <v>543</v>
      </c>
      <c r="Z242" s="27" t="s">
        <v>1182</v>
      </c>
      <c r="AA242" s="27" t="s">
        <v>543</v>
      </c>
      <c r="AB242" s="27" t="s">
        <v>158</v>
      </c>
      <c r="AC242" s="27" t="s">
        <v>160</v>
      </c>
      <c r="AD242" s="27" t="s">
        <v>160</v>
      </c>
      <c r="AE242" s="27" t="s">
        <v>1184</v>
      </c>
      <c r="AF242" s="27" t="s">
        <v>162</v>
      </c>
      <c r="AG242" s="27" t="s">
        <v>177</v>
      </c>
      <c r="AH242" s="27" t="s">
        <v>164</v>
      </c>
      <c r="AI242" s="179"/>
      <c r="AJ242" s="27" t="s">
        <v>164</v>
      </c>
      <c r="AK242" s="27" t="s">
        <v>214</v>
      </c>
      <c r="AL242" s="27" t="s">
        <v>214</v>
      </c>
      <c r="AM242" s="27" t="s">
        <v>164</v>
      </c>
      <c r="AN242" s="27" t="s">
        <v>214</v>
      </c>
      <c r="AO242" s="27" t="s">
        <v>164</v>
      </c>
      <c r="AP242" s="136">
        <v>45308</v>
      </c>
      <c r="AQ242" s="27" t="s">
        <v>52</v>
      </c>
      <c r="AT242" s="27" t="str">
        <f t="shared" si="6"/>
        <v>Inactivo</v>
      </c>
      <c r="AU242" s="27" cm="1">
        <f t="array" aca="1" ref="AU242" ca="1">_xlfn.IFS(AT242="","",AT242="Activo",TODAY()-H242,AT242="Inactivo",AP242-H242)</f>
        <v>86</v>
      </c>
      <c r="AV242" s="180">
        <f ca="1">IF(ISBLANK(Tabla1[[#This Row],[Fecha Nacimento (dd/mm/yyyy)]]),"",YEARFRAC(Tabla1[[#This Row],[Fecha Nacimento (dd/mm/yyyy)]],TODAY()))</f>
        <v>46.847222222222221</v>
      </c>
      <c r="AW242" s="141"/>
      <c r="AX242" s="27" t="str">
        <f t="shared" si="7"/>
        <v/>
      </c>
    </row>
    <row r="243" spans="1:50" s="27" customFormat="1" x14ac:dyDescent="0.25">
      <c r="A243" s="134">
        <v>243</v>
      </c>
      <c r="B243" s="27" t="s">
        <v>444</v>
      </c>
      <c r="C243" s="27" t="s">
        <v>1542</v>
      </c>
      <c r="D243" s="27" t="s">
        <v>141</v>
      </c>
      <c r="E243" s="400">
        <v>94285592</v>
      </c>
      <c r="F243" s="27" t="s">
        <v>142</v>
      </c>
      <c r="G243" s="27" t="s">
        <v>143</v>
      </c>
      <c r="H243" s="136">
        <v>45223</v>
      </c>
      <c r="I243" s="136"/>
      <c r="J243" s="27" t="s">
        <v>144</v>
      </c>
      <c r="K243" s="138">
        <v>2500000</v>
      </c>
      <c r="L243" s="27" t="s">
        <v>164</v>
      </c>
      <c r="M243" s="27" t="s">
        <v>146</v>
      </c>
      <c r="N243" s="27" t="s">
        <v>145</v>
      </c>
      <c r="O243" s="139" t="s">
        <v>1543</v>
      </c>
      <c r="Q243" s="27" t="s">
        <v>148</v>
      </c>
      <c r="R243" s="27" t="s">
        <v>377</v>
      </c>
      <c r="S243" s="27" t="s">
        <v>150</v>
      </c>
      <c r="T243" s="27">
        <v>314806147</v>
      </c>
      <c r="U243" s="37">
        <v>28661</v>
      </c>
      <c r="V243" s="27" t="s">
        <v>1544</v>
      </c>
      <c r="W243" s="27">
        <v>3114607815</v>
      </c>
      <c r="X243" s="27" t="s">
        <v>154</v>
      </c>
      <c r="Y243" s="27" t="s">
        <v>172</v>
      </c>
      <c r="Z243" s="27" t="s">
        <v>193</v>
      </c>
      <c r="AA243" s="27" t="s">
        <v>174</v>
      </c>
      <c r="AB243" s="27" t="s">
        <v>911</v>
      </c>
      <c r="AC243" s="27" t="s">
        <v>160</v>
      </c>
      <c r="AD243" s="27" t="s">
        <v>160</v>
      </c>
      <c r="AE243" s="27" t="s">
        <v>1027</v>
      </c>
      <c r="AF243" s="27" t="s">
        <v>176</v>
      </c>
      <c r="AG243" s="27" t="s">
        <v>177</v>
      </c>
      <c r="AI243" s="179"/>
      <c r="AJ243" s="27" t="s">
        <v>1382</v>
      </c>
      <c r="AK243" s="27" t="s">
        <v>1069</v>
      </c>
      <c r="AM243" s="27" t="s">
        <v>145</v>
      </c>
      <c r="AN243" s="27" t="s">
        <v>1069</v>
      </c>
      <c r="AP243" s="136">
        <v>45237</v>
      </c>
      <c r="AT243" s="27" t="str">
        <f t="shared" si="6"/>
        <v>Inactivo</v>
      </c>
      <c r="AU243" s="27" cm="1">
        <f t="array" aca="1" ref="AU243" ca="1">_xlfn.IFS(AT243="","",AT243="Activo",TODAY()-H243,AT243="Inactivo",AP243-H243)</f>
        <v>14</v>
      </c>
      <c r="AV243" s="180">
        <f ca="1">IF(ISBLANK(Tabla1[[#This Row],[Fecha Nacimento (dd/mm/yyyy)]]),"",YEARFRAC(Tabla1[[#This Row],[Fecha Nacimento (dd/mm/yyyy)]],TODAY()))</f>
        <v>45.991666666666667</v>
      </c>
      <c r="AW243" s="141"/>
      <c r="AX243" s="27" t="str">
        <f t="shared" si="7"/>
        <v/>
      </c>
    </row>
    <row r="244" spans="1:50" s="27" customFormat="1" x14ac:dyDescent="0.25">
      <c r="A244" s="134">
        <v>244</v>
      </c>
      <c r="B244" s="27" t="s">
        <v>1545</v>
      </c>
      <c r="C244" s="27" t="s">
        <v>1546</v>
      </c>
      <c r="D244" s="27" t="s">
        <v>141</v>
      </c>
      <c r="E244" s="400">
        <v>1216725696</v>
      </c>
      <c r="F244" s="27" t="s">
        <v>142</v>
      </c>
      <c r="G244" s="27" t="s">
        <v>143</v>
      </c>
      <c r="H244" s="136">
        <v>45231</v>
      </c>
      <c r="I244" s="136"/>
      <c r="J244" s="27" t="s">
        <v>144</v>
      </c>
      <c r="K244" s="138">
        <v>1360000</v>
      </c>
      <c r="L244" s="27" t="s">
        <v>145</v>
      </c>
      <c r="M244" s="27" t="s">
        <v>355</v>
      </c>
      <c r="O244" s="149" t="s">
        <v>1547</v>
      </c>
      <c r="Q244" s="27" t="s">
        <v>148</v>
      </c>
      <c r="R244" s="27" t="s">
        <v>149</v>
      </c>
      <c r="S244" s="27" t="s">
        <v>150</v>
      </c>
      <c r="T244" s="27" t="s">
        <v>1548</v>
      </c>
      <c r="U244" s="37">
        <v>35845</v>
      </c>
      <c r="V244" s="27" t="s">
        <v>1549</v>
      </c>
      <c r="W244" s="27" t="s">
        <v>1550</v>
      </c>
      <c r="X244" s="27" t="s">
        <v>1551</v>
      </c>
      <c r="Y244" s="27" t="s">
        <v>155</v>
      </c>
      <c r="Z244" s="27" t="s">
        <v>351</v>
      </c>
      <c r="AA244" s="27" t="s">
        <v>302</v>
      </c>
      <c r="AB244" s="27" t="s">
        <v>158</v>
      </c>
      <c r="AC244" s="27" t="s">
        <v>271</v>
      </c>
      <c r="AD244" s="27" t="s">
        <v>271</v>
      </c>
      <c r="AE244" s="27" t="s">
        <v>1552</v>
      </c>
      <c r="AF244" s="27" t="s">
        <v>162</v>
      </c>
      <c r="AG244" s="27" t="s">
        <v>163</v>
      </c>
      <c r="AH244" s="27" t="s">
        <v>164</v>
      </c>
      <c r="AI244" s="179"/>
      <c r="AJ244" s="27" t="s">
        <v>145</v>
      </c>
      <c r="AP244" s="136"/>
      <c r="AT244" s="27" t="str">
        <f t="shared" si="6"/>
        <v>Activo</v>
      </c>
      <c r="AU244" s="27" cm="1">
        <f t="array" aca="1" ref="AU244" ca="1">_xlfn.IFS(AT244="","",AT244="Activo",TODAY()-H244,AT244="Inactivo",AP244-H244)</f>
        <v>229</v>
      </c>
      <c r="AV244" s="180">
        <f ca="1">IF(ISBLANK(Tabla1[[#This Row],[Fecha Nacimento (dd/mm/yyyy)]]),"",YEARFRAC(Tabla1[[#This Row],[Fecha Nacimento (dd/mm/yyyy)]],TODAY()))</f>
        <v>26.327777777777779</v>
      </c>
      <c r="AW244" s="141"/>
      <c r="AX244" s="27" t="str">
        <f t="shared" si="7"/>
        <v/>
      </c>
    </row>
    <row r="245" spans="1:50" s="27" customFormat="1" x14ac:dyDescent="0.25">
      <c r="A245" s="134">
        <v>245</v>
      </c>
      <c r="B245" s="27" t="s">
        <v>1553</v>
      </c>
      <c r="C245" s="27" t="s">
        <v>1554</v>
      </c>
      <c r="D245" s="27" t="s">
        <v>141</v>
      </c>
      <c r="E245" s="400">
        <v>1192924584</v>
      </c>
      <c r="F245" s="27" t="s">
        <v>142</v>
      </c>
      <c r="G245" s="27" t="s">
        <v>143</v>
      </c>
      <c r="H245" s="136">
        <v>45231</v>
      </c>
      <c r="I245" s="136"/>
      <c r="J245" s="27" t="s">
        <v>144</v>
      </c>
      <c r="K245" s="138">
        <v>1400000</v>
      </c>
      <c r="L245" s="27" t="s">
        <v>145</v>
      </c>
      <c r="M245" s="27" t="s">
        <v>355</v>
      </c>
      <c r="O245" s="139" t="s">
        <v>1555</v>
      </c>
      <c r="Q245" s="27" t="s">
        <v>148</v>
      </c>
      <c r="R245" s="27" t="s">
        <v>149</v>
      </c>
      <c r="S245" s="27" t="s">
        <v>150</v>
      </c>
      <c r="T245" s="27" t="s">
        <v>1556</v>
      </c>
      <c r="U245" s="37">
        <v>36902</v>
      </c>
      <c r="V245" s="27" t="s">
        <v>1557</v>
      </c>
      <c r="W245" s="27" t="s">
        <v>1558</v>
      </c>
      <c r="X245" s="27" t="s">
        <v>1551</v>
      </c>
      <c r="Y245" s="27" t="s">
        <v>1559</v>
      </c>
      <c r="Z245" s="27" t="s">
        <v>1560</v>
      </c>
      <c r="AA245" s="27" t="s">
        <v>211</v>
      </c>
      <c r="AB245" s="27" t="s">
        <v>158</v>
      </c>
      <c r="AC245" s="27" t="s">
        <v>271</v>
      </c>
      <c r="AD245" s="27" t="s">
        <v>271</v>
      </c>
      <c r="AE245" s="27" t="s">
        <v>1552</v>
      </c>
      <c r="AF245" s="27" t="s">
        <v>176</v>
      </c>
      <c r="AG245" s="27" t="s">
        <v>177</v>
      </c>
      <c r="AH245" s="27" t="s">
        <v>164</v>
      </c>
      <c r="AI245" s="179"/>
      <c r="AJ245" s="27" t="s">
        <v>164</v>
      </c>
      <c r="AK245" s="27" t="s">
        <v>214</v>
      </c>
      <c r="AL245" s="27" t="s">
        <v>214</v>
      </c>
      <c r="AM245" s="27" t="s">
        <v>164</v>
      </c>
      <c r="AN245" s="27" t="s">
        <v>214</v>
      </c>
      <c r="AO245" s="27" t="s">
        <v>214</v>
      </c>
      <c r="AP245" s="136">
        <v>45361</v>
      </c>
      <c r="AQ245" s="27" t="s">
        <v>52</v>
      </c>
      <c r="AT245" s="27" t="str">
        <f t="shared" si="6"/>
        <v>Inactivo</v>
      </c>
      <c r="AU245" s="27" cm="1">
        <f t="array" aca="1" ref="AU245" ca="1">_xlfn.IFS(AT245="","",AT245="Activo",TODAY()-H245,AT245="Inactivo",AP245-H245)</f>
        <v>130</v>
      </c>
      <c r="AV245" s="180">
        <f ca="1">IF(ISBLANK(Tabla1[[#This Row],[Fecha Nacimento (dd/mm/yyyy)]]),"",YEARFRAC(Tabla1[[#This Row],[Fecha Nacimento (dd/mm/yyyy)]],TODAY()))</f>
        <v>23.433333333333334</v>
      </c>
      <c r="AW245" s="141"/>
      <c r="AX245" s="27" t="str">
        <f t="shared" si="7"/>
        <v/>
      </c>
    </row>
    <row r="246" spans="1:50" s="27" customFormat="1" x14ac:dyDescent="0.25">
      <c r="A246" s="134">
        <v>246</v>
      </c>
      <c r="B246" s="27" t="s">
        <v>1561</v>
      </c>
      <c r="C246" s="27" t="s">
        <v>1562</v>
      </c>
      <c r="D246" s="27" t="s">
        <v>141</v>
      </c>
      <c r="E246" s="400">
        <v>1094890839</v>
      </c>
      <c r="F246" s="27" t="s">
        <v>142</v>
      </c>
      <c r="G246" s="27" t="s">
        <v>143</v>
      </c>
      <c r="H246" s="136">
        <v>45231</v>
      </c>
      <c r="I246" s="136"/>
      <c r="J246" s="27" t="s">
        <v>144</v>
      </c>
      <c r="K246" s="137">
        <v>1300000</v>
      </c>
      <c r="L246" s="27" t="s">
        <v>145</v>
      </c>
      <c r="M246" s="27" t="s">
        <v>355</v>
      </c>
      <c r="O246" s="148" t="s">
        <v>1563</v>
      </c>
      <c r="Q246" s="27" t="s">
        <v>148</v>
      </c>
      <c r="R246" s="27" t="s">
        <v>149</v>
      </c>
      <c r="S246" s="27" t="s">
        <v>150</v>
      </c>
      <c r="T246" s="27" t="s">
        <v>1564</v>
      </c>
      <c r="U246" s="37">
        <v>32016</v>
      </c>
      <c r="V246" s="27" t="s">
        <v>1565</v>
      </c>
      <c r="W246" s="27" t="s">
        <v>1566</v>
      </c>
      <c r="X246" s="27" t="s">
        <v>1551</v>
      </c>
      <c r="Y246" s="27" t="s">
        <v>1567</v>
      </c>
      <c r="Z246" s="27" t="s">
        <v>1568</v>
      </c>
      <c r="AA246" s="27" t="s">
        <v>211</v>
      </c>
      <c r="AB246" s="27" t="s">
        <v>158</v>
      </c>
      <c r="AC246" s="27" t="s">
        <v>271</v>
      </c>
      <c r="AD246" s="27" t="s">
        <v>271</v>
      </c>
      <c r="AE246" s="27" t="s">
        <v>1552</v>
      </c>
      <c r="AF246" s="27" t="s">
        <v>176</v>
      </c>
      <c r="AG246" s="27" t="s">
        <v>177</v>
      </c>
      <c r="AH246" s="27" t="s">
        <v>145</v>
      </c>
      <c r="AI246" s="179">
        <v>499394</v>
      </c>
      <c r="AJ246" s="27" t="s">
        <v>164</v>
      </c>
      <c r="AK246" s="27" t="s">
        <v>214</v>
      </c>
      <c r="AL246" s="27" t="s">
        <v>214</v>
      </c>
      <c r="AM246" s="27" t="s">
        <v>164</v>
      </c>
      <c r="AN246" s="27" t="s">
        <v>214</v>
      </c>
      <c r="AP246" s="136"/>
      <c r="AT246" s="27" t="str">
        <f t="shared" si="6"/>
        <v>Activo</v>
      </c>
      <c r="AU246" s="27" cm="1">
        <f t="array" aca="1" ref="AU246" ca="1">_xlfn.IFS(AT246="","",AT246="Activo",TODAY()-H246,AT246="Inactivo",AP246-H246)</f>
        <v>229</v>
      </c>
      <c r="AV246" s="180">
        <f ca="1">IF(ISBLANK(Tabla1[[#This Row],[Fecha Nacimento (dd/mm/yyyy)]]),"",YEARFRAC(Tabla1[[#This Row],[Fecha Nacimento (dd/mm/yyyy)]],TODAY()))</f>
        <v>36.805555555555557</v>
      </c>
      <c r="AW246" s="141"/>
      <c r="AX246" s="27" t="str">
        <f t="shared" si="7"/>
        <v/>
      </c>
    </row>
    <row r="247" spans="1:50" s="27" customFormat="1" x14ac:dyDescent="0.25">
      <c r="A247" s="134">
        <v>247</v>
      </c>
      <c r="B247" s="27" t="s">
        <v>1569</v>
      </c>
      <c r="C247" s="27" t="s">
        <v>1570</v>
      </c>
      <c r="D247" s="27" t="s">
        <v>141</v>
      </c>
      <c r="E247" s="400">
        <v>1094878736</v>
      </c>
      <c r="F247" s="27" t="s">
        <v>142</v>
      </c>
      <c r="G247" s="27" t="s">
        <v>143</v>
      </c>
      <c r="H247" s="136">
        <v>45231</v>
      </c>
      <c r="I247" s="136"/>
      <c r="J247" s="27" t="s">
        <v>144</v>
      </c>
      <c r="K247" s="137">
        <v>1300000</v>
      </c>
      <c r="L247" s="27" t="s">
        <v>145</v>
      </c>
      <c r="M247" s="27" t="s">
        <v>355</v>
      </c>
      <c r="N247" s="27" t="s">
        <v>145</v>
      </c>
      <c r="O247" s="139" t="s">
        <v>1571</v>
      </c>
      <c r="Q247" s="27" t="s">
        <v>148</v>
      </c>
      <c r="R247" s="27" t="s">
        <v>371</v>
      </c>
      <c r="S247" s="27" t="s">
        <v>150</v>
      </c>
      <c r="T247" s="27">
        <v>3136673904</v>
      </c>
      <c r="U247" s="37">
        <v>38031</v>
      </c>
      <c r="V247" s="27" t="s">
        <v>1572</v>
      </c>
      <c r="W247" s="27">
        <v>3136673904</v>
      </c>
      <c r="X247" s="27" t="s">
        <v>268</v>
      </c>
      <c r="Y247" s="27" t="s">
        <v>367</v>
      </c>
      <c r="Z247" s="27" t="s">
        <v>368</v>
      </c>
      <c r="AA247" s="27" t="s">
        <v>1573</v>
      </c>
      <c r="AB247" s="27" t="s">
        <v>175</v>
      </c>
      <c r="AC247" s="27" t="s">
        <v>160</v>
      </c>
      <c r="AD247" s="27" t="s">
        <v>160</v>
      </c>
      <c r="AE247" s="27" t="s">
        <v>272</v>
      </c>
      <c r="AF247" s="27" t="s">
        <v>162</v>
      </c>
      <c r="AG247" s="27" t="s">
        <v>177</v>
      </c>
      <c r="AH247" s="27" t="s">
        <v>164</v>
      </c>
      <c r="AI247" s="179"/>
      <c r="AJ247" s="27" t="s">
        <v>164</v>
      </c>
      <c r="AK247" s="27" t="s">
        <v>214</v>
      </c>
      <c r="AL247" s="27" t="s">
        <v>214</v>
      </c>
      <c r="AM247" s="27" t="s">
        <v>164</v>
      </c>
      <c r="AN247" s="27" t="s">
        <v>214</v>
      </c>
      <c r="AO247" s="27" t="s">
        <v>164</v>
      </c>
      <c r="AP247" s="136">
        <v>45346</v>
      </c>
      <c r="AQ247" s="27" t="s">
        <v>52</v>
      </c>
      <c r="AT247" s="27" t="str">
        <f t="shared" si="6"/>
        <v>Inactivo</v>
      </c>
      <c r="AU247" s="27" cm="1">
        <f t="array" aca="1" ref="AU247" ca="1">_xlfn.IFS(AT247="","",AT247="Activo",TODAY()-H247,AT247="Inactivo",AP247-H247)</f>
        <v>115</v>
      </c>
      <c r="AV247" s="180">
        <f ca="1">IF(ISBLANK(Tabla1[[#This Row],[Fecha Nacimento (dd/mm/yyyy)]]),"",YEARFRAC(Tabla1[[#This Row],[Fecha Nacimento (dd/mm/yyyy)]],TODAY()))</f>
        <v>20.341666666666665</v>
      </c>
      <c r="AW247" s="141"/>
      <c r="AX247" s="27" t="str">
        <f t="shared" si="7"/>
        <v/>
      </c>
    </row>
    <row r="248" spans="1:50" s="27" customFormat="1" x14ac:dyDescent="0.25">
      <c r="A248" s="134">
        <v>248</v>
      </c>
      <c r="B248" s="27" t="s">
        <v>1574</v>
      </c>
      <c r="C248" s="27" t="s">
        <v>1575</v>
      </c>
      <c r="D248" s="27" t="s">
        <v>141</v>
      </c>
      <c r="E248" s="400">
        <v>50981747</v>
      </c>
      <c r="F248" s="27" t="s">
        <v>142</v>
      </c>
      <c r="G248" s="27" t="s">
        <v>143</v>
      </c>
      <c r="H248" s="136">
        <v>45231</v>
      </c>
      <c r="I248" s="136"/>
      <c r="J248" s="27" t="s">
        <v>144</v>
      </c>
      <c r="K248" s="138">
        <v>2000000</v>
      </c>
      <c r="L248" s="27" t="s">
        <v>145</v>
      </c>
      <c r="M248" s="27" t="s">
        <v>355</v>
      </c>
      <c r="N248" s="27" t="s">
        <v>145</v>
      </c>
      <c r="O248" s="139" t="s">
        <v>1576</v>
      </c>
      <c r="Q248" s="27" t="s">
        <v>148</v>
      </c>
      <c r="R248" s="27" t="s">
        <v>426</v>
      </c>
      <c r="S248" s="27" t="s">
        <v>150</v>
      </c>
      <c r="T248" s="27">
        <v>3046642585</v>
      </c>
      <c r="U248" s="37">
        <v>28918</v>
      </c>
      <c r="V248" s="27" t="s">
        <v>1577</v>
      </c>
      <c r="W248" s="27">
        <v>3046642585</v>
      </c>
      <c r="X248" s="27" t="s">
        <v>1375</v>
      </c>
      <c r="Y248" s="27" t="s">
        <v>543</v>
      </c>
      <c r="Z248" s="27" t="s">
        <v>1578</v>
      </c>
      <c r="AA248" s="27" t="s">
        <v>543</v>
      </c>
      <c r="AB248" s="27" t="s">
        <v>1579</v>
      </c>
      <c r="AC248" s="27" t="s">
        <v>160</v>
      </c>
      <c r="AD248" s="27" t="s">
        <v>160</v>
      </c>
      <c r="AE248" s="27" t="s">
        <v>1184</v>
      </c>
      <c r="AF248" s="27" t="s">
        <v>162</v>
      </c>
      <c r="AG248" s="27" t="s">
        <v>177</v>
      </c>
      <c r="AH248" s="27" t="s">
        <v>145</v>
      </c>
      <c r="AI248" s="179">
        <v>400000</v>
      </c>
      <c r="AJ248" s="27" t="s">
        <v>164</v>
      </c>
      <c r="AK248" s="27" t="s">
        <v>214</v>
      </c>
      <c r="AL248" s="27" t="s">
        <v>214</v>
      </c>
      <c r="AM248" s="27" t="s">
        <v>164</v>
      </c>
      <c r="AN248" s="27" t="s">
        <v>214</v>
      </c>
      <c r="AO248" s="27" t="s">
        <v>164</v>
      </c>
      <c r="AP248" s="136">
        <v>45274</v>
      </c>
      <c r="AQ248" s="27" t="s">
        <v>55</v>
      </c>
      <c r="AT248" s="27" t="str">
        <f t="shared" si="6"/>
        <v>Inactivo</v>
      </c>
      <c r="AU248" s="27" cm="1">
        <f t="array" aca="1" ref="AU248" ca="1">_xlfn.IFS(AT248="","",AT248="Activo",TODAY()-H248,AT248="Inactivo",AP248-H248)</f>
        <v>43</v>
      </c>
      <c r="AV248" s="180">
        <f ca="1">IF(ISBLANK(Tabla1[[#This Row],[Fecha Nacimento (dd/mm/yyyy)]]),"",YEARFRAC(Tabla1[[#This Row],[Fecha Nacimento (dd/mm/yyyy)]],TODAY()))</f>
        <v>45.286111111111111</v>
      </c>
      <c r="AW248" s="141"/>
      <c r="AX248" s="27" t="str">
        <f t="shared" si="7"/>
        <v/>
      </c>
    </row>
    <row r="249" spans="1:50" s="27" customFormat="1" x14ac:dyDescent="0.25">
      <c r="A249" s="134">
        <v>249</v>
      </c>
      <c r="B249" s="27" t="s">
        <v>1580</v>
      </c>
      <c r="C249" s="27" t="s">
        <v>1581</v>
      </c>
      <c r="D249" s="27" t="s">
        <v>141</v>
      </c>
      <c r="E249" s="400">
        <v>1097338846</v>
      </c>
      <c r="F249" s="27" t="s">
        <v>142</v>
      </c>
      <c r="G249" s="27" t="s">
        <v>143</v>
      </c>
      <c r="H249" s="136">
        <v>45246</v>
      </c>
      <c r="I249" s="136"/>
      <c r="J249" s="27" t="s">
        <v>144</v>
      </c>
      <c r="K249" s="137">
        <v>1300000</v>
      </c>
      <c r="L249" s="27" t="s">
        <v>145</v>
      </c>
      <c r="M249" s="27" t="s">
        <v>355</v>
      </c>
      <c r="O249" s="139" t="s">
        <v>1582</v>
      </c>
      <c r="Q249" s="27" t="s">
        <v>148</v>
      </c>
      <c r="R249" s="27" t="s">
        <v>426</v>
      </c>
      <c r="S249" s="27" t="s">
        <v>150</v>
      </c>
      <c r="T249" s="27" t="s">
        <v>1583</v>
      </c>
      <c r="U249" s="37">
        <v>38161</v>
      </c>
      <c r="V249" s="27" t="s">
        <v>1584</v>
      </c>
      <c r="W249" s="27" t="s">
        <v>1583</v>
      </c>
      <c r="X249" s="27" t="s">
        <v>1551</v>
      </c>
      <c r="Y249" s="27" t="s">
        <v>1567</v>
      </c>
      <c r="Z249" s="27" t="s">
        <v>368</v>
      </c>
      <c r="AA249" s="27" t="s">
        <v>211</v>
      </c>
      <c r="AB249" s="27" t="s">
        <v>175</v>
      </c>
      <c r="AC249" s="27" t="s">
        <v>271</v>
      </c>
      <c r="AD249" s="27" t="s">
        <v>271</v>
      </c>
      <c r="AE249" s="27" t="s">
        <v>1552</v>
      </c>
      <c r="AF249" s="27" t="s">
        <v>162</v>
      </c>
      <c r="AG249" s="27" t="s">
        <v>177</v>
      </c>
      <c r="AH249" s="27" t="s">
        <v>164</v>
      </c>
      <c r="AI249" s="179"/>
      <c r="AJ249" s="27" t="s">
        <v>164</v>
      </c>
      <c r="AK249" s="27" t="s">
        <v>214</v>
      </c>
      <c r="AL249" s="27" t="s">
        <v>214</v>
      </c>
      <c r="AM249" s="27" t="s">
        <v>164</v>
      </c>
      <c r="AN249" s="27" t="s">
        <v>214</v>
      </c>
      <c r="AO249" s="27" t="s">
        <v>214</v>
      </c>
      <c r="AP249" s="136"/>
      <c r="AT249" s="27" t="str">
        <f t="shared" si="6"/>
        <v>Activo</v>
      </c>
      <c r="AU249" s="27" cm="1">
        <f t="array" aca="1" ref="AU249" ca="1">_xlfn.IFS(AT249="","",AT249="Activo",TODAY()-H249,AT249="Inactivo",AP249-H249)</f>
        <v>214</v>
      </c>
      <c r="AV249" s="180">
        <f ca="1">IF(ISBLANK(Tabla1[[#This Row],[Fecha Nacimento (dd/mm/yyyy)]]),"",YEARFRAC(Tabla1[[#This Row],[Fecha Nacimento (dd/mm/yyyy)]],TODAY()))</f>
        <v>19.983333333333334</v>
      </c>
      <c r="AW249" s="141"/>
      <c r="AX249" s="27" t="str">
        <f t="shared" si="7"/>
        <v/>
      </c>
    </row>
    <row r="250" spans="1:50" s="27" customFormat="1" x14ac:dyDescent="0.25">
      <c r="A250" s="134">
        <v>250</v>
      </c>
      <c r="B250" s="27" t="s">
        <v>1585</v>
      </c>
      <c r="C250" s="27" t="s">
        <v>1586</v>
      </c>
      <c r="D250" s="27" t="s">
        <v>141</v>
      </c>
      <c r="E250" s="400">
        <v>1094934763</v>
      </c>
      <c r="F250" s="27" t="s">
        <v>142</v>
      </c>
      <c r="G250" s="27" t="s">
        <v>143</v>
      </c>
      <c r="H250" s="136">
        <v>45246</v>
      </c>
      <c r="I250" s="136"/>
      <c r="J250" s="27" t="s">
        <v>144</v>
      </c>
      <c r="K250" s="137">
        <v>1300000</v>
      </c>
      <c r="L250" s="27" t="s">
        <v>145</v>
      </c>
      <c r="M250" s="27" t="s">
        <v>355</v>
      </c>
      <c r="O250" s="139" t="s">
        <v>1587</v>
      </c>
      <c r="Q250" s="27" t="s">
        <v>148</v>
      </c>
      <c r="R250" s="27" t="s">
        <v>149</v>
      </c>
      <c r="S250" s="27" t="s">
        <v>150</v>
      </c>
      <c r="T250" s="27" t="s">
        <v>1588</v>
      </c>
      <c r="U250" s="37">
        <v>34089</v>
      </c>
      <c r="V250" s="27" t="s">
        <v>1589</v>
      </c>
      <c r="W250" s="27" t="s">
        <v>1590</v>
      </c>
      <c r="X250" s="27" t="s">
        <v>1551</v>
      </c>
      <c r="Y250" s="27" t="s">
        <v>1567</v>
      </c>
      <c r="Z250" s="27" t="s">
        <v>368</v>
      </c>
      <c r="AA250" s="27" t="s">
        <v>211</v>
      </c>
      <c r="AB250" s="27" t="s">
        <v>186</v>
      </c>
      <c r="AC250" s="27" t="s">
        <v>271</v>
      </c>
      <c r="AD250" s="27" t="s">
        <v>271</v>
      </c>
      <c r="AE250" s="27" t="s">
        <v>1552</v>
      </c>
      <c r="AF250" s="27" t="s">
        <v>176</v>
      </c>
      <c r="AG250" s="27" t="s">
        <v>177</v>
      </c>
      <c r="AH250" s="27" t="s">
        <v>164</v>
      </c>
      <c r="AI250" s="179"/>
      <c r="AJ250" s="27" t="s">
        <v>164</v>
      </c>
      <c r="AK250" s="27" t="s">
        <v>214</v>
      </c>
      <c r="AL250" s="27" t="s">
        <v>214</v>
      </c>
      <c r="AM250" s="27" t="s">
        <v>164</v>
      </c>
      <c r="AN250" s="27" t="s">
        <v>214</v>
      </c>
      <c r="AO250" s="27" t="s">
        <v>214</v>
      </c>
      <c r="AP250" s="136">
        <v>45383</v>
      </c>
      <c r="AQ250" s="27" t="s">
        <v>52</v>
      </c>
      <c r="AT250" s="27" t="str">
        <f t="shared" si="6"/>
        <v>Inactivo</v>
      </c>
      <c r="AU250" s="27" cm="1">
        <f t="array" aca="1" ref="AU250" ca="1">_xlfn.IFS(AT250="","",AT250="Activo",TODAY()-H250,AT250="Inactivo",AP250-H250)</f>
        <v>137</v>
      </c>
      <c r="AV250" s="180">
        <f ca="1">IF(ISBLANK(Tabla1[[#This Row],[Fecha Nacimento (dd/mm/yyyy)]]),"",YEARFRAC(Tabla1[[#This Row],[Fecha Nacimento (dd/mm/yyyy)]],TODAY()))</f>
        <v>31.130555555555556</v>
      </c>
      <c r="AW250" s="141"/>
      <c r="AX250" s="27" t="str">
        <f t="shared" si="7"/>
        <v/>
      </c>
    </row>
    <row r="251" spans="1:50" s="27" customFormat="1" x14ac:dyDescent="0.25">
      <c r="A251" s="134">
        <v>251</v>
      </c>
      <c r="B251" s="27" t="s">
        <v>289</v>
      </c>
      <c r="C251" s="27" t="s">
        <v>1591</v>
      </c>
      <c r="D251" s="27" t="s">
        <v>141</v>
      </c>
      <c r="E251" s="400">
        <v>1094965000</v>
      </c>
      <c r="F251" s="27" t="s">
        <v>142</v>
      </c>
      <c r="G251" s="27" t="s">
        <v>143</v>
      </c>
      <c r="H251" s="136">
        <v>45246</v>
      </c>
      <c r="I251" s="136"/>
      <c r="J251" s="27" t="s">
        <v>144</v>
      </c>
      <c r="K251" s="137">
        <v>1300000</v>
      </c>
      <c r="L251" s="27" t="s">
        <v>145</v>
      </c>
      <c r="M251" s="27" t="s">
        <v>355</v>
      </c>
      <c r="N251" s="27" t="s">
        <v>145</v>
      </c>
      <c r="O251" s="139" t="s">
        <v>1592</v>
      </c>
      <c r="Q251" s="27" t="s">
        <v>148</v>
      </c>
      <c r="R251" s="27" t="s">
        <v>371</v>
      </c>
      <c r="S251" s="27" t="s">
        <v>150</v>
      </c>
      <c r="T251" s="27">
        <v>3044891250</v>
      </c>
      <c r="U251" s="37">
        <v>35687</v>
      </c>
      <c r="V251" s="27" t="s">
        <v>1593</v>
      </c>
      <c r="W251" s="27">
        <v>3044891250</v>
      </c>
      <c r="X251" s="27" t="s">
        <v>268</v>
      </c>
      <c r="Y251" s="27" t="s">
        <v>367</v>
      </c>
      <c r="Z251" s="27" t="s">
        <v>368</v>
      </c>
      <c r="AA251" s="27" t="s">
        <v>1077</v>
      </c>
      <c r="AB251" s="27" t="s">
        <v>175</v>
      </c>
      <c r="AC251" s="27" t="s">
        <v>271</v>
      </c>
      <c r="AD251" s="27" t="s">
        <v>271</v>
      </c>
      <c r="AE251" s="27" t="s">
        <v>272</v>
      </c>
      <c r="AF251" s="27" t="s">
        <v>162</v>
      </c>
      <c r="AG251" s="27" t="s">
        <v>177</v>
      </c>
      <c r="AH251" s="27" t="s">
        <v>164</v>
      </c>
      <c r="AI251" s="179"/>
      <c r="AJ251" s="27" t="s">
        <v>145</v>
      </c>
      <c r="AK251" s="27" t="s">
        <v>1140</v>
      </c>
      <c r="AL251" s="27" t="s">
        <v>214</v>
      </c>
      <c r="AM251" s="27" t="s">
        <v>145</v>
      </c>
      <c r="AN251" s="27" t="s">
        <v>1069</v>
      </c>
      <c r="AO251" s="27" t="s">
        <v>164</v>
      </c>
      <c r="AP251" s="136"/>
      <c r="AT251" s="27" t="str">
        <f t="shared" si="6"/>
        <v>Activo</v>
      </c>
      <c r="AU251" s="27" cm="1">
        <f t="array" aca="1" ref="AU251" ca="1">_xlfn.IFS(AT251="","",AT251="Activo",TODAY()-H251,AT251="Inactivo",AP251-H251)</f>
        <v>214</v>
      </c>
      <c r="AV251" s="180">
        <f ca="1">IF(ISBLANK(Tabla1[[#This Row],[Fecha Nacimento (dd/mm/yyyy)]]),"",YEARFRAC(Tabla1[[#This Row],[Fecha Nacimento (dd/mm/yyyy)]],TODAY()))</f>
        <v>26.758333333333333</v>
      </c>
      <c r="AW251" s="141"/>
      <c r="AX251" s="27" t="str">
        <f t="shared" si="7"/>
        <v/>
      </c>
    </row>
    <row r="252" spans="1:50" s="27" customFormat="1" x14ac:dyDescent="0.25">
      <c r="A252" s="134">
        <v>252</v>
      </c>
      <c r="B252" s="27" t="s">
        <v>1594</v>
      </c>
      <c r="C252" s="27" t="s">
        <v>1595</v>
      </c>
      <c r="D252" s="27" t="s">
        <v>141</v>
      </c>
      <c r="E252" s="400">
        <v>1110515711</v>
      </c>
      <c r="F252" s="27" t="s">
        <v>142</v>
      </c>
      <c r="G252" s="27" t="s">
        <v>143</v>
      </c>
      <c r="H252" s="136">
        <v>45250</v>
      </c>
      <c r="I252" s="136"/>
      <c r="J252" s="27" t="s">
        <v>144</v>
      </c>
      <c r="K252" s="137">
        <v>1300000</v>
      </c>
      <c r="L252" s="27" t="s">
        <v>145</v>
      </c>
      <c r="M252" s="27" t="s">
        <v>355</v>
      </c>
      <c r="O252" s="139" t="s">
        <v>1596</v>
      </c>
      <c r="Q252" s="27" t="s">
        <v>148</v>
      </c>
      <c r="R252" s="27" t="s">
        <v>168</v>
      </c>
      <c r="S252" s="27" t="s">
        <v>150</v>
      </c>
      <c r="T252" s="180">
        <v>550488447599906</v>
      </c>
      <c r="U252" s="37">
        <v>33470</v>
      </c>
      <c r="V252" s="27" t="s">
        <v>1597</v>
      </c>
      <c r="W252" s="27">
        <v>3154657416</v>
      </c>
      <c r="X252" s="27" t="s">
        <v>154</v>
      </c>
      <c r="Y252" s="27" t="s">
        <v>543</v>
      </c>
      <c r="Z252" s="27" t="s">
        <v>559</v>
      </c>
      <c r="AA252" s="27" t="s">
        <v>543</v>
      </c>
      <c r="AB252" s="27" t="s">
        <v>259</v>
      </c>
      <c r="AC252" s="27" t="s">
        <v>271</v>
      </c>
      <c r="AD252" s="27" t="s">
        <v>160</v>
      </c>
      <c r="AE252" s="27" t="s">
        <v>161</v>
      </c>
      <c r="AF252" s="27" t="s">
        <v>162</v>
      </c>
      <c r="AG252" s="27" t="s">
        <v>177</v>
      </c>
      <c r="AH252" s="27" t="s">
        <v>164</v>
      </c>
      <c r="AI252" s="179"/>
      <c r="AJ252" s="27" t="s">
        <v>164</v>
      </c>
      <c r="AL252" s="27" t="s">
        <v>164</v>
      </c>
      <c r="AM252" s="27" t="s">
        <v>164</v>
      </c>
      <c r="AO252" s="27" t="s">
        <v>164</v>
      </c>
      <c r="AP252" s="136">
        <v>45271</v>
      </c>
      <c r="AT252" s="27" t="str">
        <f t="shared" si="6"/>
        <v>Inactivo</v>
      </c>
      <c r="AU252" s="27" cm="1">
        <f t="array" aca="1" ref="AU252" ca="1">_xlfn.IFS(AT252="","",AT252="Activo",TODAY()-H252,AT252="Inactivo",AP252-H252)</f>
        <v>21</v>
      </c>
      <c r="AV252" s="180">
        <f ca="1">IF(ISBLANK(Tabla1[[#This Row],[Fecha Nacimento (dd/mm/yyyy)]]),"",YEARFRAC(Tabla1[[#This Row],[Fecha Nacimento (dd/mm/yyyy)]],TODAY()))</f>
        <v>32.825000000000003</v>
      </c>
      <c r="AW252" s="141"/>
      <c r="AX252" s="27" t="str">
        <f t="shared" si="7"/>
        <v/>
      </c>
    </row>
    <row r="253" spans="1:50" s="27" customFormat="1" x14ac:dyDescent="0.25">
      <c r="A253" s="134">
        <v>253</v>
      </c>
      <c r="B253" s="27" t="s">
        <v>1598</v>
      </c>
      <c r="C253" s="27" t="s">
        <v>1599</v>
      </c>
      <c r="D253" s="27" t="s">
        <v>1600</v>
      </c>
      <c r="E253" s="403">
        <v>750087</v>
      </c>
      <c r="F253" s="27" t="s">
        <v>142</v>
      </c>
      <c r="G253" s="27" t="s">
        <v>143</v>
      </c>
      <c r="H253" s="136">
        <v>45251</v>
      </c>
      <c r="I253" s="136"/>
      <c r="J253" s="27" t="s">
        <v>144</v>
      </c>
      <c r="K253" s="137">
        <v>1300000</v>
      </c>
      <c r="L253" s="27" t="s">
        <v>145</v>
      </c>
      <c r="M253" s="27" t="s">
        <v>146</v>
      </c>
      <c r="O253" s="139" t="s">
        <v>1601</v>
      </c>
      <c r="Q253" s="27" t="s">
        <v>148</v>
      </c>
      <c r="R253" s="27" t="s">
        <v>168</v>
      </c>
      <c r="S253" s="27" t="s">
        <v>150</v>
      </c>
      <c r="T253" s="180">
        <v>570136270182001</v>
      </c>
      <c r="U253" s="37">
        <v>31575</v>
      </c>
      <c r="V253" s="27" t="s">
        <v>1602</v>
      </c>
      <c r="W253" s="27">
        <v>3023338010</v>
      </c>
      <c r="X253" s="27" t="s">
        <v>154</v>
      </c>
      <c r="Y253" s="27" t="s">
        <v>172</v>
      </c>
      <c r="Z253" s="27" t="s">
        <v>1603</v>
      </c>
      <c r="AA253" s="27" t="s">
        <v>174</v>
      </c>
      <c r="AB253" s="27" t="s">
        <v>158</v>
      </c>
      <c r="AC253" s="27" t="s">
        <v>271</v>
      </c>
      <c r="AD253" s="27" t="s">
        <v>160</v>
      </c>
      <c r="AE253" s="27" t="s">
        <v>161</v>
      </c>
      <c r="AF253" s="27" t="s">
        <v>176</v>
      </c>
      <c r="AG253" s="27" t="s">
        <v>177</v>
      </c>
      <c r="AH253" s="27" t="s">
        <v>164</v>
      </c>
      <c r="AI253" s="179"/>
      <c r="AJ253" s="27" t="s">
        <v>145</v>
      </c>
      <c r="AK253" s="27" t="s">
        <v>1069</v>
      </c>
      <c r="AL253" s="27" t="s">
        <v>145</v>
      </c>
      <c r="AM253" s="27" t="s">
        <v>145</v>
      </c>
      <c r="AN253" s="27" t="s">
        <v>1069</v>
      </c>
      <c r="AO253" s="27" t="s">
        <v>145</v>
      </c>
      <c r="AP253" s="136"/>
      <c r="AT253" s="27" t="str">
        <f t="shared" si="6"/>
        <v>Activo</v>
      </c>
      <c r="AU253" s="27" cm="1">
        <f t="array" aca="1" ref="AU253" ca="1">_xlfn.IFS(AT253="","",AT253="Activo",TODAY()-H253,AT253="Inactivo",AP253-H253)</f>
        <v>209</v>
      </c>
      <c r="AV253" s="180">
        <f ca="1">IF(ISBLANK(Tabla1[[#This Row],[Fecha Nacimento (dd/mm/yyyy)]]),"",YEARFRAC(Tabla1[[#This Row],[Fecha Nacimento (dd/mm/yyyy)]],TODAY()))</f>
        <v>38.013888888888886</v>
      </c>
      <c r="AW253" s="141"/>
      <c r="AX253" s="27" t="str">
        <f t="shared" si="7"/>
        <v/>
      </c>
    </row>
    <row r="254" spans="1:50" s="27" customFormat="1" x14ac:dyDescent="0.25">
      <c r="A254" s="134">
        <v>254</v>
      </c>
      <c r="B254" s="27" t="s">
        <v>1604</v>
      </c>
      <c r="C254" s="27" t="s">
        <v>1605</v>
      </c>
      <c r="D254" s="27" t="s">
        <v>141</v>
      </c>
      <c r="E254" s="400">
        <v>1113306827</v>
      </c>
      <c r="F254" s="27" t="s">
        <v>142</v>
      </c>
      <c r="G254" s="27" t="s">
        <v>143</v>
      </c>
      <c r="H254" s="136">
        <v>45251</v>
      </c>
      <c r="I254" s="136"/>
      <c r="J254" s="27" t="s">
        <v>144</v>
      </c>
      <c r="K254" s="137">
        <v>1300000</v>
      </c>
      <c r="L254" s="27" t="s">
        <v>145</v>
      </c>
      <c r="M254" s="27" t="s">
        <v>355</v>
      </c>
      <c r="O254" s="139" t="s">
        <v>1606</v>
      </c>
      <c r="Q254" s="27" t="s">
        <v>148</v>
      </c>
      <c r="R254" s="27" t="s">
        <v>168</v>
      </c>
      <c r="S254" s="27" t="s">
        <v>150</v>
      </c>
      <c r="T254" s="180">
        <v>550488423959672</v>
      </c>
      <c r="U254" s="37">
        <v>33074</v>
      </c>
      <c r="V254" s="27" t="s">
        <v>1607</v>
      </c>
      <c r="W254" s="27">
        <v>3223655149</v>
      </c>
      <c r="X254" s="27" t="s">
        <v>1551</v>
      </c>
      <c r="Y254" s="27" t="s">
        <v>543</v>
      </c>
      <c r="Z254" s="27" t="s">
        <v>1608</v>
      </c>
      <c r="AA254" s="27" t="s">
        <v>211</v>
      </c>
      <c r="AB254" s="27" t="s">
        <v>259</v>
      </c>
      <c r="AC254" s="27" t="s">
        <v>271</v>
      </c>
      <c r="AD254" s="27" t="s">
        <v>271</v>
      </c>
      <c r="AE254" s="27" t="s">
        <v>1552</v>
      </c>
      <c r="AF254" s="27" t="s">
        <v>176</v>
      </c>
      <c r="AG254" s="27" t="s">
        <v>163</v>
      </c>
      <c r="AH254" s="27" t="s">
        <v>164</v>
      </c>
      <c r="AI254" s="179"/>
      <c r="AJ254" s="27" t="s">
        <v>1609</v>
      </c>
      <c r="AK254" s="27" t="s">
        <v>1069</v>
      </c>
      <c r="AL254" s="27" t="s">
        <v>145</v>
      </c>
      <c r="AM254" s="27" t="s">
        <v>145</v>
      </c>
      <c r="AN254" s="27" t="s">
        <v>1069</v>
      </c>
      <c r="AO254" s="27" t="s">
        <v>145</v>
      </c>
      <c r="AP254" s="136"/>
      <c r="AT254" s="27" t="str">
        <f t="shared" si="6"/>
        <v>Activo</v>
      </c>
      <c r="AU254" s="27" cm="1">
        <f t="array" aca="1" ref="AU254" ca="1">_xlfn.IFS(AT254="","",AT254="Activo",TODAY()-H254,AT254="Inactivo",AP254-H254)</f>
        <v>209</v>
      </c>
      <c r="AV254" s="180">
        <f ca="1">IF(ISBLANK(Tabla1[[#This Row],[Fecha Nacimento (dd/mm/yyyy)]]),"",YEARFRAC(Tabla1[[#This Row],[Fecha Nacimento (dd/mm/yyyy)]],TODAY()))</f>
        <v>33.908333333333331</v>
      </c>
      <c r="AW254" s="141"/>
      <c r="AX254" s="27" t="str">
        <f t="shared" si="7"/>
        <v/>
      </c>
    </row>
    <row r="255" spans="1:50" s="27" customFormat="1" x14ac:dyDescent="0.25">
      <c r="A255" s="134">
        <v>255</v>
      </c>
      <c r="B255" s="27" t="s">
        <v>1610</v>
      </c>
      <c r="C255" s="27" t="s">
        <v>1611</v>
      </c>
      <c r="D255" s="27" t="s">
        <v>141</v>
      </c>
      <c r="E255" s="400">
        <v>25023439</v>
      </c>
      <c r="F255" s="27" t="s">
        <v>142</v>
      </c>
      <c r="G255" s="27" t="s">
        <v>143</v>
      </c>
      <c r="H255" s="136">
        <v>45251</v>
      </c>
      <c r="I255" s="136"/>
      <c r="J255" s="27" t="s">
        <v>144</v>
      </c>
      <c r="K255" s="137">
        <v>1300000</v>
      </c>
      <c r="L255" s="27" t="s">
        <v>164</v>
      </c>
      <c r="M255" s="27" t="s">
        <v>355</v>
      </c>
      <c r="O255" s="139" t="s">
        <v>1612</v>
      </c>
      <c r="Q255" s="27" t="s">
        <v>148</v>
      </c>
      <c r="R255" s="27" t="s">
        <v>149</v>
      </c>
      <c r="S255" s="27" t="s">
        <v>150</v>
      </c>
      <c r="T255" s="27">
        <v>3218476514</v>
      </c>
      <c r="U255" s="37">
        <v>28253</v>
      </c>
      <c r="V255" s="27" t="s">
        <v>1613</v>
      </c>
      <c r="W255" s="27">
        <v>3218476514</v>
      </c>
      <c r="X255" s="27" t="s">
        <v>1614</v>
      </c>
      <c r="Y255" s="27" t="s">
        <v>172</v>
      </c>
      <c r="Z255" s="27" t="s">
        <v>1615</v>
      </c>
      <c r="AA255" s="27" t="s">
        <v>211</v>
      </c>
      <c r="AB255" s="27" t="s">
        <v>259</v>
      </c>
      <c r="AC255" s="27" t="s">
        <v>271</v>
      </c>
      <c r="AD255" s="27" t="s">
        <v>271</v>
      </c>
      <c r="AE255" s="27" t="s">
        <v>1616</v>
      </c>
      <c r="AF255" s="27" t="s">
        <v>162</v>
      </c>
      <c r="AG255" s="27" t="s">
        <v>177</v>
      </c>
      <c r="AI255" s="179"/>
      <c r="AP255" s="136"/>
      <c r="AT255" s="27" t="str">
        <f t="shared" si="6"/>
        <v>Activo</v>
      </c>
      <c r="AU255" s="27" cm="1">
        <f t="array" aca="1" ref="AU255" ca="1">_xlfn.IFS(AT255="","",AT255="Activo",TODAY()-H255,AT255="Inactivo",AP255-H255)</f>
        <v>209</v>
      </c>
      <c r="AV255" s="180">
        <f ca="1">IF(ISBLANK(Tabla1[[#This Row],[Fecha Nacimento (dd/mm/yyyy)]]),"",YEARFRAC(Tabla1[[#This Row],[Fecha Nacimento (dd/mm/yyyy)]],TODAY()))</f>
        <v>47.108333333333334</v>
      </c>
      <c r="AW255" s="141"/>
      <c r="AX255" s="27" t="str">
        <f t="shared" si="7"/>
        <v/>
      </c>
    </row>
    <row r="256" spans="1:50" s="27" customFormat="1" x14ac:dyDescent="0.25">
      <c r="A256" s="134">
        <v>256</v>
      </c>
      <c r="B256" s="27" t="s">
        <v>1617</v>
      </c>
      <c r="C256" s="27" t="s">
        <v>1618</v>
      </c>
      <c r="D256" s="27" t="s">
        <v>141</v>
      </c>
      <c r="E256" s="400">
        <v>18465810</v>
      </c>
      <c r="F256" s="27" t="s">
        <v>142</v>
      </c>
      <c r="G256" s="27" t="s">
        <v>143</v>
      </c>
      <c r="H256" s="136">
        <v>45251</v>
      </c>
      <c r="I256" s="136"/>
      <c r="J256" s="27" t="s">
        <v>144</v>
      </c>
      <c r="K256" s="137">
        <v>1300000</v>
      </c>
      <c r="L256" s="27" t="s">
        <v>164</v>
      </c>
      <c r="M256" s="27" t="s">
        <v>355</v>
      </c>
      <c r="O256" s="139" t="s">
        <v>1619</v>
      </c>
      <c r="Q256" s="27" t="s">
        <v>148</v>
      </c>
      <c r="R256" s="27" t="s">
        <v>149</v>
      </c>
      <c r="S256" s="27" t="s">
        <v>150</v>
      </c>
      <c r="T256" s="27">
        <v>86595971049</v>
      </c>
      <c r="U256" s="37">
        <v>25812</v>
      </c>
      <c r="V256" s="27" t="s">
        <v>1613</v>
      </c>
      <c r="W256" s="27">
        <v>3127310504</v>
      </c>
      <c r="X256" s="27" t="s">
        <v>1614</v>
      </c>
      <c r="Y256" s="27" t="s">
        <v>172</v>
      </c>
      <c r="Z256" s="27" t="s">
        <v>401</v>
      </c>
      <c r="AA256" s="27" t="s">
        <v>211</v>
      </c>
      <c r="AB256" s="27" t="s">
        <v>259</v>
      </c>
      <c r="AC256" s="27" t="s">
        <v>271</v>
      </c>
      <c r="AD256" s="27" t="s">
        <v>271</v>
      </c>
      <c r="AE256" s="27" t="s">
        <v>1616</v>
      </c>
      <c r="AF256" s="27" t="s">
        <v>176</v>
      </c>
      <c r="AG256" s="27" t="s">
        <v>177</v>
      </c>
      <c r="AI256" s="179"/>
      <c r="AP256" s="136"/>
      <c r="AT256" s="27" t="str">
        <f t="shared" si="6"/>
        <v>Activo</v>
      </c>
      <c r="AU256" s="27" cm="1">
        <f t="array" aca="1" ref="AU256" ca="1">_xlfn.IFS(AT256="","",AT256="Activo",TODAY()-H256,AT256="Inactivo",AP256-H256)</f>
        <v>209</v>
      </c>
      <c r="AV256" s="180">
        <f ca="1">IF(ISBLANK(Tabla1[[#This Row],[Fecha Nacimento (dd/mm/yyyy)]]),"",YEARFRAC(Tabla1[[#This Row],[Fecha Nacimento (dd/mm/yyyy)]],TODAY()))</f>
        <v>53.794444444444444</v>
      </c>
      <c r="AW256" s="141"/>
      <c r="AX256" s="27" t="str">
        <f t="shared" si="7"/>
        <v/>
      </c>
    </row>
    <row r="257" spans="1:50" s="27" customFormat="1" x14ac:dyDescent="0.25">
      <c r="A257" s="134">
        <v>257</v>
      </c>
      <c r="B257" s="27" t="s">
        <v>1620</v>
      </c>
      <c r="C257" s="27" t="s">
        <v>1621</v>
      </c>
      <c r="D257" s="27" t="s">
        <v>141</v>
      </c>
      <c r="E257" s="400">
        <v>1094954993</v>
      </c>
      <c r="F257" s="27" t="s">
        <v>142</v>
      </c>
      <c r="G257" s="27" t="s">
        <v>143</v>
      </c>
      <c r="H257" s="136">
        <v>45258</v>
      </c>
      <c r="I257" s="136"/>
      <c r="J257" s="27" t="s">
        <v>144</v>
      </c>
      <c r="K257" s="137">
        <v>1300000</v>
      </c>
      <c r="L257" s="27" t="s">
        <v>145</v>
      </c>
      <c r="M257" s="27" t="s">
        <v>355</v>
      </c>
      <c r="N257" s="27" t="s">
        <v>145</v>
      </c>
      <c r="O257" s="139" t="s">
        <v>1622</v>
      </c>
      <c r="Q257" s="27" t="s">
        <v>148</v>
      </c>
      <c r="R257" s="27" t="s">
        <v>149</v>
      </c>
      <c r="S257" s="27" t="s">
        <v>150</v>
      </c>
      <c r="T257" s="27">
        <v>23222783040</v>
      </c>
      <c r="U257" s="37">
        <v>35081</v>
      </c>
      <c r="V257" s="27" t="s">
        <v>1623</v>
      </c>
      <c r="W257" s="27">
        <v>3222783040</v>
      </c>
      <c r="X257" s="27" t="s">
        <v>268</v>
      </c>
      <c r="Y257" s="27" t="s">
        <v>367</v>
      </c>
      <c r="Z257" s="27" t="s">
        <v>368</v>
      </c>
      <c r="AA257" s="27" t="s">
        <v>211</v>
      </c>
      <c r="AB257" s="27" t="s">
        <v>175</v>
      </c>
      <c r="AC257" s="27" t="s">
        <v>160</v>
      </c>
      <c r="AD257" s="27" t="s">
        <v>160</v>
      </c>
      <c r="AE257" s="27" t="s">
        <v>272</v>
      </c>
      <c r="AF257" s="27" t="s">
        <v>162</v>
      </c>
      <c r="AG257" s="27" t="s">
        <v>177</v>
      </c>
      <c r="AH257" s="27" t="s">
        <v>164</v>
      </c>
      <c r="AI257" s="179"/>
      <c r="AJ257" s="27" t="s">
        <v>145</v>
      </c>
      <c r="AK257" s="27" t="s">
        <v>1069</v>
      </c>
      <c r="AL257" s="27" t="s">
        <v>214</v>
      </c>
      <c r="AM257" s="27" t="s">
        <v>145</v>
      </c>
      <c r="AN257" s="27" t="s">
        <v>1069</v>
      </c>
      <c r="AO257" s="27" t="s">
        <v>164</v>
      </c>
      <c r="AP257" s="136">
        <v>45321</v>
      </c>
      <c r="AQ257" s="27" t="s">
        <v>52</v>
      </c>
      <c r="AT257" s="27" t="str">
        <f t="shared" si="6"/>
        <v>Inactivo</v>
      </c>
      <c r="AU257" s="27" cm="1">
        <f t="array" aca="1" ref="AU257" ca="1">_xlfn.IFS(AT257="","",AT257="Activo",TODAY()-H257,AT257="Inactivo",AP257-H257)</f>
        <v>63</v>
      </c>
      <c r="AV257" s="180">
        <f ca="1">IF(ISBLANK(Tabla1[[#This Row],[Fecha Nacimento (dd/mm/yyyy)]]),"",YEARFRAC(Tabla1[[#This Row],[Fecha Nacimento (dd/mm/yyyy)]],TODAY()))</f>
        <v>28.416666666666668</v>
      </c>
      <c r="AW257" s="141"/>
      <c r="AX257" s="27" t="str">
        <f t="shared" si="7"/>
        <v/>
      </c>
    </row>
    <row r="258" spans="1:50" s="27" customFormat="1" x14ac:dyDescent="0.25">
      <c r="A258" s="134">
        <v>258</v>
      </c>
      <c r="B258" s="27" t="s">
        <v>1624</v>
      </c>
      <c r="C258" s="27" t="s">
        <v>1625</v>
      </c>
      <c r="D258" s="27" t="s">
        <v>141</v>
      </c>
      <c r="E258" s="400">
        <v>1107518697</v>
      </c>
      <c r="F258" s="27" t="s">
        <v>142</v>
      </c>
      <c r="G258" s="27" t="s">
        <v>143</v>
      </c>
      <c r="H258" s="136">
        <v>45259</v>
      </c>
      <c r="I258" s="136"/>
      <c r="J258" s="27" t="s">
        <v>144</v>
      </c>
      <c r="K258" s="137">
        <v>1300000</v>
      </c>
      <c r="L258" s="27" t="s">
        <v>145</v>
      </c>
      <c r="M258" s="27" t="s">
        <v>355</v>
      </c>
      <c r="O258" s="139" t="s">
        <v>1626</v>
      </c>
      <c r="Q258" s="27" t="s">
        <v>148</v>
      </c>
      <c r="R258" s="27" t="s">
        <v>149</v>
      </c>
      <c r="S258" s="27" t="s">
        <v>150</v>
      </c>
      <c r="T258" s="27">
        <v>81028417152</v>
      </c>
      <c r="U258" s="37">
        <v>35958</v>
      </c>
      <c r="V258" s="27" t="s">
        <v>1627</v>
      </c>
      <c r="W258" s="27">
        <v>3232320197</v>
      </c>
      <c r="X258" s="27" t="s">
        <v>1551</v>
      </c>
      <c r="Y258" s="27" t="s">
        <v>155</v>
      </c>
      <c r="Z258" s="27" t="s">
        <v>1628</v>
      </c>
      <c r="AA258" s="27" t="s">
        <v>211</v>
      </c>
      <c r="AB258" s="27" t="s">
        <v>158</v>
      </c>
      <c r="AC258" s="27" t="s">
        <v>160</v>
      </c>
      <c r="AD258" s="27" t="s">
        <v>160</v>
      </c>
      <c r="AE258" s="27" t="s">
        <v>1552</v>
      </c>
      <c r="AF258" s="27" t="s">
        <v>162</v>
      </c>
      <c r="AG258" s="27" t="s">
        <v>177</v>
      </c>
      <c r="AH258" s="27" t="s">
        <v>164</v>
      </c>
      <c r="AI258" s="179"/>
      <c r="AJ258" s="27" t="s">
        <v>1382</v>
      </c>
      <c r="AK258" s="27" t="s">
        <v>1140</v>
      </c>
      <c r="AL258" s="27" t="s">
        <v>145</v>
      </c>
      <c r="AM258" s="27" t="s">
        <v>145</v>
      </c>
      <c r="AN258" s="27" t="s">
        <v>1140</v>
      </c>
      <c r="AO258" s="27" t="s">
        <v>145</v>
      </c>
      <c r="AP258" s="136">
        <v>45397</v>
      </c>
      <c r="AQ258" s="27" t="s">
        <v>52</v>
      </c>
      <c r="AT258" s="27" t="str">
        <f t="shared" si="6"/>
        <v>Inactivo</v>
      </c>
      <c r="AU258" s="27" cm="1">
        <f t="array" aca="1" ref="AU258" ca="1">_xlfn.IFS(AT258="","",AT258="Activo",TODAY()-H258,AT258="Inactivo",AP258-H258)</f>
        <v>138</v>
      </c>
      <c r="AV258" s="180">
        <f ca="1">IF(ISBLANK(Tabla1[[#This Row],[Fecha Nacimento (dd/mm/yyyy)]]),"",YEARFRAC(Tabla1[[#This Row],[Fecha Nacimento (dd/mm/yyyy)]],TODAY()))</f>
        <v>26.013888888888889</v>
      </c>
      <c r="AW258" s="141"/>
      <c r="AX258" s="27" t="str">
        <f t="shared" si="7"/>
        <v/>
      </c>
    </row>
    <row r="259" spans="1:50" s="27" customFormat="1" x14ac:dyDescent="0.25">
      <c r="A259" s="134">
        <v>259</v>
      </c>
      <c r="B259" s="27" t="s">
        <v>235</v>
      </c>
      <c r="C259" s="27" t="s">
        <v>1629</v>
      </c>
      <c r="D259" s="27" t="s">
        <v>141</v>
      </c>
      <c r="E259" s="400">
        <v>18420202</v>
      </c>
      <c r="F259" s="27" t="s">
        <v>142</v>
      </c>
      <c r="G259" s="27" t="s">
        <v>143</v>
      </c>
      <c r="H259" s="136">
        <v>45261</v>
      </c>
      <c r="I259" s="136"/>
      <c r="J259" s="27" t="s">
        <v>144</v>
      </c>
      <c r="K259" s="140">
        <v>1300000</v>
      </c>
      <c r="L259" s="27" t="s">
        <v>164</v>
      </c>
      <c r="M259" s="27" t="s">
        <v>203</v>
      </c>
      <c r="O259" s="139" t="s">
        <v>1630</v>
      </c>
      <c r="Q259" s="27" t="s">
        <v>148</v>
      </c>
      <c r="R259" s="27" t="s">
        <v>149</v>
      </c>
      <c r="S259" s="27" t="s">
        <v>150</v>
      </c>
      <c r="T259" s="27" t="s">
        <v>1631</v>
      </c>
      <c r="U259" s="37">
        <v>30556</v>
      </c>
      <c r="V259" s="27" t="s">
        <v>1632</v>
      </c>
      <c r="W259" s="27" t="s">
        <v>1633</v>
      </c>
      <c r="X259" s="27" t="s">
        <v>343</v>
      </c>
      <c r="Y259" s="27" t="s">
        <v>172</v>
      </c>
      <c r="Z259" s="141" t="s">
        <v>430</v>
      </c>
      <c r="AA259" s="27" t="s">
        <v>211</v>
      </c>
      <c r="AB259" s="27" t="s">
        <v>175</v>
      </c>
      <c r="AC259" s="27" t="s">
        <v>160</v>
      </c>
      <c r="AD259" s="27" t="s">
        <v>160</v>
      </c>
      <c r="AE259" s="27" t="s">
        <v>431</v>
      </c>
      <c r="AF259" s="27" t="s">
        <v>176</v>
      </c>
      <c r="AG259" s="27" t="s">
        <v>177</v>
      </c>
      <c r="AH259" s="27" t="s">
        <v>145</v>
      </c>
      <c r="AI259" s="179">
        <v>332800</v>
      </c>
      <c r="AJ259" s="27" t="s">
        <v>304</v>
      </c>
      <c r="AK259" s="27" t="s">
        <v>214</v>
      </c>
      <c r="AL259" s="27" t="s">
        <v>214</v>
      </c>
      <c r="AM259" s="27" t="s">
        <v>164</v>
      </c>
      <c r="AN259" s="27" t="s">
        <v>214</v>
      </c>
      <c r="AO259" s="27" t="s">
        <v>214</v>
      </c>
      <c r="AP259" s="136"/>
      <c r="AT259" s="27" t="str">
        <f t="shared" ref="AT259:AT322" si="8">IF(ISBLANK(B259),"",IF(AP259="","Activo","Inactivo"))</f>
        <v>Activo</v>
      </c>
      <c r="AU259" s="27" cm="1">
        <f t="array" aca="1" ref="AU259" ca="1">_xlfn.IFS(AT259="","",AT259="Activo",TODAY()-H259,AT259="Inactivo",AP259-H259)</f>
        <v>199</v>
      </c>
      <c r="AV259" s="180">
        <f ca="1">IF(ISBLANK(Tabla1[[#This Row],[Fecha Nacimento (dd/mm/yyyy)]]),"",YEARFRAC(Tabla1[[#This Row],[Fecha Nacimento (dd/mm/yyyy)]],TODAY()))</f>
        <v>40.802777777777777</v>
      </c>
      <c r="AW259" s="141"/>
      <c r="AX259" s="27" t="str">
        <f t="shared" ref="AX259:AX308" si="9">IFERROR(DATE(VALUE(MID(AW259,7,4)), VALUE(MID(AW259,4,2)), VALUE(MID(AW259,1,2))),"")</f>
        <v/>
      </c>
    </row>
    <row r="260" spans="1:50" s="27" customFormat="1" x14ac:dyDescent="0.25">
      <c r="A260" s="134">
        <v>260</v>
      </c>
      <c r="B260" s="27" t="s">
        <v>1634</v>
      </c>
      <c r="C260" s="27" t="s">
        <v>1635</v>
      </c>
      <c r="D260" s="27" t="s">
        <v>141</v>
      </c>
      <c r="E260" s="400">
        <v>1029980838</v>
      </c>
      <c r="F260" s="27" t="s">
        <v>142</v>
      </c>
      <c r="G260" s="27" t="s">
        <v>143</v>
      </c>
      <c r="H260" s="136">
        <v>45261</v>
      </c>
      <c r="I260" s="136"/>
      <c r="J260" s="27" t="s">
        <v>144</v>
      </c>
      <c r="K260" s="137">
        <v>1300000</v>
      </c>
      <c r="L260" s="27" t="s">
        <v>145</v>
      </c>
      <c r="M260" s="27" t="s">
        <v>355</v>
      </c>
      <c r="O260" s="139" t="s">
        <v>1636</v>
      </c>
      <c r="Q260" s="27" t="s">
        <v>148</v>
      </c>
      <c r="R260" s="27" t="s">
        <v>426</v>
      </c>
      <c r="S260" s="27" t="s">
        <v>150</v>
      </c>
      <c r="T260" s="27">
        <v>3227457926</v>
      </c>
      <c r="U260" s="37">
        <v>38489</v>
      </c>
      <c r="V260" s="27" t="s">
        <v>1637</v>
      </c>
      <c r="W260" s="27" t="s">
        <v>1638</v>
      </c>
      <c r="X260" s="27" t="s">
        <v>1551</v>
      </c>
      <c r="Y260" s="27" t="s">
        <v>1567</v>
      </c>
      <c r="Z260" s="27" t="s">
        <v>1639</v>
      </c>
      <c r="AA260" s="27" t="s">
        <v>211</v>
      </c>
      <c r="AB260" s="27" t="s">
        <v>599</v>
      </c>
      <c r="AC260" s="27" t="s">
        <v>160</v>
      </c>
      <c r="AD260" s="27" t="s">
        <v>160</v>
      </c>
      <c r="AE260" s="27" t="s">
        <v>1552</v>
      </c>
      <c r="AF260" s="27" t="s">
        <v>162</v>
      </c>
      <c r="AG260" s="27" t="s">
        <v>177</v>
      </c>
      <c r="AH260" s="27" t="s">
        <v>164</v>
      </c>
      <c r="AI260" s="179"/>
      <c r="AJ260" s="27" t="s">
        <v>164</v>
      </c>
      <c r="AK260" s="27" t="s">
        <v>214</v>
      </c>
      <c r="AL260" s="27" t="s">
        <v>145</v>
      </c>
      <c r="AM260" s="27" t="s">
        <v>164</v>
      </c>
      <c r="AP260" s="136">
        <v>45275</v>
      </c>
      <c r="AQ260" s="27" t="s">
        <v>55</v>
      </c>
      <c r="AT260" s="27" t="str">
        <f t="shared" si="8"/>
        <v>Inactivo</v>
      </c>
      <c r="AU260" s="27" cm="1">
        <f t="array" aca="1" ref="AU260" ca="1">_xlfn.IFS(AT260="","",AT260="Activo",TODAY()-H260,AT260="Inactivo",AP260-H260)</f>
        <v>14</v>
      </c>
      <c r="AV260" s="180">
        <f ca="1">IF(ISBLANK(Tabla1[[#This Row],[Fecha Nacimento (dd/mm/yyyy)]]),"",YEARFRAC(Tabla1[[#This Row],[Fecha Nacimento (dd/mm/yyyy)]],TODAY()))</f>
        <v>19.083333333333332</v>
      </c>
      <c r="AW260" s="141"/>
      <c r="AX260" s="27" t="str">
        <f t="shared" si="9"/>
        <v/>
      </c>
    </row>
    <row r="261" spans="1:50" s="27" customFormat="1" x14ac:dyDescent="0.25">
      <c r="A261" s="134">
        <v>261</v>
      </c>
      <c r="B261" s="27" t="s">
        <v>1640</v>
      </c>
      <c r="C261" s="27" t="s">
        <v>1641</v>
      </c>
      <c r="D261" s="27" t="s">
        <v>141</v>
      </c>
      <c r="E261" s="400">
        <v>1020422416</v>
      </c>
      <c r="F261" s="27" t="s">
        <v>142</v>
      </c>
      <c r="G261" s="27" t="s">
        <v>143</v>
      </c>
      <c r="H261" s="136">
        <v>45265</v>
      </c>
      <c r="I261" s="136"/>
      <c r="J261" s="27" t="s">
        <v>144</v>
      </c>
      <c r="K261" s="138">
        <v>1300000</v>
      </c>
      <c r="L261" s="27" t="s">
        <v>145</v>
      </c>
      <c r="M261" s="27" t="s">
        <v>355</v>
      </c>
      <c r="N261" s="135" t="s">
        <v>145</v>
      </c>
      <c r="O261" s="139" t="s">
        <v>1642</v>
      </c>
      <c r="Q261" s="27" t="s">
        <v>205</v>
      </c>
      <c r="U261" s="37">
        <v>32625</v>
      </c>
      <c r="V261" s="27" t="s">
        <v>1643</v>
      </c>
      <c r="W261" s="27">
        <v>3226788865</v>
      </c>
      <c r="X261" s="27" t="s">
        <v>1644</v>
      </c>
      <c r="Y261" s="27" t="s">
        <v>1075</v>
      </c>
      <c r="Z261" s="27" t="s">
        <v>1645</v>
      </c>
      <c r="AA261" s="27" t="s">
        <v>543</v>
      </c>
      <c r="AB261" s="27" t="s">
        <v>175</v>
      </c>
      <c r="AC261" s="27" t="s">
        <v>271</v>
      </c>
      <c r="AD261" s="27" t="s">
        <v>271</v>
      </c>
      <c r="AE261" s="27" t="s">
        <v>1184</v>
      </c>
      <c r="AF261" s="27" t="s">
        <v>162</v>
      </c>
      <c r="AG261" s="27" t="s">
        <v>177</v>
      </c>
      <c r="AH261" s="27" t="s">
        <v>164</v>
      </c>
      <c r="AI261" s="179"/>
      <c r="AJ261" s="27" t="s">
        <v>1382</v>
      </c>
      <c r="AK261" s="27" t="s">
        <v>1069</v>
      </c>
      <c r="AL261" s="27" t="s">
        <v>145</v>
      </c>
      <c r="AM261" s="27" t="s">
        <v>145</v>
      </c>
      <c r="AN261" s="27" t="s">
        <v>1069</v>
      </c>
      <c r="AO261" s="27" t="s">
        <v>145</v>
      </c>
      <c r="AP261" s="136">
        <v>45322</v>
      </c>
      <c r="AQ261" s="27" t="s">
        <v>52</v>
      </c>
      <c r="AT261" s="27" t="str">
        <f t="shared" si="8"/>
        <v>Inactivo</v>
      </c>
      <c r="AU261" s="27" cm="1">
        <f t="array" aca="1" ref="AU261" ca="1">_xlfn.IFS(AT261="","",AT261="Activo",TODAY()-H261,AT261="Inactivo",AP261-H261)</f>
        <v>57</v>
      </c>
      <c r="AV261" s="180">
        <f ca="1">IF(ISBLANK(Tabla1[[#This Row],[Fecha Nacimento (dd/mm/yyyy)]]),"",YEARFRAC(Tabla1[[#This Row],[Fecha Nacimento (dd/mm/yyyy)]],TODAY()))</f>
        <v>35.138888888888886</v>
      </c>
      <c r="AW261" s="141"/>
      <c r="AX261" s="27" t="str">
        <f t="shared" si="9"/>
        <v/>
      </c>
    </row>
    <row r="262" spans="1:50" s="27" customFormat="1" x14ac:dyDescent="0.25">
      <c r="A262" s="134">
        <v>262</v>
      </c>
      <c r="B262" s="27" t="s">
        <v>1646</v>
      </c>
      <c r="C262" s="27" t="s">
        <v>1647</v>
      </c>
      <c r="D262" s="27" t="s">
        <v>141</v>
      </c>
      <c r="E262" s="400">
        <v>1022362802</v>
      </c>
      <c r="F262" s="27" t="s">
        <v>142</v>
      </c>
      <c r="G262" s="27" t="s">
        <v>143</v>
      </c>
      <c r="H262" s="136">
        <v>45271</v>
      </c>
      <c r="I262" s="136"/>
      <c r="J262" s="27" t="s">
        <v>144</v>
      </c>
      <c r="K262" s="140">
        <v>2500000</v>
      </c>
      <c r="L262" s="27" t="s">
        <v>164</v>
      </c>
      <c r="M262" s="27" t="s">
        <v>262</v>
      </c>
      <c r="N262" s="27" t="s">
        <v>145</v>
      </c>
      <c r="O262" s="139" t="s">
        <v>1648</v>
      </c>
      <c r="Q262" s="27" t="s">
        <v>148</v>
      </c>
      <c r="R262" s="27" t="s">
        <v>168</v>
      </c>
      <c r="S262" s="27" t="s">
        <v>150</v>
      </c>
      <c r="T262" s="27" t="s">
        <v>1649</v>
      </c>
      <c r="U262" s="37">
        <v>32969</v>
      </c>
      <c r="V262" s="27" t="s">
        <v>1650</v>
      </c>
      <c r="W262" s="27" t="s">
        <v>1651</v>
      </c>
      <c r="X262" s="27" t="s">
        <v>731</v>
      </c>
      <c r="Y262" s="27" t="s">
        <v>523</v>
      </c>
      <c r="Z262" s="27" t="s">
        <v>351</v>
      </c>
      <c r="AA262" s="27" t="s">
        <v>302</v>
      </c>
      <c r="AB262" s="27" t="s">
        <v>158</v>
      </c>
      <c r="AC262" s="27" t="s">
        <v>271</v>
      </c>
      <c r="AD262" s="27" t="s">
        <v>271</v>
      </c>
      <c r="AE262" s="27" t="s">
        <v>732</v>
      </c>
      <c r="AF262" s="27" t="s">
        <v>162</v>
      </c>
      <c r="AG262" s="27" t="s">
        <v>163</v>
      </c>
      <c r="AH262" s="27" t="s">
        <v>145</v>
      </c>
      <c r="AI262" s="179">
        <v>500000</v>
      </c>
      <c r="AJ262" s="27" t="s">
        <v>164</v>
      </c>
      <c r="AK262" s="27" t="s">
        <v>214</v>
      </c>
      <c r="AL262" s="27" t="s">
        <v>214</v>
      </c>
      <c r="AM262" s="27" t="s">
        <v>164</v>
      </c>
      <c r="AN262" s="27" t="s">
        <v>214</v>
      </c>
      <c r="AO262" s="27" t="s">
        <v>214</v>
      </c>
      <c r="AP262" s="136"/>
      <c r="AT262" s="27" t="str">
        <f t="shared" si="8"/>
        <v>Activo</v>
      </c>
      <c r="AU262" s="27" cm="1">
        <f t="array" aca="1" ref="AU262" ca="1">_xlfn.IFS(AT262="","",AT262="Activo",TODAY()-H262,AT262="Inactivo",AP262-H262)</f>
        <v>189</v>
      </c>
      <c r="AV262" s="180">
        <f ca="1">IF(ISBLANK(Tabla1[[#This Row],[Fecha Nacimento (dd/mm/yyyy)]]),"",YEARFRAC(Tabla1[[#This Row],[Fecha Nacimento (dd/mm/yyyy)]],TODAY()))</f>
        <v>34.197222222222223</v>
      </c>
      <c r="AW262" s="141"/>
      <c r="AX262" s="27" t="str">
        <f t="shared" si="9"/>
        <v/>
      </c>
    </row>
    <row r="263" spans="1:50" s="27" customFormat="1" x14ac:dyDescent="0.25">
      <c r="A263" s="134">
        <v>263</v>
      </c>
      <c r="B263" s="27" t="s">
        <v>1652</v>
      </c>
      <c r="C263" s="27" t="s">
        <v>1653</v>
      </c>
      <c r="D263" s="27" t="s">
        <v>141</v>
      </c>
      <c r="E263" s="400">
        <v>24499346</v>
      </c>
      <c r="F263" s="27" t="s">
        <v>142</v>
      </c>
      <c r="G263" s="27" t="s">
        <v>143</v>
      </c>
      <c r="H263" s="136">
        <v>45271</v>
      </c>
      <c r="I263" s="136"/>
      <c r="J263" s="27" t="s">
        <v>144</v>
      </c>
      <c r="K263" s="140">
        <v>1300000</v>
      </c>
      <c r="L263" s="27" t="s">
        <v>145</v>
      </c>
      <c r="M263" s="27" t="s">
        <v>262</v>
      </c>
      <c r="N263" s="27" t="s">
        <v>145</v>
      </c>
      <c r="O263" s="139" t="s">
        <v>1654</v>
      </c>
      <c r="Q263" s="27" t="s">
        <v>148</v>
      </c>
      <c r="R263" s="27" t="s">
        <v>371</v>
      </c>
      <c r="S263" s="27" t="s">
        <v>150</v>
      </c>
      <c r="T263" s="27" t="s">
        <v>1655</v>
      </c>
      <c r="U263" s="37">
        <v>26770</v>
      </c>
      <c r="V263" s="27" t="s">
        <v>1656</v>
      </c>
      <c r="W263" s="27" t="s">
        <v>1655</v>
      </c>
      <c r="X263" s="27" t="s">
        <v>731</v>
      </c>
      <c r="Y263" s="27" t="s">
        <v>1559</v>
      </c>
      <c r="Z263" s="27" t="s">
        <v>1615</v>
      </c>
      <c r="AA263" s="27" t="s">
        <v>211</v>
      </c>
      <c r="AB263" s="27" t="s">
        <v>212</v>
      </c>
      <c r="AC263" s="27" t="s">
        <v>160</v>
      </c>
      <c r="AD263" s="27" t="s">
        <v>160</v>
      </c>
      <c r="AE263" s="27" t="s">
        <v>732</v>
      </c>
      <c r="AF263" s="27" t="s">
        <v>162</v>
      </c>
      <c r="AG263" s="27" t="s">
        <v>163</v>
      </c>
      <c r="AH263" s="27" t="s">
        <v>164</v>
      </c>
      <c r="AI263" s="179"/>
      <c r="AJ263" s="27" t="s">
        <v>304</v>
      </c>
      <c r="AK263" s="27" t="s">
        <v>214</v>
      </c>
      <c r="AL263" s="27" t="s">
        <v>214</v>
      </c>
      <c r="AM263" s="27" t="s">
        <v>164</v>
      </c>
      <c r="AN263" s="27" t="s">
        <v>214</v>
      </c>
      <c r="AO263" s="27" t="s">
        <v>214</v>
      </c>
      <c r="AP263" s="136"/>
      <c r="AT263" s="27" t="str">
        <f t="shared" si="8"/>
        <v>Activo</v>
      </c>
      <c r="AU263" s="27" cm="1">
        <f t="array" aca="1" ref="AU263" ca="1">_xlfn.IFS(AT263="","",AT263="Activo",TODAY()-H263,AT263="Inactivo",AP263-H263)</f>
        <v>189</v>
      </c>
      <c r="AV263" s="180">
        <f ca="1">IF(ISBLANK(Tabla1[[#This Row],[Fecha Nacimento (dd/mm/yyyy)]]),"",YEARFRAC(Tabla1[[#This Row],[Fecha Nacimento (dd/mm/yyyy)]],TODAY()))</f>
        <v>51.169444444444444</v>
      </c>
      <c r="AW263" s="141"/>
      <c r="AX263" s="27" t="str">
        <f t="shared" si="9"/>
        <v/>
      </c>
    </row>
    <row r="264" spans="1:50" s="27" customFormat="1" x14ac:dyDescent="0.25">
      <c r="A264" s="134">
        <v>264</v>
      </c>
      <c r="B264" s="27" t="s">
        <v>1657</v>
      </c>
      <c r="C264" s="27" t="s">
        <v>1658</v>
      </c>
      <c r="D264" s="27" t="s">
        <v>141</v>
      </c>
      <c r="E264" s="400">
        <v>41930358</v>
      </c>
      <c r="F264" s="27" t="s">
        <v>142</v>
      </c>
      <c r="G264" s="27" t="s">
        <v>143</v>
      </c>
      <c r="H264" s="136">
        <v>45272</v>
      </c>
      <c r="I264" s="136"/>
      <c r="J264" s="27" t="s">
        <v>144</v>
      </c>
      <c r="K264" s="137">
        <v>1300000</v>
      </c>
      <c r="L264" s="27" t="s">
        <v>145</v>
      </c>
      <c r="M264" s="27" t="s">
        <v>146</v>
      </c>
      <c r="O264" s="139" t="s">
        <v>1659</v>
      </c>
      <c r="Q264" s="27" t="s">
        <v>148</v>
      </c>
      <c r="R264" s="27" t="s">
        <v>168</v>
      </c>
      <c r="S264" s="27" t="s">
        <v>150</v>
      </c>
      <c r="T264" s="27" t="s">
        <v>1660</v>
      </c>
      <c r="U264" s="37">
        <v>27071</v>
      </c>
      <c r="V264" s="27" t="s">
        <v>1661</v>
      </c>
      <c r="W264" s="27">
        <v>3105138924</v>
      </c>
      <c r="X264" s="27" t="s">
        <v>154</v>
      </c>
      <c r="Y264" s="27" t="s">
        <v>543</v>
      </c>
      <c r="Z264" s="27" t="s">
        <v>559</v>
      </c>
      <c r="AA264" s="27" t="s">
        <v>545</v>
      </c>
      <c r="AB264" s="27" t="s">
        <v>158</v>
      </c>
      <c r="AC264" s="27" t="s">
        <v>271</v>
      </c>
      <c r="AD264" s="27" t="s">
        <v>160</v>
      </c>
      <c r="AE264" s="27" t="s">
        <v>161</v>
      </c>
      <c r="AF264" s="27" t="s">
        <v>162</v>
      </c>
      <c r="AG264" s="27" t="s">
        <v>177</v>
      </c>
      <c r="AH264" s="27" t="s">
        <v>164</v>
      </c>
      <c r="AI264" s="179"/>
      <c r="AP264" s="136"/>
      <c r="AT264" s="27" t="str">
        <f t="shared" si="8"/>
        <v>Activo</v>
      </c>
      <c r="AU264" s="27" cm="1">
        <f t="array" aca="1" ref="AU264" ca="1">_xlfn.IFS(AT264="","",AT264="Activo",TODAY()-H264,AT264="Inactivo",AP264-H264)</f>
        <v>188</v>
      </c>
      <c r="AV264" s="180">
        <f ca="1">IF(ISBLANK(Tabla1[[#This Row],[Fecha Nacimento (dd/mm/yyyy)]]),"",YEARFRAC(Tabla1[[#This Row],[Fecha Nacimento (dd/mm/yyyy)]],TODAY()))</f>
        <v>50.35</v>
      </c>
      <c r="AW264" s="141"/>
      <c r="AX264" s="27" t="str">
        <f t="shared" si="9"/>
        <v/>
      </c>
    </row>
    <row r="265" spans="1:50" s="27" customFormat="1" x14ac:dyDescent="0.25">
      <c r="A265" s="134">
        <v>265</v>
      </c>
      <c r="B265" s="27" t="s">
        <v>283</v>
      </c>
      <c r="C265" s="27" t="s">
        <v>1662</v>
      </c>
      <c r="D265" s="27" t="s">
        <v>141</v>
      </c>
      <c r="E265" s="400">
        <v>1094935528</v>
      </c>
      <c r="F265" s="27" t="s">
        <v>142</v>
      </c>
      <c r="G265" s="27" t="s">
        <v>143</v>
      </c>
      <c r="H265" s="136">
        <v>45274</v>
      </c>
      <c r="I265" s="136"/>
      <c r="J265" s="27" t="s">
        <v>144</v>
      </c>
      <c r="K265" s="140">
        <v>1300000</v>
      </c>
      <c r="L265" s="27" t="s">
        <v>164</v>
      </c>
      <c r="M265" s="27" t="s">
        <v>262</v>
      </c>
      <c r="N265" s="27" t="s">
        <v>145</v>
      </c>
      <c r="O265" s="139" t="s">
        <v>1663</v>
      </c>
      <c r="Q265" s="27" t="s">
        <v>148</v>
      </c>
      <c r="R265" s="27" t="s">
        <v>371</v>
      </c>
      <c r="S265" s="27" t="s">
        <v>150</v>
      </c>
      <c r="T265" s="27" t="s">
        <v>1664</v>
      </c>
      <c r="U265" s="37">
        <v>34135</v>
      </c>
      <c r="V265" s="27" t="s">
        <v>1665</v>
      </c>
      <c r="W265" s="27" t="s">
        <v>1664</v>
      </c>
      <c r="X265" s="27" t="s">
        <v>731</v>
      </c>
      <c r="Y265" s="27" t="s">
        <v>1559</v>
      </c>
      <c r="Z265" s="27" t="s">
        <v>1666</v>
      </c>
      <c r="AA265" s="27" t="s">
        <v>211</v>
      </c>
      <c r="AB265" s="27" t="s">
        <v>158</v>
      </c>
      <c r="AC265" s="27" t="s">
        <v>160</v>
      </c>
      <c r="AD265" s="27" t="s">
        <v>160</v>
      </c>
      <c r="AE265" s="27" t="s">
        <v>732</v>
      </c>
      <c r="AF265" s="27" t="s">
        <v>162</v>
      </c>
      <c r="AG265" s="27" t="s">
        <v>163</v>
      </c>
      <c r="AH265" s="27" t="s">
        <v>164</v>
      </c>
      <c r="AI265" s="179"/>
      <c r="AJ265" s="27" t="s">
        <v>304</v>
      </c>
      <c r="AK265" s="27" t="s">
        <v>214</v>
      </c>
      <c r="AL265" s="27" t="s">
        <v>214</v>
      </c>
      <c r="AM265" s="27" t="s">
        <v>164</v>
      </c>
      <c r="AN265" s="27" t="s">
        <v>214</v>
      </c>
      <c r="AO265" s="27" t="s">
        <v>214</v>
      </c>
      <c r="AP265" s="136">
        <v>45351</v>
      </c>
      <c r="AQ265" s="27" t="s">
        <v>52</v>
      </c>
      <c r="AT265" s="27" t="str">
        <f t="shared" si="8"/>
        <v>Inactivo</v>
      </c>
      <c r="AU265" s="27" cm="1">
        <f t="array" aca="1" ref="AU265" ca="1">_xlfn.IFS(AT265="","",AT265="Activo",TODAY()-H265,AT265="Inactivo",AP265-H265)</f>
        <v>77</v>
      </c>
      <c r="AV265" s="180">
        <f ca="1">IF(ISBLANK(Tabla1[[#This Row],[Fecha Nacimento (dd/mm/yyyy)]]),"",YEARFRAC(Tabla1[[#This Row],[Fecha Nacimento (dd/mm/yyyy)]],TODAY()))</f>
        <v>31.005555555555556</v>
      </c>
      <c r="AW265" s="141"/>
      <c r="AX265" s="27" t="str">
        <f t="shared" si="9"/>
        <v/>
      </c>
    </row>
    <row r="266" spans="1:50" s="27" customFormat="1" x14ac:dyDescent="0.25">
      <c r="A266" s="134">
        <v>266</v>
      </c>
      <c r="B266" s="27" t="s">
        <v>1667</v>
      </c>
      <c r="C266" s="27" t="s">
        <v>1668</v>
      </c>
      <c r="D266" s="27" t="s">
        <v>141</v>
      </c>
      <c r="E266" s="400">
        <v>1098312188</v>
      </c>
      <c r="F266" s="27" t="s">
        <v>142</v>
      </c>
      <c r="G266" s="27" t="s">
        <v>143</v>
      </c>
      <c r="H266" s="136">
        <v>45275</v>
      </c>
      <c r="I266" s="136"/>
      <c r="J266" s="27" t="s">
        <v>144</v>
      </c>
      <c r="K266" s="137">
        <v>1300000</v>
      </c>
      <c r="L266" s="27" t="s">
        <v>145</v>
      </c>
      <c r="M266" s="27" t="s">
        <v>1669</v>
      </c>
      <c r="N266" s="27" t="s">
        <v>145</v>
      </c>
      <c r="O266" s="139" t="s">
        <v>1670</v>
      </c>
      <c r="Q266" s="27" t="s">
        <v>148</v>
      </c>
      <c r="R266" s="27" t="s">
        <v>371</v>
      </c>
      <c r="S266" s="27" t="s">
        <v>150</v>
      </c>
      <c r="T266" s="27" t="s">
        <v>1671</v>
      </c>
      <c r="U266" s="37">
        <v>35489</v>
      </c>
      <c r="V266" s="27" t="s">
        <v>1672</v>
      </c>
      <c r="W266" s="27" t="s">
        <v>1671</v>
      </c>
      <c r="X266" s="27" t="s">
        <v>731</v>
      </c>
      <c r="Y266" s="27" t="s">
        <v>1559</v>
      </c>
      <c r="Z266" s="27" t="s">
        <v>1673</v>
      </c>
      <c r="AA266" s="27" t="s">
        <v>211</v>
      </c>
      <c r="AB266" s="27" t="s">
        <v>175</v>
      </c>
      <c r="AC266" s="27" t="s">
        <v>271</v>
      </c>
      <c r="AD266" s="27" t="s">
        <v>271</v>
      </c>
      <c r="AE266" s="27" t="s">
        <v>732</v>
      </c>
      <c r="AF266" s="27" t="s">
        <v>176</v>
      </c>
      <c r="AG266" s="27" t="s">
        <v>163</v>
      </c>
      <c r="AH266" s="27" t="s">
        <v>164</v>
      </c>
      <c r="AI266" s="179"/>
      <c r="AJ266" s="27" t="s">
        <v>304</v>
      </c>
      <c r="AK266" s="27" t="s">
        <v>214</v>
      </c>
      <c r="AL266" s="27" t="s">
        <v>214</v>
      </c>
      <c r="AM266" s="27" t="s">
        <v>164</v>
      </c>
      <c r="AN266" s="27" t="s">
        <v>214</v>
      </c>
      <c r="AO266" s="27" t="s">
        <v>214</v>
      </c>
      <c r="AP266" s="136">
        <v>45299</v>
      </c>
      <c r="AQ266" s="27" t="s">
        <v>1190</v>
      </c>
      <c r="AT266" s="27" t="str">
        <f t="shared" si="8"/>
        <v>Inactivo</v>
      </c>
      <c r="AU266" s="27" cm="1">
        <f t="array" aca="1" ref="AU266" ca="1">_xlfn.IFS(AT266="","",AT266="Activo",TODAY()-H266,AT266="Inactivo",AP266-H266)</f>
        <v>24</v>
      </c>
      <c r="AV266" s="180">
        <f ca="1">IF(ISBLANK(Tabla1[[#This Row],[Fecha Nacimento (dd/mm/yyyy)]]),"",YEARFRAC(Tabla1[[#This Row],[Fecha Nacimento (dd/mm/yyyy)]],TODAY()))</f>
        <v>27.297222222222221</v>
      </c>
      <c r="AW266" s="141"/>
      <c r="AX266" s="27" t="str">
        <f t="shared" si="9"/>
        <v/>
      </c>
    </row>
    <row r="267" spans="1:50" s="27" customFormat="1" x14ac:dyDescent="0.25">
      <c r="A267" s="134">
        <v>267</v>
      </c>
      <c r="B267" s="27" t="s">
        <v>1674</v>
      </c>
      <c r="C267" s="27" t="s">
        <v>1675</v>
      </c>
      <c r="D267" s="27" t="s">
        <v>141</v>
      </c>
      <c r="E267" s="400">
        <v>80388392</v>
      </c>
      <c r="F267" s="27" t="s">
        <v>142</v>
      </c>
      <c r="G267" s="27" t="s">
        <v>143</v>
      </c>
      <c r="H267" s="136">
        <v>45281</v>
      </c>
      <c r="I267" s="136"/>
      <c r="J267" s="27" t="s">
        <v>144</v>
      </c>
      <c r="K267" s="138">
        <v>1300000</v>
      </c>
      <c r="L267" s="27" t="s">
        <v>145</v>
      </c>
      <c r="M267" s="27" t="s">
        <v>262</v>
      </c>
      <c r="N267" s="27" t="s">
        <v>145</v>
      </c>
      <c r="O267" s="139" t="s">
        <v>1676</v>
      </c>
      <c r="Q267" s="27" t="s">
        <v>205</v>
      </c>
      <c r="U267" s="37">
        <v>30931</v>
      </c>
      <c r="V267" s="27" t="s">
        <v>1677</v>
      </c>
      <c r="W267" s="27">
        <v>3148103623</v>
      </c>
      <c r="X267" s="27" t="s">
        <v>731</v>
      </c>
      <c r="Y267" s="27" t="s">
        <v>367</v>
      </c>
      <c r="Z267" s="27" t="s">
        <v>1568</v>
      </c>
      <c r="AA267" s="27" t="s">
        <v>211</v>
      </c>
      <c r="AB267" s="27" t="s">
        <v>175</v>
      </c>
      <c r="AC267" s="27" t="s">
        <v>271</v>
      </c>
      <c r="AD267" s="27" t="s">
        <v>271</v>
      </c>
      <c r="AE267" s="27" t="s">
        <v>732</v>
      </c>
      <c r="AF267" s="27" t="s">
        <v>176</v>
      </c>
      <c r="AG267" s="27" t="s">
        <v>163</v>
      </c>
      <c r="AH267" s="27" t="s">
        <v>164</v>
      </c>
      <c r="AI267" s="179"/>
      <c r="AJ267" s="27" t="s">
        <v>304</v>
      </c>
      <c r="AK267" s="27" t="s">
        <v>214</v>
      </c>
      <c r="AL267" s="27" t="s">
        <v>214</v>
      </c>
      <c r="AM267" s="27" t="s">
        <v>164</v>
      </c>
      <c r="AN267" s="27" t="s">
        <v>214</v>
      </c>
      <c r="AO267" s="27" t="s">
        <v>214</v>
      </c>
      <c r="AP267" s="136">
        <v>45291</v>
      </c>
      <c r="AQ267" s="27" t="s">
        <v>52</v>
      </c>
      <c r="AT267" s="27" t="str">
        <f t="shared" si="8"/>
        <v>Inactivo</v>
      </c>
      <c r="AU267" s="27" cm="1">
        <f t="array" aca="1" ref="AU267" ca="1">_xlfn.IFS(AT267="","",AT267="Activo",TODAY()-H267,AT267="Inactivo",AP267-H267)</f>
        <v>10</v>
      </c>
      <c r="AV267" s="180">
        <f ca="1">IF(ISBLANK(Tabla1[[#This Row],[Fecha Nacimento (dd/mm/yyyy)]]),"",YEARFRAC(Tabla1[[#This Row],[Fecha Nacimento (dd/mm/yyyy)]],TODAY()))</f>
        <v>39.780555555555559</v>
      </c>
      <c r="AW267" s="141"/>
      <c r="AX267" s="27" t="str">
        <f t="shared" si="9"/>
        <v/>
      </c>
    </row>
    <row r="268" spans="1:50" s="27" customFormat="1" x14ac:dyDescent="0.25">
      <c r="A268" s="134">
        <v>268</v>
      </c>
      <c r="B268" s="27" t="s">
        <v>1678</v>
      </c>
      <c r="C268" s="27" t="s">
        <v>1679</v>
      </c>
      <c r="D268" s="27" t="s">
        <v>141</v>
      </c>
      <c r="E268" s="400">
        <v>21515492</v>
      </c>
      <c r="F268" s="27" t="s">
        <v>142</v>
      </c>
      <c r="G268" s="27" t="s">
        <v>143</v>
      </c>
      <c r="H268" s="136">
        <v>45292</v>
      </c>
      <c r="I268" s="136"/>
      <c r="J268" s="27" t="s">
        <v>144</v>
      </c>
      <c r="K268" s="138">
        <v>1300000</v>
      </c>
      <c r="L268" s="27" t="s">
        <v>145</v>
      </c>
      <c r="M268" s="27" t="s">
        <v>262</v>
      </c>
      <c r="O268" s="139" t="s">
        <v>1680</v>
      </c>
      <c r="Q268" s="27" t="s">
        <v>148</v>
      </c>
      <c r="R268" s="27" t="s">
        <v>149</v>
      </c>
      <c r="S268" s="27" t="s">
        <v>150</v>
      </c>
      <c r="T268" s="27">
        <v>13023305583</v>
      </c>
      <c r="U268" s="37">
        <v>23778</v>
      </c>
      <c r="V268" s="27" t="s">
        <v>1681</v>
      </c>
      <c r="W268" s="27">
        <v>3023305583</v>
      </c>
      <c r="X268" s="27" t="s">
        <v>1644</v>
      </c>
      <c r="Y268" s="27" t="s">
        <v>19</v>
      </c>
      <c r="Z268" s="27" t="s">
        <v>19</v>
      </c>
      <c r="AA268" s="27" t="s">
        <v>211</v>
      </c>
      <c r="AB268" s="27" t="s">
        <v>158</v>
      </c>
      <c r="AC268" s="27" t="s">
        <v>160</v>
      </c>
      <c r="AD268" s="27" t="s">
        <v>160</v>
      </c>
      <c r="AE268" s="27" t="s">
        <v>1369</v>
      </c>
      <c r="AF268" s="27" t="s">
        <v>162</v>
      </c>
      <c r="AG268" s="27" t="s">
        <v>177</v>
      </c>
      <c r="AI268" s="179"/>
      <c r="AJ268" s="27" t="s">
        <v>164</v>
      </c>
      <c r="AM268" s="27" t="s">
        <v>164</v>
      </c>
      <c r="AO268" s="27" t="s">
        <v>164</v>
      </c>
      <c r="AP268" s="136"/>
      <c r="AT268" s="27" t="str">
        <f t="shared" si="8"/>
        <v>Activo</v>
      </c>
      <c r="AU268" s="27" cm="1">
        <f t="array" aca="1" ref="AU268" ca="1">_xlfn.IFS(AT268="","",AT268="Activo",TODAY()-H268,AT268="Inactivo",AP268-H268)</f>
        <v>168</v>
      </c>
      <c r="AV268" s="180">
        <f ca="1">IF(ISBLANK(Tabla1[[#This Row],[Fecha Nacimento (dd/mm/yyyy)]]),"",YEARFRAC(Tabla1[[#This Row],[Fecha Nacimento (dd/mm/yyyy)]],TODAY()))</f>
        <v>59.366666666666667</v>
      </c>
      <c r="AW268" s="141"/>
      <c r="AX268" s="27" t="str">
        <f t="shared" si="9"/>
        <v/>
      </c>
    </row>
    <row r="269" spans="1:50" s="27" customFormat="1" x14ac:dyDescent="0.25">
      <c r="A269" s="134">
        <v>269</v>
      </c>
      <c r="B269" s="27" t="s">
        <v>1682</v>
      </c>
      <c r="C269" s="27" t="s">
        <v>1683</v>
      </c>
      <c r="D269" s="27" t="s">
        <v>141</v>
      </c>
      <c r="E269" s="400">
        <v>1097404045</v>
      </c>
      <c r="F269" s="27" t="s">
        <v>142</v>
      </c>
      <c r="G269" s="27" t="s">
        <v>143</v>
      </c>
      <c r="H269" s="136">
        <v>45292</v>
      </c>
      <c r="I269" s="136"/>
      <c r="J269" s="27" t="s">
        <v>144</v>
      </c>
      <c r="K269" s="138">
        <v>1300000</v>
      </c>
      <c r="L269" s="27" t="s">
        <v>145</v>
      </c>
      <c r="M269" s="27" t="s">
        <v>355</v>
      </c>
      <c r="N269" s="27" t="s">
        <v>145</v>
      </c>
      <c r="O269" s="139" t="s">
        <v>1684</v>
      </c>
      <c r="Q269" s="27" t="s">
        <v>148</v>
      </c>
      <c r="R269" s="27" t="s">
        <v>149</v>
      </c>
      <c r="S269" s="27" t="s">
        <v>150</v>
      </c>
      <c r="T269" s="27">
        <v>75604690099</v>
      </c>
      <c r="U269" s="37">
        <v>35165</v>
      </c>
      <c r="V269" s="27" t="s">
        <v>1685</v>
      </c>
      <c r="W269" s="27">
        <v>3144604315</v>
      </c>
      <c r="X269" s="27" t="s">
        <v>268</v>
      </c>
      <c r="Y269" s="27" t="s">
        <v>367</v>
      </c>
      <c r="Z269" s="27" t="s">
        <v>656</v>
      </c>
      <c r="AA269" s="27" t="s">
        <v>211</v>
      </c>
      <c r="AB269" s="27" t="s">
        <v>259</v>
      </c>
      <c r="AC269" s="27" t="s">
        <v>271</v>
      </c>
      <c r="AD269" s="27" t="s">
        <v>271</v>
      </c>
      <c r="AE269" s="27" t="s">
        <v>272</v>
      </c>
      <c r="AF269" s="27" t="s">
        <v>176</v>
      </c>
      <c r="AG269" s="27" t="s">
        <v>177</v>
      </c>
      <c r="AH269" s="27" t="s">
        <v>145</v>
      </c>
      <c r="AI269" s="179">
        <v>160000</v>
      </c>
      <c r="AJ269" s="27" t="s">
        <v>164</v>
      </c>
      <c r="AK269" s="27" t="s">
        <v>214</v>
      </c>
      <c r="AL269" s="27" t="s">
        <v>214</v>
      </c>
      <c r="AM269" s="27" t="s">
        <v>164</v>
      </c>
      <c r="AN269" s="27" t="s">
        <v>214</v>
      </c>
      <c r="AO269" s="27" t="s">
        <v>164</v>
      </c>
      <c r="AP269" s="136">
        <v>45383</v>
      </c>
      <c r="AQ269" s="27" t="s">
        <v>52</v>
      </c>
      <c r="AT269" s="27" t="str">
        <f t="shared" si="8"/>
        <v>Inactivo</v>
      </c>
      <c r="AU269" s="27" cm="1">
        <f t="array" aca="1" ref="AU269" ca="1">_xlfn.IFS(AT269="","",AT269="Activo",TODAY()-H269,AT269="Inactivo",AP269-H269)</f>
        <v>91</v>
      </c>
      <c r="AV269" s="180">
        <f ca="1">IF(ISBLANK(Tabla1[[#This Row],[Fecha Nacimento (dd/mm/yyyy)]]),"",YEARFRAC(Tabla1[[#This Row],[Fecha Nacimento (dd/mm/yyyy)]],TODAY()))</f>
        <v>28.18611111111111</v>
      </c>
      <c r="AW269" s="141"/>
      <c r="AX269" s="27" t="str">
        <f t="shared" si="9"/>
        <v/>
      </c>
    </row>
    <row r="270" spans="1:50" s="27" customFormat="1" x14ac:dyDescent="0.25">
      <c r="A270" s="134">
        <v>270</v>
      </c>
      <c r="B270" s="27" t="s">
        <v>1686</v>
      </c>
      <c r="C270" s="27" t="s">
        <v>1687</v>
      </c>
      <c r="D270" s="141" t="s">
        <v>1600</v>
      </c>
      <c r="E270" s="400">
        <v>1144409</v>
      </c>
      <c r="F270" s="27" t="s">
        <v>142</v>
      </c>
      <c r="G270" s="27" t="s">
        <v>143</v>
      </c>
      <c r="H270" s="136">
        <v>45296</v>
      </c>
      <c r="I270" s="136"/>
      <c r="J270" s="27" t="s">
        <v>144</v>
      </c>
      <c r="K270" s="138">
        <v>1300000</v>
      </c>
      <c r="L270" s="27" t="s">
        <v>145</v>
      </c>
      <c r="M270" s="27" t="s">
        <v>355</v>
      </c>
      <c r="N270" s="27" t="s">
        <v>145</v>
      </c>
      <c r="O270" s="139" t="s">
        <v>1688</v>
      </c>
      <c r="Q270" s="27" t="s">
        <v>205</v>
      </c>
      <c r="U270" s="37">
        <v>32185</v>
      </c>
      <c r="V270" s="27" t="s">
        <v>1689</v>
      </c>
      <c r="W270" s="27">
        <v>3018000583</v>
      </c>
      <c r="X270" s="27" t="s">
        <v>731</v>
      </c>
      <c r="Y270" s="27" t="s">
        <v>367</v>
      </c>
      <c r="Z270" s="27" t="s">
        <v>1690</v>
      </c>
      <c r="AA270" s="27" t="s">
        <v>211</v>
      </c>
      <c r="AB270" s="27" t="s">
        <v>158</v>
      </c>
      <c r="AC270" s="27" t="s">
        <v>271</v>
      </c>
      <c r="AD270" s="27" t="s">
        <v>271</v>
      </c>
      <c r="AE270" s="27" t="s">
        <v>732</v>
      </c>
      <c r="AF270" s="27" t="s">
        <v>162</v>
      </c>
      <c r="AG270" s="27" t="s">
        <v>177</v>
      </c>
      <c r="AH270" s="27" t="s">
        <v>164</v>
      </c>
      <c r="AI270" s="179"/>
      <c r="AJ270" s="27" t="s">
        <v>145</v>
      </c>
      <c r="AK270" s="27" t="s">
        <v>1069</v>
      </c>
      <c r="AL270" s="27" t="s">
        <v>164</v>
      </c>
      <c r="AM270" s="27" t="s">
        <v>145</v>
      </c>
      <c r="AN270" s="27" t="s">
        <v>1069</v>
      </c>
      <c r="AO270" s="27" t="s">
        <v>164</v>
      </c>
      <c r="AP270" s="136">
        <v>45304</v>
      </c>
      <c r="AQ270" s="27" t="s">
        <v>52</v>
      </c>
      <c r="AT270" s="27" t="str">
        <f t="shared" si="8"/>
        <v>Inactivo</v>
      </c>
      <c r="AU270" s="27" cm="1">
        <f t="array" aca="1" ref="AU270" ca="1">_xlfn.IFS(AT270="","",AT270="Activo",TODAY()-H270,AT270="Inactivo",AP270-H270)</f>
        <v>8</v>
      </c>
      <c r="AV270" s="180">
        <f ca="1">IF(ISBLANK(Tabla1[[#This Row],[Fecha Nacimento (dd/mm/yyyy)]]),"",YEARFRAC(Tabla1[[#This Row],[Fecha Nacimento (dd/mm/yyyy)]],TODAY()))</f>
        <v>36.347222222222221</v>
      </c>
      <c r="AW270" s="141"/>
      <c r="AX270" s="27" t="str">
        <f t="shared" si="9"/>
        <v/>
      </c>
    </row>
    <row r="271" spans="1:50" s="27" customFormat="1" x14ac:dyDescent="0.25">
      <c r="A271" s="134">
        <v>271</v>
      </c>
      <c r="B271" s="141" t="s">
        <v>1691</v>
      </c>
      <c r="C271" s="141" t="s">
        <v>1692</v>
      </c>
      <c r="D271" s="141" t="s">
        <v>141</v>
      </c>
      <c r="E271" s="402">
        <v>1193351959</v>
      </c>
      <c r="F271" s="27" t="s">
        <v>142</v>
      </c>
      <c r="G271" s="27" t="s">
        <v>143</v>
      </c>
      <c r="H271" s="136">
        <v>45300</v>
      </c>
      <c r="I271" s="136"/>
      <c r="J271" s="27" t="s">
        <v>144</v>
      </c>
      <c r="K271" s="138">
        <v>1300000</v>
      </c>
      <c r="L271" s="27" t="s">
        <v>145</v>
      </c>
      <c r="M271" s="27" t="s">
        <v>146</v>
      </c>
      <c r="O271" s="145" t="s">
        <v>1693</v>
      </c>
      <c r="Q271" s="27" t="s">
        <v>148</v>
      </c>
      <c r="R271" s="27" t="s">
        <v>168</v>
      </c>
      <c r="S271" s="27" t="s">
        <v>150</v>
      </c>
      <c r="T271" s="141" t="s">
        <v>1694</v>
      </c>
      <c r="U271" s="37">
        <v>37827</v>
      </c>
      <c r="V271" s="141" t="s">
        <v>1695</v>
      </c>
      <c r="W271" s="141" t="s">
        <v>1696</v>
      </c>
      <c r="X271" s="27" t="s">
        <v>154</v>
      </c>
      <c r="Y271" s="27" t="s">
        <v>302</v>
      </c>
      <c r="Z271" s="27" t="s">
        <v>2254</v>
      </c>
      <c r="AA271" s="27" t="s">
        <v>157</v>
      </c>
      <c r="AB271" s="27" t="s">
        <v>158</v>
      </c>
      <c r="AC271" s="27" t="s">
        <v>271</v>
      </c>
      <c r="AD271" s="27" t="s">
        <v>160</v>
      </c>
      <c r="AE271" s="27" t="s">
        <v>161</v>
      </c>
      <c r="AF271" s="27" t="s">
        <v>162</v>
      </c>
      <c r="AG271" s="27" t="s">
        <v>177</v>
      </c>
      <c r="AH271" s="27" t="s">
        <v>164</v>
      </c>
      <c r="AI271" s="179"/>
      <c r="AJ271" s="27" t="s">
        <v>164</v>
      </c>
      <c r="AM271" s="27" t="s">
        <v>164</v>
      </c>
      <c r="AO271" s="27" t="s">
        <v>164</v>
      </c>
      <c r="AP271" s="136"/>
      <c r="AT271" s="27" t="str">
        <f t="shared" si="8"/>
        <v>Activo</v>
      </c>
      <c r="AU271" s="27" cm="1">
        <f t="array" aca="1" ref="AU271" ca="1">_xlfn.IFS(AT271="","",AT271="Activo",TODAY()-H271,AT271="Inactivo",AP271-H271)</f>
        <v>160</v>
      </c>
      <c r="AV271" s="180">
        <f ca="1">IF(ISBLANK(Tabla1[[#This Row],[Fecha Nacimento (dd/mm/yyyy)]]),"",YEARFRAC(Tabla1[[#This Row],[Fecha Nacimento (dd/mm/yyyy)]],TODAY()))</f>
        <v>20.894444444444446</v>
      </c>
      <c r="AW271" s="141"/>
      <c r="AX271" s="27" t="str">
        <f t="shared" si="9"/>
        <v/>
      </c>
    </row>
    <row r="272" spans="1:50" s="27" customFormat="1" x14ac:dyDescent="0.25">
      <c r="A272" s="134">
        <v>272</v>
      </c>
      <c r="B272" s="27" t="s">
        <v>617</v>
      </c>
      <c r="C272" s="27" t="s">
        <v>618</v>
      </c>
      <c r="D272" s="27" t="s">
        <v>141</v>
      </c>
      <c r="E272" s="400">
        <v>94233408</v>
      </c>
      <c r="F272" s="27" t="s">
        <v>142</v>
      </c>
      <c r="G272" s="27" t="s">
        <v>143</v>
      </c>
      <c r="H272" s="136">
        <v>45307</v>
      </c>
      <c r="I272" s="136"/>
      <c r="J272" s="27" t="s">
        <v>144</v>
      </c>
      <c r="K272" s="140">
        <v>1708000</v>
      </c>
      <c r="L272" s="27" t="s">
        <v>145</v>
      </c>
      <c r="M272" s="27" t="s">
        <v>227</v>
      </c>
      <c r="O272" s="139" t="s">
        <v>1698</v>
      </c>
      <c r="Q272" s="27" t="s">
        <v>148</v>
      </c>
      <c r="R272" s="27" t="s">
        <v>149</v>
      </c>
      <c r="S272" s="27" t="s">
        <v>150</v>
      </c>
      <c r="T272" s="27" t="s">
        <v>620</v>
      </c>
      <c r="U272" s="37">
        <v>30950</v>
      </c>
      <c r="V272" s="27" t="s">
        <v>621</v>
      </c>
      <c r="W272" s="27">
        <v>3217495032</v>
      </c>
      <c r="X272" s="27" t="s">
        <v>231</v>
      </c>
      <c r="Y272" s="27" t="s">
        <v>222</v>
      </c>
      <c r="Z272" s="27" t="s">
        <v>484</v>
      </c>
      <c r="AA272" s="27" t="s">
        <v>211</v>
      </c>
      <c r="AB272" s="27" t="s">
        <v>175</v>
      </c>
      <c r="AC272" s="27" t="s">
        <v>160</v>
      </c>
      <c r="AD272" s="27" t="s">
        <v>160</v>
      </c>
      <c r="AE272" s="27" t="s">
        <v>1369</v>
      </c>
      <c r="AF272" s="27" t="s">
        <v>176</v>
      </c>
      <c r="AG272" s="27" t="s">
        <v>177</v>
      </c>
      <c r="AI272" s="179"/>
      <c r="AP272" s="136"/>
      <c r="AT272" s="27" t="str">
        <f t="shared" si="8"/>
        <v>Activo</v>
      </c>
      <c r="AU272" s="27" cm="1">
        <f t="array" aca="1" ref="AU272" ca="1">_xlfn.IFS(AT272="","",AT272="Activo",TODAY()-H272,AT272="Inactivo",AP272-H272)</f>
        <v>153</v>
      </c>
      <c r="AV272" s="180">
        <f ca="1">IF(ISBLANK(Tabla1[[#This Row],[Fecha Nacimento (dd/mm/yyyy)]]),"",YEARFRAC(Tabla1[[#This Row],[Fecha Nacimento (dd/mm/yyyy)]],TODAY()))</f>
        <v>39.727777777777774</v>
      </c>
      <c r="AW272" s="141"/>
      <c r="AX272" s="27" t="str">
        <f t="shared" si="9"/>
        <v/>
      </c>
    </row>
    <row r="273" spans="1:50" s="27" customFormat="1" x14ac:dyDescent="0.25">
      <c r="A273" s="134">
        <v>273</v>
      </c>
      <c r="B273" s="27" t="s">
        <v>324</v>
      </c>
      <c r="C273" s="27" t="s">
        <v>325</v>
      </c>
      <c r="D273" s="27" t="s">
        <v>141</v>
      </c>
      <c r="E273" s="400">
        <v>1115189699</v>
      </c>
      <c r="F273" s="27" t="s">
        <v>142</v>
      </c>
      <c r="G273" s="27" t="s">
        <v>143</v>
      </c>
      <c r="H273" s="136">
        <v>45307</v>
      </c>
      <c r="I273" s="136"/>
      <c r="J273" s="27" t="s">
        <v>144</v>
      </c>
      <c r="K273" s="140">
        <v>6264219</v>
      </c>
      <c r="L273" s="27" t="s">
        <v>164</v>
      </c>
      <c r="M273" s="27" t="s">
        <v>227</v>
      </c>
      <c r="O273" s="139" t="s">
        <v>1699</v>
      </c>
      <c r="Q273" s="27" t="s">
        <v>148</v>
      </c>
      <c r="R273" s="27" t="s">
        <v>149</v>
      </c>
      <c r="S273" s="27" t="s">
        <v>150</v>
      </c>
      <c r="T273" s="27" t="s">
        <v>327</v>
      </c>
      <c r="U273" s="37">
        <v>33934</v>
      </c>
      <c r="V273" s="27" t="s">
        <v>1700</v>
      </c>
      <c r="W273" s="27" t="s">
        <v>329</v>
      </c>
      <c r="X273" s="27" t="s">
        <v>231</v>
      </c>
      <c r="Y273" s="27" t="s">
        <v>269</v>
      </c>
      <c r="Z273" s="27" t="s">
        <v>330</v>
      </c>
      <c r="AA273" s="27" t="s">
        <v>211</v>
      </c>
      <c r="AB273" s="27" t="s">
        <v>259</v>
      </c>
      <c r="AC273" s="27" t="s">
        <v>160</v>
      </c>
      <c r="AD273" s="27" t="s">
        <v>160</v>
      </c>
      <c r="AE273" s="27" t="s">
        <v>1369</v>
      </c>
      <c r="AF273" s="27" t="s">
        <v>176</v>
      </c>
      <c r="AG273" s="27" t="s">
        <v>163</v>
      </c>
      <c r="AI273" s="179"/>
      <c r="AP273" s="136"/>
      <c r="AT273" s="27" t="str">
        <f t="shared" si="8"/>
        <v>Activo</v>
      </c>
      <c r="AU273" s="27" cm="1">
        <f t="array" aca="1" ref="AU273" ca="1">_xlfn.IFS(AT273="","",AT273="Activo",TODAY()-H273,AT273="Inactivo",AP273-H273)</f>
        <v>153</v>
      </c>
      <c r="AV273" s="180">
        <f ca="1">IF(ISBLANK(Tabla1[[#This Row],[Fecha Nacimento (dd/mm/yyyy)]]),"",YEARFRAC(Tabla1[[#This Row],[Fecha Nacimento (dd/mm/yyyy)]],TODAY()))</f>
        <v>31.558333333333334</v>
      </c>
      <c r="AW273" s="141"/>
      <c r="AX273" s="27" t="str">
        <f t="shared" si="9"/>
        <v/>
      </c>
    </row>
    <row r="274" spans="1:50" s="27" customFormat="1" x14ac:dyDescent="0.25">
      <c r="A274" s="134">
        <v>274</v>
      </c>
      <c r="B274" s="27" t="s">
        <v>331</v>
      </c>
      <c r="C274" s="27" t="s">
        <v>332</v>
      </c>
      <c r="D274" s="27" t="s">
        <v>141</v>
      </c>
      <c r="E274" s="400">
        <v>41952820</v>
      </c>
      <c r="F274" s="27" t="s">
        <v>142</v>
      </c>
      <c r="G274" s="27" t="s">
        <v>143</v>
      </c>
      <c r="H274" s="136">
        <v>45307</v>
      </c>
      <c r="I274" s="136"/>
      <c r="J274" s="27" t="s">
        <v>144</v>
      </c>
      <c r="K274" s="140">
        <v>5994506</v>
      </c>
      <c r="L274" s="27" t="s">
        <v>164</v>
      </c>
      <c r="M274" s="27" t="s">
        <v>227</v>
      </c>
      <c r="O274" s="139" t="s">
        <v>333</v>
      </c>
      <c r="Q274" s="27" t="s">
        <v>148</v>
      </c>
      <c r="R274" s="27" t="s">
        <v>149</v>
      </c>
      <c r="S274" s="27" t="s">
        <v>150</v>
      </c>
      <c r="T274" s="27" t="s">
        <v>334</v>
      </c>
      <c r="U274" s="37">
        <v>30090</v>
      </c>
      <c r="V274" s="27" t="s">
        <v>1701</v>
      </c>
      <c r="W274" s="27" t="s">
        <v>336</v>
      </c>
      <c r="X274" s="27" t="s">
        <v>231</v>
      </c>
      <c r="Y274" s="27" t="s">
        <v>269</v>
      </c>
      <c r="Z274" s="27" t="s">
        <v>337</v>
      </c>
      <c r="AA274" s="27" t="s">
        <v>211</v>
      </c>
      <c r="AB274" s="27" t="s">
        <v>158</v>
      </c>
      <c r="AC274" s="27" t="s">
        <v>159</v>
      </c>
      <c r="AD274" s="27" t="s">
        <v>160</v>
      </c>
      <c r="AE274" s="27" t="s">
        <v>1369</v>
      </c>
      <c r="AF274" s="27" t="s">
        <v>162</v>
      </c>
      <c r="AG274" s="27" t="s">
        <v>163</v>
      </c>
      <c r="AI274" s="179"/>
      <c r="AP274" s="136"/>
      <c r="AT274" s="27" t="str">
        <f t="shared" si="8"/>
        <v>Activo</v>
      </c>
      <c r="AU274" s="27" cm="1">
        <f t="array" aca="1" ref="AU274" ca="1">_xlfn.IFS(AT274="","",AT274="Activo",TODAY()-H274,AT274="Inactivo",AP274-H274)</f>
        <v>153</v>
      </c>
      <c r="AV274" s="180">
        <f ca="1">IF(ISBLANK(Tabla1[[#This Row],[Fecha Nacimento (dd/mm/yyyy)]]),"",YEARFRAC(Tabla1[[#This Row],[Fecha Nacimento (dd/mm/yyyy)]],TODAY()))</f>
        <v>42.077777777777776</v>
      </c>
      <c r="AW274" s="141"/>
      <c r="AX274" s="27" t="str">
        <f t="shared" si="9"/>
        <v/>
      </c>
    </row>
    <row r="275" spans="1:50" s="27" customFormat="1" x14ac:dyDescent="0.25">
      <c r="A275" s="134">
        <v>275</v>
      </c>
      <c r="B275" s="27" t="s">
        <v>669</v>
      </c>
      <c r="C275" s="27" t="s">
        <v>670</v>
      </c>
      <c r="D275" s="27" t="s">
        <v>141</v>
      </c>
      <c r="E275" s="400">
        <v>94462631</v>
      </c>
      <c r="F275" s="27" t="s">
        <v>142</v>
      </c>
      <c r="G275" s="27" t="s">
        <v>143</v>
      </c>
      <c r="H275" s="136">
        <v>45307</v>
      </c>
      <c r="I275" s="136"/>
      <c r="J275" s="27" t="s">
        <v>144</v>
      </c>
      <c r="K275" s="140">
        <v>2281766</v>
      </c>
      <c r="L275" s="27" t="s">
        <v>145</v>
      </c>
      <c r="M275" s="27" t="s">
        <v>203</v>
      </c>
      <c r="O275" s="139" t="s">
        <v>1702</v>
      </c>
      <c r="Q275" s="27" t="s">
        <v>148</v>
      </c>
      <c r="R275" s="27" t="s">
        <v>168</v>
      </c>
      <c r="S275" s="27" t="s">
        <v>150</v>
      </c>
      <c r="T275" s="216">
        <v>137500068903</v>
      </c>
      <c r="U275" s="37">
        <v>29739</v>
      </c>
      <c r="V275" s="27" t="s">
        <v>673</v>
      </c>
      <c r="W275" s="27" t="s">
        <v>674</v>
      </c>
      <c r="X275" s="27" t="s">
        <v>675</v>
      </c>
      <c r="Y275" s="27" t="s">
        <v>222</v>
      </c>
      <c r="Z275" s="27" t="s">
        <v>484</v>
      </c>
      <c r="AA275" s="27" t="s">
        <v>211</v>
      </c>
      <c r="AB275" s="27" t="s">
        <v>233</v>
      </c>
      <c r="AC275" s="27" t="s">
        <v>160</v>
      </c>
      <c r="AD275" s="27" t="s">
        <v>160</v>
      </c>
      <c r="AE275" s="27" t="s">
        <v>1369</v>
      </c>
      <c r="AF275" s="27" t="s">
        <v>176</v>
      </c>
      <c r="AG275" s="27" t="s">
        <v>177</v>
      </c>
      <c r="AI275" s="179"/>
      <c r="AP275" s="136"/>
      <c r="AT275" s="27" t="str">
        <f t="shared" si="8"/>
        <v>Activo</v>
      </c>
      <c r="AU275" s="27" cm="1">
        <f t="array" aca="1" ref="AU275" ca="1">_xlfn.IFS(AT275="","",AT275="Activo",TODAY()-H275,AT275="Inactivo",AP275-H275)</f>
        <v>153</v>
      </c>
      <c r="AV275" s="180">
        <f ca="1">IF(ISBLANK(Tabla1[[#This Row],[Fecha Nacimento (dd/mm/yyyy)]]),"",YEARFRAC(Tabla1[[#This Row],[Fecha Nacimento (dd/mm/yyyy)]],TODAY()))</f>
        <v>43.041666666666664</v>
      </c>
      <c r="AW275" s="141"/>
      <c r="AX275" s="27" t="str">
        <f t="shared" si="9"/>
        <v/>
      </c>
    </row>
    <row r="276" spans="1:50" s="27" customFormat="1" x14ac:dyDescent="0.25">
      <c r="A276" s="134">
        <v>276</v>
      </c>
      <c r="B276" s="27" t="s">
        <v>766</v>
      </c>
      <c r="C276" s="27" t="s">
        <v>767</v>
      </c>
      <c r="D276" s="27" t="s">
        <v>141</v>
      </c>
      <c r="E276" s="400">
        <v>1007397516</v>
      </c>
      <c r="F276" s="27" t="s">
        <v>142</v>
      </c>
      <c r="G276" s="27" t="s">
        <v>143</v>
      </c>
      <c r="H276" s="136">
        <v>45307</v>
      </c>
      <c r="I276" s="136"/>
      <c r="J276" s="27" t="s">
        <v>144</v>
      </c>
      <c r="K276" s="140">
        <v>1300000</v>
      </c>
      <c r="L276" s="27" t="s">
        <v>145</v>
      </c>
      <c r="M276" s="27" t="s">
        <v>203</v>
      </c>
      <c r="O276" s="139" t="s">
        <v>1703</v>
      </c>
      <c r="Q276" s="27" t="s">
        <v>148</v>
      </c>
      <c r="R276" s="27" t="s">
        <v>149</v>
      </c>
      <c r="S276" s="27" t="s">
        <v>150</v>
      </c>
      <c r="T276" s="27" t="s">
        <v>769</v>
      </c>
      <c r="U276" s="37">
        <v>35677</v>
      </c>
      <c r="V276" s="27" t="s">
        <v>770</v>
      </c>
      <c r="W276" s="27" t="s">
        <v>771</v>
      </c>
      <c r="X276" s="27" t="s">
        <v>675</v>
      </c>
      <c r="Y276" s="27" t="s">
        <v>222</v>
      </c>
      <c r="Z276" s="27" t="s">
        <v>223</v>
      </c>
      <c r="AA276" s="27" t="s">
        <v>211</v>
      </c>
      <c r="AB276" s="27" t="s">
        <v>233</v>
      </c>
      <c r="AC276" s="27" t="s">
        <v>159</v>
      </c>
      <c r="AD276" s="27" t="s">
        <v>160</v>
      </c>
      <c r="AE276" s="27" t="s">
        <v>1369</v>
      </c>
      <c r="AF276" s="27" t="s">
        <v>176</v>
      </c>
      <c r="AG276" s="27" t="s">
        <v>177</v>
      </c>
      <c r="AI276" s="179"/>
      <c r="AP276" s="136">
        <v>45412</v>
      </c>
      <c r="AQ276" s="27" t="s">
        <v>52</v>
      </c>
      <c r="AT276" s="27" t="str">
        <f t="shared" si="8"/>
        <v>Inactivo</v>
      </c>
      <c r="AU276" s="27" cm="1">
        <f t="array" aca="1" ref="AU276" ca="1">_xlfn.IFS(AT276="","",AT276="Activo",TODAY()-H276,AT276="Inactivo",AP276-H276)</f>
        <v>105</v>
      </c>
      <c r="AV276" s="180">
        <f ca="1">IF(ISBLANK(Tabla1[[#This Row],[Fecha Nacimento (dd/mm/yyyy)]]),"",YEARFRAC(Tabla1[[#This Row],[Fecha Nacimento (dd/mm/yyyy)]],TODAY()))</f>
        <v>26.786111111111111</v>
      </c>
      <c r="AW276" s="141"/>
      <c r="AX276" s="27" t="str">
        <f t="shared" si="9"/>
        <v/>
      </c>
    </row>
    <row r="277" spans="1:50" s="27" customFormat="1" x14ac:dyDescent="0.25">
      <c r="A277" s="134">
        <v>277</v>
      </c>
      <c r="B277" s="27" t="s">
        <v>413</v>
      </c>
      <c r="C277" s="27" t="s">
        <v>226</v>
      </c>
      <c r="D277" s="27" t="s">
        <v>141</v>
      </c>
      <c r="E277" s="400">
        <v>94227092</v>
      </c>
      <c r="F277" s="27" t="s">
        <v>142</v>
      </c>
      <c r="G277" s="27" t="s">
        <v>143</v>
      </c>
      <c r="H277" s="136">
        <v>45307</v>
      </c>
      <c r="I277" s="136"/>
      <c r="J277" s="27" t="s">
        <v>144</v>
      </c>
      <c r="K277" s="140">
        <v>1300000</v>
      </c>
      <c r="L277" s="27" t="s">
        <v>145</v>
      </c>
      <c r="M277" s="27" t="s">
        <v>227</v>
      </c>
      <c r="O277" s="139" t="s">
        <v>1704</v>
      </c>
      <c r="Q277" s="27" t="s">
        <v>148</v>
      </c>
      <c r="R277" s="27" t="s">
        <v>149</v>
      </c>
      <c r="S277" s="27" t="s">
        <v>150</v>
      </c>
      <c r="T277" s="27" t="s">
        <v>414</v>
      </c>
      <c r="U277" s="37">
        <v>25083</v>
      </c>
      <c r="V277" s="27" t="s">
        <v>238</v>
      </c>
      <c r="W277" s="27">
        <v>3234368604</v>
      </c>
      <c r="X277" s="27" t="s">
        <v>231</v>
      </c>
      <c r="Y277" s="27" t="s">
        <v>222</v>
      </c>
      <c r="Z277" s="27" t="s">
        <v>223</v>
      </c>
      <c r="AA277" s="27" t="s">
        <v>211</v>
      </c>
      <c r="AB277" s="27" t="s">
        <v>416</v>
      </c>
      <c r="AC277" s="27" t="s">
        <v>160</v>
      </c>
      <c r="AD277" s="27" t="s">
        <v>160</v>
      </c>
      <c r="AE277" s="27" t="s">
        <v>1369</v>
      </c>
      <c r="AF277" s="27" t="s">
        <v>176</v>
      </c>
      <c r="AG277" s="27" t="s">
        <v>177</v>
      </c>
      <c r="AI277" s="179"/>
      <c r="AP277" s="136"/>
      <c r="AT277" s="27" t="str">
        <f t="shared" si="8"/>
        <v>Activo</v>
      </c>
      <c r="AU277" s="27" cm="1">
        <f t="array" aca="1" ref="AU277" ca="1">_xlfn.IFS(AT277="","",AT277="Activo",TODAY()-H277,AT277="Inactivo",AP277-H277)</f>
        <v>153</v>
      </c>
      <c r="AV277" s="180">
        <f ca="1">IF(ISBLANK(Tabla1[[#This Row],[Fecha Nacimento (dd/mm/yyyy)]]),"",YEARFRAC(Tabla1[[#This Row],[Fecha Nacimento (dd/mm/yyyy)]],TODAY()))</f>
        <v>55.791666666666664</v>
      </c>
      <c r="AW277" s="141"/>
      <c r="AX277" s="27" t="str">
        <f t="shared" si="9"/>
        <v/>
      </c>
    </row>
    <row r="278" spans="1:50" s="27" customFormat="1" x14ac:dyDescent="0.25">
      <c r="A278" s="134">
        <v>278</v>
      </c>
      <c r="B278" s="27" t="s">
        <v>413</v>
      </c>
      <c r="C278" s="27" t="s">
        <v>1705</v>
      </c>
      <c r="D278" s="27" t="s">
        <v>141</v>
      </c>
      <c r="E278" s="400">
        <v>1116442776</v>
      </c>
      <c r="F278" s="27" t="s">
        <v>142</v>
      </c>
      <c r="G278" s="27" t="s">
        <v>143</v>
      </c>
      <c r="H278" s="136">
        <v>45307</v>
      </c>
      <c r="I278" s="136"/>
      <c r="J278" s="27" t="s">
        <v>144</v>
      </c>
      <c r="K278" s="138">
        <v>1300000</v>
      </c>
      <c r="L278" s="27" t="s">
        <v>145</v>
      </c>
      <c r="M278" s="27" t="s">
        <v>203</v>
      </c>
      <c r="O278" s="139" t="s">
        <v>1706</v>
      </c>
      <c r="Q278" s="27" t="s">
        <v>148</v>
      </c>
      <c r="R278" s="27" t="s">
        <v>168</v>
      </c>
      <c r="S278" s="27" t="s">
        <v>150</v>
      </c>
      <c r="U278" s="37">
        <v>34221</v>
      </c>
      <c r="V278" s="27" t="s">
        <v>1707</v>
      </c>
      <c r="W278" s="27">
        <v>3225256298</v>
      </c>
      <c r="X278" s="27" t="s">
        <v>231</v>
      </c>
      <c r="Y278" s="27" t="s">
        <v>222</v>
      </c>
      <c r="Z278" s="27" t="s">
        <v>223</v>
      </c>
      <c r="AA278" s="27" t="s">
        <v>211</v>
      </c>
      <c r="AB278" s="27" t="s">
        <v>158</v>
      </c>
      <c r="AC278" s="27" t="s">
        <v>160</v>
      </c>
      <c r="AD278" s="27" t="s">
        <v>160</v>
      </c>
      <c r="AE278" s="27" t="s">
        <v>1369</v>
      </c>
      <c r="AF278" s="27" t="s">
        <v>176</v>
      </c>
      <c r="AG278" s="27" t="s">
        <v>177</v>
      </c>
      <c r="AI278" s="179"/>
      <c r="AP278" s="136"/>
      <c r="AT278" s="27" t="str">
        <f t="shared" si="8"/>
        <v>Activo</v>
      </c>
      <c r="AU278" s="27" cm="1">
        <f t="array" aca="1" ref="AU278" ca="1">_xlfn.IFS(AT278="","",AT278="Activo",TODAY()-H278,AT278="Inactivo",AP278-H278)</f>
        <v>153</v>
      </c>
      <c r="AV278" s="180">
        <f ca="1">IF(ISBLANK(Tabla1[[#This Row],[Fecha Nacimento (dd/mm/yyyy)]]),"",YEARFRAC(Tabla1[[#This Row],[Fecha Nacimento (dd/mm/yyyy)]],TODAY()))</f>
        <v>30.772222222222222</v>
      </c>
      <c r="AW278" s="141"/>
      <c r="AX278" s="27" t="str">
        <f t="shared" si="9"/>
        <v/>
      </c>
    </row>
    <row r="279" spans="1:50" s="27" customFormat="1" x14ac:dyDescent="0.25">
      <c r="A279" s="134">
        <v>279</v>
      </c>
      <c r="B279" s="27" t="s">
        <v>1708</v>
      </c>
      <c r="C279" s="27" t="s">
        <v>1709</v>
      </c>
      <c r="D279" s="27" t="s">
        <v>141</v>
      </c>
      <c r="E279" s="400">
        <v>1116265012</v>
      </c>
      <c r="F279" s="27" t="s">
        <v>142</v>
      </c>
      <c r="G279" s="27" t="s">
        <v>143</v>
      </c>
      <c r="H279" s="136">
        <v>45307</v>
      </c>
      <c r="I279" s="136"/>
      <c r="J279" s="27" t="s">
        <v>144</v>
      </c>
      <c r="K279" s="138">
        <v>1300000</v>
      </c>
      <c r="L279" s="27" t="s">
        <v>145</v>
      </c>
      <c r="M279" s="27" t="s">
        <v>203</v>
      </c>
      <c r="O279" s="213" t="s">
        <v>1710</v>
      </c>
      <c r="Q279" s="27" t="s">
        <v>148</v>
      </c>
      <c r="R279" s="27" t="s">
        <v>168</v>
      </c>
      <c r="S279" s="27" t="s">
        <v>150</v>
      </c>
      <c r="U279" s="37">
        <v>34615</v>
      </c>
      <c r="V279" s="27" t="s">
        <v>1707</v>
      </c>
      <c r="W279" s="27">
        <v>3238025618</v>
      </c>
      <c r="X279" s="27" t="s">
        <v>231</v>
      </c>
      <c r="Y279" s="27" t="s">
        <v>222</v>
      </c>
      <c r="Z279" s="27" t="s">
        <v>223</v>
      </c>
      <c r="AA279" s="27" t="s">
        <v>211</v>
      </c>
      <c r="AB279" s="27" t="s">
        <v>175</v>
      </c>
      <c r="AC279" s="27" t="s">
        <v>160</v>
      </c>
      <c r="AD279" s="27" t="s">
        <v>160</v>
      </c>
      <c r="AE279" s="27" t="s">
        <v>1369</v>
      </c>
      <c r="AF279" s="27" t="s">
        <v>176</v>
      </c>
      <c r="AG279" s="27" t="s">
        <v>177</v>
      </c>
      <c r="AI279" s="179"/>
      <c r="AP279" s="136">
        <v>45383</v>
      </c>
      <c r="AQ279" s="27" t="s">
        <v>52</v>
      </c>
      <c r="AT279" s="27" t="str">
        <f t="shared" si="8"/>
        <v>Inactivo</v>
      </c>
      <c r="AU279" s="27" cm="1">
        <f t="array" aca="1" ref="AU279" ca="1">_xlfn.IFS(AT279="","",AT279="Activo",TODAY()-H279,AT279="Inactivo",AP279-H279)</f>
        <v>76</v>
      </c>
      <c r="AV279" s="180">
        <f ca="1">IF(ISBLANK(Tabla1[[#This Row],[Fecha Nacimento (dd/mm/yyyy)]]),"",YEARFRAC(Tabla1[[#This Row],[Fecha Nacimento (dd/mm/yyyy)]],TODAY()))</f>
        <v>29.691666666666666</v>
      </c>
      <c r="AW279" s="141"/>
      <c r="AX279" s="27" t="str">
        <f t="shared" si="9"/>
        <v/>
      </c>
    </row>
    <row r="280" spans="1:50" s="27" customFormat="1" x14ac:dyDescent="0.25">
      <c r="A280" s="134">
        <v>280</v>
      </c>
      <c r="B280" s="27" t="s">
        <v>882</v>
      </c>
      <c r="C280" s="27" t="s">
        <v>226</v>
      </c>
      <c r="D280" s="27" t="s">
        <v>141</v>
      </c>
      <c r="E280" s="400">
        <v>2699869</v>
      </c>
      <c r="F280" s="27" t="s">
        <v>142</v>
      </c>
      <c r="G280" s="27" t="s">
        <v>143</v>
      </c>
      <c r="H280" s="136">
        <v>45307</v>
      </c>
      <c r="I280" s="136"/>
      <c r="J280" s="27" t="s">
        <v>144</v>
      </c>
      <c r="K280" s="140">
        <v>1300000</v>
      </c>
      <c r="L280" s="27" t="s">
        <v>145</v>
      </c>
      <c r="M280" s="27" t="s">
        <v>203</v>
      </c>
      <c r="O280" s="139" t="s">
        <v>1711</v>
      </c>
      <c r="Q280" s="27" t="s">
        <v>148</v>
      </c>
      <c r="R280" s="27" t="s">
        <v>149</v>
      </c>
      <c r="S280" s="27" t="s">
        <v>150</v>
      </c>
      <c r="T280" s="27" t="s">
        <v>884</v>
      </c>
      <c r="U280" s="37">
        <v>25593</v>
      </c>
      <c r="V280" s="27" t="s">
        <v>885</v>
      </c>
      <c r="W280" s="27" t="s">
        <v>886</v>
      </c>
      <c r="X280" s="27" t="s">
        <v>231</v>
      </c>
      <c r="Y280" s="27" t="s">
        <v>887</v>
      </c>
      <c r="Z280" s="27" t="s">
        <v>223</v>
      </c>
      <c r="AA280" s="27" t="s">
        <v>211</v>
      </c>
      <c r="AB280" s="27" t="s">
        <v>175</v>
      </c>
      <c r="AC280" s="27" t="s">
        <v>160</v>
      </c>
      <c r="AD280" s="27" t="s">
        <v>160</v>
      </c>
      <c r="AE280" s="27" t="s">
        <v>1369</v>
      </c>
      <c r="AF280" s="27" t="s">
        <v>176</v>
      </c>
      <c r="AG280" s="27" t="s">
        <v>177</v>
      </c>
      <c r="AI280" s="179"/>
      <c r="AP280" s="136"/>
      <c r="AT280" s="27" t="str">
        <f t="shared" si="8"/>
        <v>Activo</v>
      </c>
      <c r="AU280" s="27" cm="1">
        <f t="array" aca="1" ref="AU280" ca="1">_xlfn.IFS(AT280="","",AT280="Activo",TODAY()-H280,AT280="Inactivo",AP280-H280)</f>
        <v>153</v>
      </c>
      <c r="AV280" s="180">
        <f ca="1">IF(ISBLANK(Tabla1[[#This Row],[Fecha Nacimento (dd/mm/yyyy)]]),"",YEARFRAC(Tabla1[[#This Row],[Fecha Nacimento (dd/mm/yyyy)]],TODAY()))</f>
        <v>54.394444444444446</v>
      </c>
      <c r="AW280" s="141"/>
      <c r="AX280" s="27" t="str">
        <f t="shared" si="9"/>
        <v/>
      </c>
    </row>
    <row r="281" spans="1:50" s="27" customFormat="1" x14ac:dyDescent="0.25">
      <c r="A281" s="134">
        <v>281</v>
      </c>
      <c r="B281" s="27" t="s">
        <v>794</v>
      </c>
      <c r="C281" s="27" t="s">
        <v>795</v>
      </c>
      <c r="D281" s="27" t="s">
        <v>141</v>
      </c>
      <c r="E281" s="400">
        <v>1006439026</v>
      </c>
      <c r="F281" s="27" t="s">
        <v>142</v>
      </c>
      <c r="G281" s="27" t="s">
        <v>143</v>
      </c>
      <c r="H281" s="136">
        <v>45307</v>
      </c>
      <c r="I281" s="136"/>
      <c r="J281" s="27" t="s">
        <v>144</v>
      </c>
      <c r="K281" s="140">
        <v>1300000</v>
      </c>
      <c r="L281" s="27" t="s">
        <v>145</v>
      </c>
      <c r="M281" s="27" t="s">
        <v>203</v>
      </c>
      <c r="O281" s="139" t="s">
        <v>1712</v>
      </c>
      <c r="Q281" s="27" t="s">
        <v>148</v>
      </c>
      <c r="R281" s="27" t="s">
        <v>149</v>
      </c>
      <c r="S281" s="27" t="s">
        <v>150</v>
      </c>
      <c r="T281" s="27" t="s">
        <v>797</v>
      </c>
      <c r="U281" s="37">
        <v>34331</v>
      </c>
      <c r="V281" s="27" t="s">
        <v>1707</v>
      </c>
      <c r="W281" s="27">
        <v>3136562928</v>
      </c>
      <c r="X281" s="27" t="s">
        <v>231</v>
      </c>
      <c r="Y281" s="27" t="s">
        <v>222</v>
      </c>
      <c r="Z281" s="27" t="s">
        <v>223</v>
      </c>
      <c r="AA281" s="27" t="s">
        <v>211</v>
      </c>
      <c r="AB281" s="27" t="s">
        <v>175</v>
      </c>
      <c r="AC281" s="27" t="s">
        <v>160</v>
      </c>
      <c r="AD281" s="27" t="s">
        <v>160</v>
      </c>
      <c r="AE281" s="27" t="s">
        <v>1369</v>
      </c>
      <c r="AF281" s="27" t="s">
        <v>176</v>
      </c>
      <c r="AG281" s="27" t="s">
        <v>177</v>
      </c>
      <c r="AI281" s="179"/>
      <c r="AP281" s="136">
        <v>45355</v>
      </c>
      <c r="AQ281" s="27" t="s">
        <v>1190</v>
      </c>
      <c r="AT281" s="27" t="str">
        <f t="shared" si="8"/>
        <v>Inactivo</v>
      </c>
      <c r="AU281" s="27" cm="1">
        <f t="array" aca="1" ref="AU281" ca="1">_xlfn.IFS(AT281="","",AT281="Activo",TODAY()-H281,AT281="Inactivo",AP281-H281)</f>
        <v>48</v>
      </c>
      <c r="AV281" s="180">
        <f ca="1">IF(ISBLANK(Tabla1[[#This Row],[Fecha Nacimento (dd/mm/yyyy)]]),"",YEARFRAC(Tabla1[[#This Row],[Fecha Nacimento (dd/mm/yyyy)]],TODAY()))</f>
        <v>30.469444444444445</v>
      </c>
      <c r="AW281" s="141"/>
      <c r="AX281" s="27" t="str">
        <f t="shared" si="9"/>
        <v/>
      </c>
    </row>
    <row r="282" spans="1:50" s="27" customFormat="1" x14ac:dyDescent="0.25">
      <c r="A282" s="134">
        <v>282</v>
      </c>
      <c r="B282" s="27" t="s">
        <v>1350</v>
      </c>
      <c r="C282" s="27" t="s">
        <v>1351</v>
      </c>
      <c r="D282" s="27" t="s">
        <v>141</v>
      </c>
      <c r="E282" s="400">
        <v>1005368181</v>
      </c>
      <c r="F282" s="27" t="s">
        <v>142</v>
      </c>
      <c r="G282" s="27" t="s">
        <v>143</v>
      </c>
      <c r="H282" s="136">
        <v>45307</v>
      </c>
      <c r="I282" s="136"/>
      <c r="J282" s="27" t="s">
        <v>144</v>
      </c>
      <c r="K282" s="140">
        <v>1300000</v>
      </c>
      <c r="L282" s="27" t="s">
        <v>145</v>
      </c>
      <c r="M282" s="27" t="s">
        <v>203</v>
      </c>
      <c r="O282" s="139" t="s">
        <v>1352</v>
      </c>
      <c r="Q282" s="27" t="s">
        <v>148</v>
      </c>
      <c r="R282" s="27" t="s">
        <v>149</v>
      </c>
      <c r="S282" s="27" t="s">
        <v>150</v>
      </c>
      <c r="T282" s="27" t="s">
        <v>1353</v>
      </c>
      <c r="U282" s="37">
        <v>37381</v>
      </c>
      <c r="V282" s="27" t="s">
        <v>1713</v>
      </c>
      <c r="W282" s="27" t="s">
        <v>1355</v>
      </c>
      <c r="X282" s="27" t="s">
        <v>675</v>
      </c>
      <c r="Y282" s="27" t="s">
        <v>222</v>
      </c>
      <c r="Z282" s="27" t="s">
        <v>642</v>
      </c>
      <c r="AA282" s="27" t="s">
        <v>211</v>
      </c>
      <c r="AB282" s="27" t="s">
        <v>158</v>
      </c>
      <c r="AC282" s="27" t="s">
        <v>159</v>
      </c>
      <c r="AD282" s="27" t="s">
        <v>160</v>
      </c>
      <c r="AE282" s="27" t="s">
        <v>1369</v>
      </c>
      <c r="AF282" s="27" t="s">
        <v>176</v>
      </c>
      <c r="AG282" s="27" t="s">
        <v>177</v>
      </c>
      <c r="AI282" s="179"/>
      <c r="AP282" s="136">
        <v>45401</v>
      </c>
      <c r="AQ282" s="27" t="s">
        <v>52</v>
      </c>
      <c r="AT282" s="27" t="str">
        <f t="shared" si="8"/>
        <v>Inactivo</v>
      </c>
      <c r="AU282" s="27" cm="1">
        <f t="array" aca="1" ref="AU282" ca="1">_xlfn.IFS(AT282="","",AT282="Activo",TODAY()-H282,AT282="Inactivo",AP282-H282)</f>
        <v>94</v>
      </c>
      <c r="AV282" s="180">
        <f ca="1">IF(ISBLANK(Tabla1[[#This Row],[Fecha Nacimento (dd/mm/yyyy)]]),"",YEARFRAC(Tabla1[[#This Row],[Fecha Nacimento (dd/mm/yyyy)]],TODAY()))</f>
        <v>22.116666666666667</v>
      </c>
      <c r="AW282" s="141"/>
      <c r="AX282" s="27" t="str">
        <f t="shared" si="9"/>
        <v/>
      </c>
    </row>
    <row r="283" spans="1:50" s="27" customFormat="1" x14ac:dyDescent="0.25">
      <c r="A283" s="134">
        <v>283</v>
      </c>
      <c r="B283" s="27" t="s">
        <v>714</v>
      </c>
      <c r="C283" s="27" t="s">
        <v>888</v>
      </c>
      <c r="D283" s="27" t="s">
        <v>141</v>
      </c>
      <c r="E283" s="400">
        <v>94232663</v>
      </c>
      <c r="F283" s="27" t="s">
        <v>142</v>
      </c>
      <c r="G283" s="27" t="s">
        <v>143</v>
      </c>
      <c r="H283" s="136">
        <v>45307</v>
      </c>
      <c r="I283" s="136"/>
      <c r="J283" s="27" t="s">
        <v>144</v>
      </c>
      <c r="K283" s="140">
        <v>1412000</v>
      </c>
      <c r="L283" s="27" t="s">
        <v>145</v>
      </c>
      <c r="M283" s="27" t="s">
        <v>203</v>
      </c>
      <c r="O283" s="139" t="s">
        <v>889</v>
      </c>
      <c r="Q283" s="27" t="s">
        <v>148</v>
      </c>
      <c r="R283" s="27" t="s">
        <v>149</v>
      </c>
      <c r="S283" s="27" t="s">
        <v>150</v>
      </c>
      <c r="T283" s="27" t="s">
        <v>890</v>
      </c>
      <c r="U283" s="37">
        <v>28349</v>
      </c>
      <c r="V283" s="27" t="s">
        <v>891</v>
      </c>
      <c r="W283" s="27" t="s">
        <v>892</v>
      </c>
      <c r="X283" s="27" t="s">
        <v>231</v>
      </c>
      <c r="Y283" s="27" t="s">
        <v>887</v>
      </c>
      <c r="Z283" s="27" t="s">
        <v>893</v>
      </c>
      <c r="AA283" s="27" t="s">
        <v>211</v>
      </c>
      <c r="AB283" s="27" t="s">
        <v>212</v>
      </c>
      <c r="AC283" s="27" t="s">
        <v>159</v>
      </c>
      <c r="AD283" s="27" t="s">
        <v>160</v>
      </c>
      <c r="AE283" s="27" t="s">
        <v>1369</v>
      </c>
      <c r="AF283" s="27" t="s">
        <v>176</v>
      </c>
      <c r="AG283" s="27" t="s">
        <v>177</v>
      </c>
      <c r="AI283" s="179"/>
      <c r="AP283" s="136"/>
      <c r="AT283" s="27" t="str">
        <f t="shared" si="8"/>
        <v>Activo</v>
      </c>
      <c r="AU283" s="27" cm="1">
        <f t="array" aca="1" ref="AU283" ca="1">_xlfn.IFS(AT283="","",AT283="Activo",TODAY()-H283,AT283="Inactivo",AP283-H283)</f>
        <v>153</v>
      </c>
      <c r="AV283" s="180">
        <f ca="1">IF(ISBLANK(Tabla1[[#This Row],[Fecha Nacimento (dd/mm/yyyy)]]),"",YEARFRAC(Tabla1[[#This Row],[Fecha Nacimento (dd/mm/yyyy)]],TODAY()))</f>
        <v>46.847222222222221</v>
      </c>
      <c r="AW283" s="141"/>
      <c r="AX283" s="27" t="str">
        <f t="shared" si="9"/>
        <v/>
      </c>
    </row>
    <row r="284" spans="1:50" s="27" customFormat="1" x14ac:dyDescent="0.25">
      <c r="A284" s="134">
        <v>284</v>
      </c>
      <c r="B284" s="27" t="s">
        <v>1356</v>
      </c>
      <c r="C284" s="27" t="s">
        <v>1357</v>
      </c>
      <c r="D284" s="27" t="s">
        <v>141</v>
      </c>
      <c r="E284" s="400">
        <v>1037262274</v>
      </c>
      <c r="F284" s="27" t="s">
        <v>142</v>
      </c>
      <c r="G284" s="27" t="s">
        <v>143</v>
      </c>
      <c r="H284" s="136">
        <v>45307</v>
      </c>
      <c r="I284" s="136"/>
      <c r="J284" s="27" t="s">
        <v>144</v>
      </c>
      <c r="K284" s="140">
        <v>1300000</v>
      </c>
      <c r="L284" s="27" t="s">
        <v>145</v>
      </c>
      <c r="M284" s="27" t="s">
        <v>203</v>
      </c>
      <c r="O284" s="139" t="s">
        <v>1714</v>
      </c>
      <c r="Q284" s="27" t="s">
        <v>148</v>
      </c>
      <c r="R284" s="27" t="s">
        <v>149</v>
      </c>
      <c r="S284" s="27" t="s">
        <v>150</v>
      </c>
      <c r="T284" s="27" t="s">
        <v>1359</v>
      </c>
      <c r="U284" s="37">
        <v>38094</v>
      </c>
      <c r="V284" s="27" t="s">
        <v>1354</v>
      </c>
      <c r="W284" s="27" t="s">
        <v>1360</v>
      </c>
      <c r="X284" s="27" t="s">
        <v>675</v>
      </c>
      <c r="Y284" s="27" t="s">
        <v>222</v>
      </c>
      <c r="Z284" s="27" t="s">
        <v>642</v>
      </c>
      <c r="AA284" s="27" t="s">
        <v>211</v>
      </c>
      <c r="AB284" s="27" t="s">
        <v>175</v>
      </c>
      <c r="AC284" s="27" t="s">
        <v>159</v>
      </c>
      <c r="AD284" s="27" t="s">
        <v>160</v>
      </c>
      <c r="AE284" s="27" t="s">
        <v>1369</v>
      </c>
      <c r="AF284" s="27" t="s">
        <v>176</v>
      </c>
      <c r="AG284" s="27" t="s">
        <v>177</v>
      </c>
      <c r="AI284" s="179"/>
      <c r="AP284" s="136">
        <v>45412</v>
      </c>
      <c r="AQ284" s="27" t="s">
        <v>52</v>
      </c>
      <c r="AT284" s="27" t="str">
        <f t="shared" si="8"/>
        <v>Inactivo</v>
      </c>
      <c r="AU284" s="27" cm="1">
        <f t="array" aca="1" ref="AU284" ca="1">_xlfn.IFS(AT284="","",AT284="Activo",TODAY()-H284,AT284="Inactivo",AP284-H284)</f>
        <v>105</v>
      </c>
      <c r="AV284" s="180">
        <f ca="1">IF(ISBLANK(Tabla1[[#This Row],[Fecha Nacimento (dd/mm/yyyy)]]),"",YEARFRAC(Tabla1[[#This Row],[Fecha Nacimento (dd/mm/yyyy)]],TODAY()))</f>
        <v>20.166666666666668</v>
      </c>
      <c r="AW284" s="141"/>
      <c r="AX284" s="27" t="str">
        <f t="shared" si="9"/>
        <v/>
      </c>
    </row>
    <row r="285" spans="1:50" s="27" customFormat="1" x14ac:dyDescent="0.25">
      <c r="A285" s="134">
        <v>285</v>
      </c>
      <c r="B285" s="27" t="s">
        <v>772</v>
      </c>
      <c r="C285" s="27" t="s">
        <v>773</v>
      </c>
      <c r="D285" s="27" t="s">
        <v>141</v>
      </c>
      <c r="E285" s="400">
        <v>1113042417</v>
      </c>
      <c r="F285" s="27" t="s">
        <v>142</v>
      </c>
      <c r="G285" s="27" t="s">
        <v>143</v>
      </c>
      <c r="H285" s="136">
        <v>45307</v>
      </c>
      <c r="I285" s="136"/>
      <c r="J285" s="27" t="s">
        <v>144</v>
      </c>
      <c r="K285" s="140">
        <v>1300000</v>
      </c>
      <c r="L285" s="27" t="s">
        <v>145</v>
      </c>
      <c r="M285" s="27" t="s">
        <v>203</v>
      </c>
      <c r="O285" s="139" t="s">
        <v>1715</v>
      </c>
      <c r="Q285" s="27" t="s">
        <v>148</v>
      </c>
      <c r="R285" s="27" t="s">
        <v>149</v>
      </c>
      <c r="S285" s="27" t="s">
        <v>150</v>
      </c>
      <c r="T285" s="27" t="s">
        <v>775</v>
      </c>
      <c r="U285" s="37">
        <v>35861</v>
      </c>
      <c r="V285" s="27" t="s">
        <v>903</v>
      </c>
      <c r="W285" s="27">
        <v>3147207764</v>
      </c>
      <c r="X285" s="27" t="s">
        <v>675</v>
      </c>
      <c r="Y285" s="27" t="s">
        <v>222</v>
      </c>
      <c r="Z285" s="27" t="s">
        <v>223</v>
      </c>
      <c r="AA285" s="27" t="s">
        <v>211</v>
      </c>
      <c r="AB285" s="27" t="s">
        <v>186</v>
      </c>
      <c r="AC285" s="27" t="s">
        <v>160</v>
      </c>
      <c r="AD285" s="27" t="s">
        <v>160</v>
      </c>
      <c r="AE285" s="27" t="s">
        <v>1369</v>
      </c>
      <c r="AF285" s="27" t="s">
        <v>176</v>
      </c>
      <c r="AG285" s="27" t="s">
        <v>177</v>
      </c>
      <c r="AI285" s="179"/>
      <c r="AP285" s="136"/>
      <c r="AT285" s="27" t="str">
        <f t="shared" si="8"/>
        <v>Activo</v>
      </c>
      <c r="AU285" s="27" cm="1">
        <f t="array" aca="1" ref="AU285" ca="1">_xlfn.IFS(AT285="","",AT285="Activo",TODAY()-H285,AT285="Inactivo",AP285-H285)</f>
        <v>153</v>
      </c>
      <c r="AV285" s="180">
        <f ca="1">IF(ISBLANK(Tabla1[[#This Row],[Fecha Nacimento (dd/mm/yyyy)]]),"",YEARFRAC(Tabla1[[#This Row],[Fecha Nacimento (dd/mm/yyyy)]],TODAY()))</f>
        <v>26.277777777777779</v>
      </c>
      <c r="AW285" s="141"/>
      <c r="AX285" s="27" t="str">
        <f t="shared" si="9"/>
        <v/>
      </c>
    </row>
    <row r="286" spans="1:50" s="27" customFormat="1" x14ac:dyDescent="0.25">
      <c r="A286" s="134">
        <v>286</v>
      </c>
      <c r="B286" s="27" t="s">
        <v>225</v>
      </c>
      <c r="C286" s="27" t="s">
        <v>226</v>
      </c>
      <c r="D286" s="27" t="s">
        <v>141</v>
      </c>
      <c r="E286" s="400">
        <v>94230001</v>
      </c>
      <c r="F286" s="27" t="s">
        <v>142</v>
      </c>
      <c r="G286" s="27" t="s">
        <v>143</v>
      </c>
      <c r="H286" s="136">
        <v>45307</v>
      </c>
      <c r="I286" s="136"/>
      <c r="J286" s="27" t="s">
        <v>144</v>
      </c>
      <c r="K286" s="140">
        <v>1390000</v>
      </c>
      <c r="L286" s="27" t="s">
        <v>145</v>
      </c>
      <c r="M286" s="27" t="s">
        <v>227</v>
      </c>
      <c r="O286" s="139" t="s">
        <v>1716</v>
      </c>
      <c r="Q286" s="27" t="s">
        <v>148</v>
      </c>
      <c r="R286" s="27" t="s">
        <v>149</v>
      </c>
      <c r="S286" s="27" t="s">
        <v>150</v>
      </c>
      <c r="T286" s="27" t="s">
        <v>228</v>
      </c>
      <c r="U286" s="37">
        <v>27538</v>
      </c>
      <c r="V286" s="27" t="s">
        <v>229</v>
      </c>
      <c r="W286" s="27" t="s">
        <v>230</v>
      </c>
      <c r="X286" s="27" t="s">
        <v>231</v>
      </c>
      <c r="Y286" s="27" t="s">
        <v>222</v>
      </c>
      <c r="Z286" s="27" t="s">
        <v>232</v>
      </c>
      <c r="AA286" s="27" t="s">
        <v>211</v>
      </c>
      <c r="AB286" s="27" t="s">
        <v>233</v>
      </c>
      <c r="AC286" s="27" t="s">
        <v>159</v>
      </c>
      <c r="AD286" s="27" t="s">
        <v>160</v>
      </c>
      <c r="AE286" s="27" t="s">
        <v>1369</v>
      </c>
      <c r="AF286" s="27" t="s">
        <v>176</v>
      </c>
      <c r="AG286" s="27" t="s">
        <v>177</v>
      </c>
      <c r="AI286" s="179"/>
      <c r="AP286" s="136"/>
      <c r="AT286" s="27" t="str">
        <f t="shared" si="8"/>
        <v>Activo</v>
      </c>
      <c r="AU286" s="27" cm="1">
        <f t="array" aca="1" ref="AU286" ca="1">_xlfn.IFS(AT286="","",AT286="Activo",TODAY()-H286,AT286="Inactivo",AP286-H286)</f>
        <v>153</v>
      </c>
      <c r="AV286" s="180">
        <f ca="1">IF(ISBLANK(Tabla1[[#This Row],[Fecha Nacimento (dd/mm/yyyy)]]),"",YEARFRAC(Tabla1[[#This Row],[Fecha Nacimento (dd/mm/yyyy)]],TODAY()))</f>
        <v>49.06388888888889</v>
      </c>
      <c r="AW286" s="141"/>
      <c r="AX286" s="27" t="str">
        <f t="shared" si="9"/>
        <v/>
      </c>
    </row>
    <row r="287" spans="1:50" s="27" customFormat="1" x14ac:dyDescent="0.25">
      <c r="A287" s="134">
        <v>287</v>
      </c>
      <c r="B287" s="27" t="s">
        <v>1717</v>
      </c>
      <c r="C287" s="27" t="s">
        <v>1718</v>
      </c>
      <c r="D287" s="27" t="s">
        <v>1600</v>
      </c>
      <c r="E287" s="400">
        <v>5485572</v>
      </c>
      <c r="F287" s="27" t="s">
        <v>142</v>
      </c>
      <c r="G287" s="27" t="s">
        <v>143</v>
      </c>
      <c r="H287" s="136">
        <v>45307</v>
      </c>
      <c r="I287" s="136"/>
      <c r="J287" s="27" t="s">
        <v>144</v>
      </c>
      <c r="K287" s="138">
        <v>1300000</v>
      </c>
      <c r="L287" s="27" t="s">
        <v>145</v>
      </c>
      <c r="M287" s="27" t="s">
        <v>227</v>
      </c>
      <c r="O287" s="139" t="s">
        <v>1719</v>
      </c>
      <c r="Q287" s="27" t="s">
        <v>148</v>
      </c>
      <c r="R287" s="27" t="s">
        <v>168</v>
      </c>
      <c r="S287" s="27" t="s">
        <v>150</v>
      </c>
      <c r="U287" s="37">
        <v>35626</v>
      </c>
      <c r="V287" s="27" t="s">
        <v>1707</v>
      </c>
      <c r="W287" s="27">
        <v>3128020484</v>
      </c>
      <c r="X287" s="27" t="s">
        <v>231</v>
      </c>
      <c r="Y287" s="27" t="s">
        <v>222</v>
      </c>
      <c r="Z287" s="27" t="s">
        <v>223</v>
      </c>
      <c r="AA287" s="27" t="s">
        <v>211</v>
      </c>
      <c r="AB287" s="27" t="s">
        <v>233</v>
      </c>
      <c r="AC287" s="27" t="s">
        <v>160</v>
      </c>
      <c r="AD287" s="27" t="s">
        <v>160</v>
      </c>
      <c r="AE287" s="27" t="s">
        <v>1369</v>
      </c>
      <c r="AF287" s="27" t="s">
        <v>176</v>
      </c>
      <c r="AG287" s="27" t="s">
        <v>177</v>
      </c>
      <c r="AI287" s="179"/>
      <c r="AP287" s="136"/>
      <c r="AT287" s="27" t="str">
        <f t="shared" si="8"/>
        <v>Activo</v>
      </c>
      <c r="AU287" s="27" cm="1">
        <f t="array" aca="1" ref="AU287" ca="1">_xlfn.IFS(AT287="","",AT287="Activo",TODAY()-H287,AT287="Inactivo",AP287-H287)</f>
        <v>153</v>
      </c>
      <c r="AV287" s="180">
        <f ca="1">IF(ISBLANK(Tabla1[[#This Row],[Fecha Nacimento (dd/mm/yyyy)]]),"",YEARFRAC(Tabla1[[#This Row],[Fecha Nacimento (dd/mm/yyyy)]],TODAY()))</f>
        <v>26.922222222222221</v>
      </c>
      <c r="AW287" s="141"/>
      <c r="AX287" s="27" t="str">
        <f t="shared" si="9"/>
        <v/>
      </c>
    </row>
    <row r="288" spans="1:50" s="27" customFormat="1" x14ac:dyDescent="0.25">
      <c r="A288" s="134">
        <v>288</v>
      </c>
      <c r="B288" s="27" t="s">
        <v>273</v>
      </c>
      <c r="C288" s="27" t="s">
        <v>274</v>
      </c>
      <c r="D288" s="27" t="s">
        <v>141</v>
      </c>
      <c r="E288" s="400">
        <v>2699801</v>
      </c>
      <c r="F288" s="27" t="s">
        <v>142</v>
      </c>
      <c r="G288" s="27" t="s">
        <v>143</v>
      </c>
      <c r="H288" s="136">
        <v>45307</v>
      </c>
      <c r="I288" s="136"/>
      <c r="J288" s="27" t="s">
        <v>144</v>
      </c>
      <c r="K288" s="140">
        <v>1300000</v>
      </c>
      <c r="L288" s="27" t="s">
        <v>145</v>
      </c>
      <c r="M288" s="27" t="s">
        <v>227</v>
      </c>
      <c r="O288" s="139" t="s">
        <v>1720</v>
      </c>
      <c r="Q288" s="27" t="s">
        <v>148</v>
      </c>
      <c r="R288" s="27" t="s">
        <v>149</v>
      </c>
      <c r="S288" s="27" t="s">
        <v>150</v>
      </c>
      <c r="T288" s="27" t="s">
        <v>242</v>
      </c>
      <c r="U288" s="37">
        <v>24861</v>
      </c>
      <c r="V288" s="27" t="s">
        <v>219</v>
      </c>
      <c r="W288" s="27" t="s">
        <v>275</v>
      </c>
      <c r="X288" s="27" t="s">
        <v>231</v>
      </c>
      <c r="Y288" s="27" t="s">
        <v>222</v>
      </c>
      <c r="Z288" s="27" t="s">
        <v>223</v>
      </c>
      <c r="AA288" s="27" t="s">
        <v>211</v>
      </c>
      <c r="AB288" s="27" t="s">
        <v>175</v>
      </c>
      <c r="AC288" s="27" t="s">
        <v>159</v>
      </c>
      <c r="AD288" s="27" t="s">
        <v>271</v>
      </c>
      <c r="AE288" s="27" t="s">
        <v>1369</v>
      </c>
      <c r="AF288" s="27" t="s">
        <v>176</v>
      </c>
      <c r="AG288" s="27" t="s">
        <v>177</v>
      </c>
      <c r="AI288" s="179"/>
      <c r="AP288" s="136"/>
      <c r="AT288" s="27" t="str">
        <f t="shared" si="8"/>
        <v>Activo</v>
      </c>
      <c r="AU288" s="27" cm="1">
        <f t="array" aca="1" ref="AU288" ca="1">_xlfn.IFS(AT288="","",AT288="Activo",TODAY()-H288,AT288="Inactivo",AP288-H288)</f>
        <v>153</v>
      </c>
      <c r="AV288" s="180">
        <f ca="1">IF(ISBLANK(Tabla1[[#This Row],[Fecha Nacimento (dd/mm/yyyy)]]),"",YEARFRAC(Tabla1[[#This Row],[Fecha Nacimento (dd/mm/yyyy)]],TODAY()))</f>
        <v>56.397222222222226</v>
      </c>
      <c r="AW288" s="141"/>
      <c r="AX288" s="27" t="str">
        <f t="shared" si="9"/>
        <v/>
      </c>
    </row>
    <row r="289" spans="1:50" s="27" customFormat="1" x14ac:dyDescent="0.25">
      <c r="A289" s="134">
        <v>289</v>
      </c>
      <c r="B289" s="27" t="s">
        <v>235</v>
      </c>
      <c r="C289" s="27" t="s">
        <v>236</v>
      </c>
      <c r="D289" s="27" t="s">
        <v>141</v>
      </c>
      <c r="E289" s="400">
        <v>2699896</v>
      </c>
      <c r="F289" s="27" t="s">
        <v>142</v>
      </c>
      <c r="G289" s="27" t="s">
        <v>143</v>
      </c>
      <c r="H289" s="136">
        <v>45307</v>
      </c>
      <c r="I289" s="136"/>
      <c r="J289" s="27" t="s">
        <v>144</v>
      </c>
      <c r="K289" s="140">
        <v>1300000</v>
      </c>
      <c r="L289" s="27" t="s">
        <v>145</v>
      </c>
      <c r="M289" s="27" t="s">
        <v>227</v>
      </c>
      <c r="O289" s="27" t="s">
        <v>217</v>
      </c>
      <c r="Q289" s="27" t="s">
        <v>148</v>
      </c>
      <c r="R289" s="27" t="s">
        <v>149</v>
      </c>
      <c r="S289" s="27" t="s">
        <v>150</v>
      </c>
      <c r="T289" s="27" t="s">
        <v>237</v>
      </c>
      <c r="U289" s="37">
        <v>27560</v>
      </c>
      <c r="V289" s="27" t="s">
        <v>238</v>
      </c>
      <c r="W289" s="27" t="s">
        <v>239</v>
      </c>
      <c r="X289" s="27" t="s">
        <v>231</v>
      </c>
      <c r="Y289" s="27" t="s">
        <v>222</v>
      </c>
      <c r="Z289" s="27" t="s">
        <v>223</v>
      </c>
      <c r="AA289" s="27" t="s">
        <v>211</v>
      </c>
      <c r="AB289" s="27" t="s">
        <v>233</v>
      </c>
      <c r="AC289" s="27" t="s">
        <v>160</v>
      </c>
      <c r="AD289" s="27" t="s">
        <v>160</v>
      </c>
      <c r="AE289" s="27" t="s">
        <v>1369</v>
      </c>
      <c r="AF289" s="27" t="s">
        <v>176</v>
      </c>
      <c r="AG289" s="27" t="s">
        <v>177</v>
      </c>
      <c r="AI289" s="179"/>
      <c r="AP289" s="136">
        <v>45355</v>
      </c>
      <c r="AQ289" s="27" t="s">
        <v>1190</v>
      </c>
      <c r="AT289" s="27" t="str">
        <f t="shared" si="8"/>
        <v>Inactivo</v>
      </c>
      <c r="AU289" s="27" cm="1">
        <f t="array" aca="1" ref="AU289" ca="1">_xlfn.IFS(AT289="","",AT289="Activo",TODAY()-H289,AT289="Inactivo",AP289-H289)</f>
        <v>48</v>
      </c>
      <c r="AV289" s="180">
        <f ca="1">IF(ISBLANK(Tabla1[[#This Row],[Fecha Nacimento (dd/mm/yyyy)]]),"",YEARFRAC(Tabla1[[#This Row],[Fecha Nacimento (dd/mm/yyyy)]],TODAY()))</f>
        <v>49.005555555555553</v>
      </c>
      <c r="AW289" s="141"/>
      <c r="AX289" s="27" t="str">
        <f t="shared" si="9"/>
        <v/>
      </c>
    </row>
    <row r="290" spans="1:50" s="27" customFormat="1" x14ac:dyDescent="0.25">
      <c r="A290" s="134">
        <v>290</v>
      </c>
      <c r="B290" s="27" t="s">
        <v>240</v>
      </c>
      <c r="C290" s="27" t="s">
        <v>241</v>
      </c>
      <c r="D290" s="27" t="s">
        <v>141</v>
      </c>
      <c r="E290" s="400">
        <v>6423539</v>
      </c>
      <c r="F290" s="27" t="s">
        <v>142</v>
      </c>
      <c r="G290" s="27" t="s">
        <v>143</v>
      </c>
      <c r="H290" s="136">
        <v>45307</v>
      </c>
      <c r="I290" s="136"/>
      <c r="J290" s="27" t="s">
        <v>144</v>
      </c>
      <c r="K290" s="140">
        <v>1300000</v>
      </c>
      <c r="L290" s="27" t="s">
        <v>145</v>
      </c>
      <c r="M290" s="27" t="s">
        <v>227</v>
      </c>
      <c r="O290" s="139" t="s">
        <v>1721</v>
      </c>
      <c r="Q290" s="27" t="s">
        <v>148</v>
      </c>
      <c r="R290" s="27" t="s">
        <v>149</v>
      </c>
      <c r="S290" s="27" t="s">
        <v>150</v>
      </c>
      <c r="T290" s="27" t="s">
        <v>242</v>
      </c>
      <c r="U290" s="37">
        <v>25412</v>
      </c>
      <c r="V290" s="27" t="s">
        <v>238</v>
      </c>
      <c r="W290" s="27" t="s">
        <v>243</v>
      </c>
      <c r="X290" s="27" t="s">
        <v>231</v>
      </c>
      <c r="Y290" s="27" t="s">
        <v>222</v>
      </c>
      <c r="Z290" s="27" t="s">
        <v>223</v>
      </c>
      <c r="AA290" s="27" t="s">
        <v>211</v>
      </c>
      <c r="AB290" s="27" t="s">
        <v>233</v>
      </c>
      <c r="AC290" s="27" t="s">
        <v>159</v>
      </c>
      <c r="AD290" s="27" t="s">
        <v>160</v>
      </c>
      <c r="AE290" s="27" t="s">
        <v>1369</v>
      </c>
      <c r="AF290" s="27" t="s">
        <v>176</v>
      </c>
      <c r="AG290" s="27" t="s">
        <v>177</v>
      </c>
      <c r="AI290" s="179"/>
      <c r="AP290" s="136"/>
      <c r="AT290" s="27" t="str">
        <f t="shared" si="8"/>
        <v>Activo</v>
      </c>
      <c r="AU290" s="27" cm="1">
        <f t="array" aca="1" ref="AU290" ca="1">_xlfn.IFS(AT290="","",AT290="Activo",TODAY()-H290,AT290="Inactivo",AP290-H290)</f>
        <v>153</v>
      </c>
      <c r="AV290" s="180">
        <f ca="1">IF(ISBLANK(Tabla1[[#This Row],[Fecha Nacimento (dd/mm/yyyy)]]),"",YEARFRAC(Tabla1[[#This Row],[Fecha Nacimento (dd/mm/yyyy)]],TODAY()))</f>
        <v>54.886111111111113</v>
      </c>
      <c r="AW290" s="141"/>
      <c r="AX290" s="27" t="str">
        <f t="shared" si="9"/>
        <v/>
      </c>
    </row>
    <row r="291" spans="1:50" s="27" customFormat="1" x14ac:dyDescent="0.25">
      <c r="A291" s="134">
        <v>291</v>
      </c>
      <c r="B291" s="27" t="s">
        <v>244</v>
      </c>
      <c r="C291" s="27" t="s">
        <v>245</v>
      </c>
      <c r="D291" s="27" t="s">
        <v>141</v>
      </c>
      <c r="E291" s="400">
        <v>2699711</v>
      </c>
      <c r="F291" s="27" t="s">
        <v>142</v>
      </c>
      <c r="G291" s="27" t="s">
        <v>143</v>
      </c>
      <c r="H291" s="136">
        <v>45307</v>
      </c>
      <c r="I291" s="136"/>
      <c r="J291" s="27" t="s">
        <v>144</v>
      </c>
      <c r="K291" s="140">
        <v>1300000</v>
      </c>
      <c r="L291" s="27" t="s">
        <v>145</v>
      </c>
      <c r="M291" s="27" t="s">
        <v>227</v>
      </c>
      <c r="O291" s="139" t="s">
        <v>1722</v>
      </c>
      <c r="Q291" s="27" t="s">
        <v>148</v>
      </c>
      <c r="R291" s="27" t="s">
        <v>149</v>
      </c>
      <c r="S291" s="27" t="s">
        <v>150</v>
      </c>
      <c r="T291" s="27" t="s">
        <v>246</v>
      </c>
      <c r="U291" s="37">
        <v>22584</v>
      </c>
      <c r="V291" s="27" t="s">
        <v>229</v>
      </c>
      <c r="W291" s="27" t="s">
        <v>247</v>
      </c>
      <c r="X291" s="27" t="s">
        <v>231</v>
      </c>
      <c r="Y291" s="27" t="s">
        <v>222</v>
      </c>
      <c r="Z291" s="27" t="s">
        <v>223</v>
      </c>
      <c r="AA291" s="27" t="s">
        <v>211</v>
      </c>
      <c r="AB291" s="27" t="s">
        <v>175</v>
      </c>
      <c r="AC291" s="27" t="s">
        <v>159</v>
      </c>
      <c r="AD291" s="27" t="s">
        <v>160</v>
      </c>
      <c r="AE291" s="27" t="s">
        <v>1369</v>
      </c>
      <c r="AF291" s="27" t="s">
        <v>176</v>
      </c>
      <c r="AG291" s="27" t="s">
        <v>177</v>
      </c>
      <c r="AI291" s="179"/>
      <c r="AP291" s="136"/>
      <c r="AT291" s="27" t="str">
        <f t="shared" si="8"/>
        <v>Activo</v>
      </c>
      <c r="AU291" s="27" cm="1">
        <f t="array" aca="1" ref="AU291" ca="1">_xlfn.IFS(AT291="","",AT291="Activo",TODAY()-H291,AT291="Inactivo",AP291-H291)</f>
        <v>153</v>
      </c>
      <c r="AV291" s="180">
        <f ca="1">IF(ISBLANK(Tabla1[[#This Row],[Fecha Nacimento (dd/mm/yyyy)]]),"",YEARFRAC(Tabla1[[#This Row],[Fecha Nacimento (dd/mm/yyyy)]],TODAY()))</f>
        <v>62.630555555555553</v>
      </c>
      <c r="AW291" s="141"/>
      <c r="AX291" s="27" t="str">
        <f t="shared" si="9"/>
        <v/>
      </c>
    </row>
    <row r="292" spans="1:50" s="27" customFormat="1" x14ac:dyDescent="0.25">
      <c r="A292" s="134">
        <v>292</v>
      </c>
      <c r="B292" s="27" t="s">
        <v>636</v>
      </c>
      <c r="C292" s="27" t="s">
        <v>637</v>
      </c>
      <c r="D292" s="27" t="s">
        <v>141</v>
      </c>
      <c r="E292" s="400">
        <v>6558638</v>
      </c>
      <c r="F292" s="27" t="s">
        <v>142</v>
      </c>
      <c r="G292" s="27" t="s">
        <v>143</v>
      </c>
      <c r="H292" s="136">
        <v>45307</v>
      </c>
      <c r="I292" s="136"/>
      <c r="J292" s="27" t="s">
        <v>144</v>
      </c>
      <c r="K292" s="140">
        <v>1624000</v>
      </c>
      <c r="L292" s="27" t="s">
        <v>145</v>
      </c>
      <c r="M292" s="27" t="s">
        <v>638</v>
      </c>
      <c r="O292" s="139" t="s">
        <v>1723</v>
      </c>
      <c r="Q292" s="27" t="s">
        <v>148</v>
      </c>
      <c r="R292" s="27" t="s">
        <v>149</v>
      </c>
      <c r="S292" s="27" t="s">
        <v>150</v>
      </c>
      <c r="T292" s="27" t="s">
        <v>639</v>
      </c>
      <c r="U292" s="37">
        <v>20744</v>
      </c>
      <c r="V292" s="27" t="s">
        <v>1724</v>
      </c>
      <c r="W292" s="27" t="s">
        <v>641</v>
      </c>
      <c r="X292" s="27" t="s">
        <v>231</v>
      </c>
      <c r="Y292" s="27" t="s">
        <v>222</v>
      </c>
      <c r="Z292" s="27" t="s">
        <v>642</v>
      </c>
      <c r="AA292" s="27" t="s">
        <v>211</v>
      </c>
      <c r="AB292" s="27" t="s">
        <v>233</v>
      </c>
      <c r="AC292" s="27" t="s">
        <v>160</v>
      </c>
      <c r="AD292" s="27" t="s">
        <v>160</v>
      </c>
      <c r="AE292" s="27" t="s">
        <v>1369</v>
      </c>
      <c r="AF292" s="27" t="s">
        <v>176</v>
      </c>
      <c r="AG292" s="27" t="s">
        <v>177</v>
      </c>
      <c r="AI292" s="179"/>
      <c r="AP292" s="136"/>
      <c r="AT292" s="27" t="str">
        <f t="shared" si="8"/>
        <v>Activo</v>
      </c>
      <c r="AU292" s="27" cm="1">
        <f t="array" aca="1" ref="AU292" ca="1">_xlfn.IFS(AT292="","",AT292="Activo",TODAY()-H292,AT292="Inactivo",AP292-H292)</f>
        <v>153</v>
      </c>
      <c r="AV292" s="180">
        <f ca="1">IF(ISBLANK(Tabla1[[#This Row],[Fecha Nacimento (dd/mm/yyyy)]]),"",YEARFRAC(Tabla1[[#This Row],[Fecha Nacimento (dd/mm/yyyy)]],TODAY()))</f>
        <v>67.669444444444451</v>
      </c>
      <c r="AW292" s="141"/>
      <c r="AX292" s="27" t="str">
        <f t="shared" si="9"/>
        <v/>
      </c>
    </row>
    <row r="293" spans="1:50" s="27" customFormat="1" x14ac:dyDescent="0.25">
      <c r="A293" s="134">
        <v>293</v>
      </c>
      <c r="B293" s="27" t="s">
        <v>894</v>
      </c>
      <c r="C293" s="27" t="s">
        <v>895</v>
      </c>
      <c r="D293" s="27" t="s">
        <v>141</v>
      </c>
      <c r="E293" s="400">
        <v>1116435166</v>
      </c>
      <c r="F293" s="27" t="s">
        <v>142</v>
      </c>
      <c r="G293" s="27" t="s">
        <v>143</v>
      </c>
      <c r="H293" s="136">
        <v>45307</v>
      </c>
      <c r="I293" s="136"/>
      <c r="J293" s="27" t="s">
        <v>144</v>
      </c>
      <c r="K293" s="140">
        <v>1412000</v>
      </c>
      <c r="L293" s="27" t="s">
        <v>145</v>
      </c>
      <c r="M293" s="27" t="s">
        <v>203</v>
      </c>
      <c r="O293" s="139" t="s">
        <v>896</v>
      </c>
      <c r="Q293" s="27" t="s">
        <v>148</v>
      </c>
      <c r="R293" s="27" t="s">
        <v>149</v>
      </c>
      <c r="S293" s="27" t="s">
        <v>150</v>
      </c>
      <c r="T293" s="27" t="s">
        <v>897</v>
      </c>
      <c r="U293" s="37">
        <v>32013</v>
      </c>
      <c r="V293" s="27" t="s">
        <v>885</v>
      </c>
      <c r="W293" s="27">
        <v>3164430997</v>
      </c>
      <c r="X293" s="27" t="s">
        <v>231</v>
      </c>
      <c r="Y293" s="27" t="s">
        <v>887</v>
      </c>
      <c r="Z293" s="27" t="s">
        <v>893</v>
      </c>
      <c r="AA293" s="27" t="s">
        <v>211</v>
      </c>
      <c r="AB293" s="27" t="s">
        <v>416</v>
      </c>
      <c r="AC293" s="27" t="s">
        <v>160</v>
      </c>
      <c r="AD293" s="27" t="s">
        <v>160</v>
      </c>
      <c r="AE293" s="27" t="s">
        <v>1369</v>
      </c>
      <c r="AF293" s="27" t="s">
        <v>176</v>
      </c>
      <c r="AG293" s="27" t="s">
        <v>177</v>
      </c>
      <c r="AI293" s="179"/>
      <c r="AP293" s="136"/>
      <c r="AT293" s="27" t="str">
        <f t="shared" si="8"/>
        <v>Activo</v>
      </c>
      <c r="AU293" s="27" cm="1">
        <f t="array" aca="1" ref="AU293" ca="1">_xlfn.IFS(AT293="","",AT293="Activo",TODAY()-H293,AT293="Inactivo",AP293-H293)</f>
        <v>153</v>
      </c>
      <c r="AV293" s="180">
        <f ca="1">IF(ISBLANK(Tabla1[[#This Row],[Fecha Nacimento (dd/mm/yyyy)]]),"",YEARFRAC(Tabla1[[#This Row],[Fecha Nacimento (dd/mm/yyyy)]],TODAY()))</f>
        <v>36.81388888888889</v>
      </c>
      <c r="AW293" s="141"/>
      <c r="AX293" s="27" t="str">
        <f t="shared" si="9"/>
        <v/>
      </c>
    </row>
    <row r="294" spans="1:50" s="27" customFormat="1" x14ac:dyDescent="0.25">
      <c r="A294" s="134">
        <v>294</v>
      </c>
      <c r="B294" s="27" t="s">
        <v>1725</v>
      </c>
      <c r="C294" s="27" t="s">
        <v>1726</v>
      </c>
      <c r="D294" s="27" t="s">
        <v>141</v>
      </c>
      <c r="E294" s="400">
        <v>1116445312</v>
      </c>
      <c r="F294" s="27" t="s">
        <v>142</v>
      </c>
      <c r="G294" s="27" t="s">
        <v>143</v>
      </c>
      <c r="H294" s="136">
        <v>45307</v>
      </c>
      <c r="I294" s="136"/>
      <c r="J294" s="27" t="s">
        <v>144</v>
      </c>
      <c r="K294" s="138">
        <v>1300000</v>
      </c>
      <c r="L294" s="27" t="s">
        <v>145</v>
      </c>
      <c r="M294" s="27" t="s">
        <v>227</v>
      </c>
      <c r="O294" s="139" t="s">
        <v>1727</v>
      </c>
      <c r="Q294" s="27" t="s">
        <v>148</v>
      </c>
      <c r="R294" s="27" t="s">
        <v>168</v>
      </c>
      <c r="S294" s="27" t="s">
        <v>150</v>
      </c>
      <c r="U294" s="37">
        <v>34962</v>
      </c>
      <c r="V294" s="27" t="s">
        <v>1707</v>
      </c>
      <c r="W294" s="27">
        <v>3154334725</v>
      </c>
      <c r="X294" s="27" t="s">
        <v>231</v>
      </c>
      <c r="Y294" s="27" t="s">
        <v>222</v>
      </c>
      <c r="Z294" s="27" t="s">
        <v>223</v>
      </c>
      <c r="AA294" s="27" t="s">
        <v>211</v>
      </c>
      <c r="AB294" s="27" t="s">
        <v>233</v>
      </c>
      <c r="AC294" s="27" t="s">
        <v>160</v>
      </c>
      <c r="AD294" s="27" t="s">
        <v>160</v>
      </c>
      <c r="AE294" s="27" t="s">
        <v>1369</v>
      </c>
      <c r="AF294" s="27" t="s">
        <v>162</v>
      </c>
      <c r="AG294" s="27" t="s">
        <v>177</v>
      </c>
      <c r="AI294" s="179"/>
      <c r="AP294" s="136">
        <v>45397</v>
      </c>
      <c r="AQ294" s="27" t="s">
        <v>52</v>
      </c>
      <c r="AT294" s="27" t="str">
        <f t="shared" si="8"/>
        <v>Inactivo</v>
      </c>
      <c r="AU294" s="27" cm="1">
        <f t="array" aca="1" ref="AU294" ca="1">_xlfn.IFS(AT294="","",AT294="Activo",TODAY()-H294,AT294="Inactivo",AP294-H294)</f>
        <v>90</v>
      </c>
      <c r="AV294" s="180">
        <f ca="1">IF(ISBLANK(Tabla1[[#This Row],[Fecha Nacimento (dd/mm/yyyy)]]),"",YEARFRAC(Tabla1[[#This Row],[Fecha Nacimento (dd/mm/yyyy)]],TODAY()))</f>
        <v>28.741666666666667</v>
      </c>
      <c r="AW294" s="141"/>
      <c r="AX294" s="27" t="str">
        <f t="shared" si="9"/>
        <v/>
      </c>
    </row>
    <row r="295" spans="1:50" s="27" customFormat="1" x14ac:dyDescent="0.25">
      <c r="A295" s="134">
        <v>295</v>
      </c>
      <c r="B295" s="27" t="s">
        <v>248</v>
      </c>
      <c r="C295" s="27" t="s">
        <v>249</v>
      </c>
      <c r="D295" s="27" t="s">
        <v>141</v>
      </c>
      <c r="E295" s="400">
        <v>2699672</v>
      </c>
      <c r="F295" s="27" t="s">
        <v>142</v>
      </c>
      <c r="G295" s="27" t="s">
        <v>143</v>
      </c>
      <c r="H295" s="136">
        <v>45307</v>
      </c>
      <c r="I295" s="136"/>
      <c r="J295" s="27" t="s">
        <v>144</v>
      </c>
      <c r="K295" s="140">
        <v>1300000</v>
      </c>
      <c r="L295" s="27" t="s">
        <v>145</v>
      </c>
      <c r="M295" s="27" t="s">
        <v>227</v>
      </c>
      <c r="O295" s="139" t="s">
        <v>1728</v>
      </c>
      <c r="Q295" s="27" t="s">
        <v>148</v>
      </c>
      <c r="R295" s="27" t="s">
        <v>149</v>
      </c>
      <c r="S295" s="27" t="s">
        <v>150</v>
      </c>
      <c r="T295" s="27" t="s">
        <v>250</v>
      </c>
      <c r="U295" s="37">
        <v>20323</v>
      </c>
      <c r="V295" s="27" t="s">
        <v>238</v>
      </c>
      <c r="W295" s="27" t="s">
        <v>251</v>
      </c>
      <c r="X295" s="27" t="s">
        <v>231</v>
      </c>
      <c r="Y295" s="27" t="s">
        <v>222</v>
      </c>
      <c r="Z295" s="27" t="s">
        <v>223</v>
      </c>
      <c r="AA295" s="27" t="s">
        <v>211</v>
      </c>
      <c r="AB295" s="27" t="s">
        <v>175</v>
      </c>
      <c r="AC295" s="27" t="s">
        <v>159</v>
      </c>
      <c r="AD295" s="27" t="s">
        <v>160</v>
      </c>
      <c r="AE295" s="27" t="s">
        <v>1369</v>
      </c>
      <c r="AF295" s="27" t="s">
        <v>176</v>
      </c>
      <c r="AG295" s="27" t="s">
        <v>177</v>
      </c>
      <c r="AI295" s="179"/>
      <c r="AP295" s="136"/>
      <c r="AT295" s="27" t="str">
        <f t="shared" si="8"/>
        <v>Activo</v>
      </c>
      <c r="AU295" s="27" cm="1">
        <f t="array" aca="1" ref="AU295" ca="1">_xlfn.IFS(AT295="","",AT295="Activo",TODAY()-H295,AT295="Inactivo",AP295-H295)</f>
        <v>153</v>
      </c>
      <c r="AV295" s="180">
        <f ca="1">IF(ISBLANK(Tabla1[[#This Row],[Fecha Nacimento (dd/mm/yyyy)]]),"",YEARFRAC(Tabla1[[#This Row],[Fecha Nacimento (dd/mm/yyyy)]],TODAY()))</f>
        <v>68.819444444444443</v>
      </c>
      <c r="AW295" s="141"/>
      <c r="AX295" s="27" t="str">
        <f t="shared" si="9"/>
        <v/>
      </c>
    </row>
    <row r="296" spans="1:50" s="187" customFormat="1" x14ac:dyDescent="0.25">
      <c r="A296" s="134">
        <v>296</v>
      </c>
      <c r="B296" s="27" t="s">
        <v>754</v>
      </c>
      <c r="C296" s="27" t="s">
        <v>755</v>
      </c>
      <c r="D296" s="27" t="s">
        <v>141</v>
      </c>
      <c r="E296" s="400">
        <v>24815705</v>
      </c>
      <c r="F296" s="27" t="s">
        <v>142</v>
      </c>
      <c r="G296" s="27" t="s">
        <v>143</v>
      </c>
      <c r="H296" s="136">
        <v>45307</v>
      </c>
      <c r="I296" s="136"/>
      <c r="J296" s="27" t="s">
        <v>144</v>
      </c>
      <c r="K296" s="140">
        <v>1943480</v>
      </c>
      <c r="L296" s="27" t="s">
        <v>145</v>
      </c>
      <c r="M296" s="27" t="s">
        <v>311</v>
      </c>
      <c r="N296" s="27"/>
      <c r="O296" s="139" t="s">
        <v>756</v>
      </c>
      <c r="P296" s="27"/>
      <c r="Q296" s="27" t="s">
        <v>148</v>
      </c>
      <c r="R296" s="27" t="s">
        <v>149</v>
      </c>
      <c r="S296" s="27" t="s">
        <v>150</v>
      </c>
      <c r="T296" s="27" t="s">
        <v>757</v>
      </c>
      <c r="U296" s="37">
        <v>30490</v>
      </c>
      <c r="V296" s="27" t="s">
        <v>758</v>
      </c>
      <c r="W296" s="27" t="s">
        <v>759</v>
      </c>
      <c r="X296" s="27" t="s">
        <v>316</v>
      </c>
      <c r="Y296" s="27" t="s">
        <v>302</v>
      </c>
      <c r="Z296" s="27" t="s">
        <v>509</v>
      </c>
      <c r="AA296" s="27" t="s">
        <v>302</v>
      </c>
      <c r="AB296" s="27" t="s">
        <v>158</v>
      </c>
      <c r="AC296" s="27" t="s">
        <v>160</v>
      </c>
      <c r="AD296" s="27" t="s">
        <v>160</v>
      </c>
      <c r="AE296" s="27" t="s">
        <v>1369</v>
      </c>
      <c r="AF296" s="27" t="s">
        <v>162</v>
      </c>
      <c r="AG296" s="27" t="s">
        <v>177</v>
      </c>
      <c r="AH296" s="27"/>
      <c r="AI296" s="179"/>
      <c r="AJ296" s="27"/>
      <c r="AK296" s="27"/>
      <c r="AL296" s="27"/>
      <c r="AM296" s="27"/>
      <c r="AN296" s="27"/>
      <c r="AO296" s="27"/>
      <c r="AP296" s="136"/>
      <c r="AQ296" s="27"/>
      <c r="AR296" s="27"/>
      <c r="AS296" s="27"/>
      <c r="AT296" s="27" t="str">
        <f t="shared" si="8"/>
        <v>Activo</v>
      </c>
      <c r="AU296" s="27" cm="1">
        <f t="array" aca="1" ref="AU296" ca="1">_xlfn.IFS(AT296="","",AT296="Activo",TODAY()-H296,AT296="Inactivo",AP296-H296)</f>
        <v>153</v>
      </c>
      <c r="AV296" s="180">
        <f ca="1">IF(ISBLANK(Tabla1[[#This Row],[Fecha Nacimento (dd/mm/yyyy)]]),"",YEARFRAC(Tabla1[[#This Row],[Fecha Nacimento (dd/mm/yyyy)]],TODAY()))</f>
        <v>40.983333333333334</v>
      </c>
      <c r="AW296" s="141"/>
      <c r="AX296" s="27" t="str">
        <f t="shared" si="9"/>
        <v/>
      </c>
    </row>
    <row r="297" spans="1:50" s="27" customFormat="1" x14ac:dyDescent="0.25">
      <c r="A297" s="134">
        <v>297</v>
      </c>
      <c r="B297" s="27" t="s">
        <v>628</v>
      </c>
      <c r="C297" s="27" t="s">
        <v>629</v>
      </c>
      <c r="D297" s="27" t="s">
        <v>141</v>
      </c>
      <c r="E297" s="400">
        <v>1006438786</v>
      </c>
      <c r="F297" s="27" t="s">
        <v>142</v>
      </c>
      <c r="G297" s="27" t="s">
        <v>143</v>
      </c>
      <c r="H297" s="136">
        <v>45307</v>
      </c>
      <c r="I297" s="136"/>
      <c r="J297" s="27" t="s">
        <v>144</v>
      </c>
      <c r="K297" s="140">
        <v>1300000</v>
      </c>
      <c r="L297" s="27" t="s">
        <v>145</v>
      </c>
      <c r="M297" s="27" t="s">
        <v>227</v>
      </c>
      <c r="O297" s="139" t="s">
        <v>1729</v>
      </c>
      <c r="Q297" s="27" t="s">
        <v>148</v>
      </c>
      <c r="R297" s="27" t="s">
        <v>149</v>
      </c>
      <c r="S297" s="27" t="s">
        <v>150</v>
      </c>
      <c r="T297" s="27" t="s">
        <v>630</v>
      </c>
      <c r="U297" s="37">
        <v>37617</v>
      </c>
      <c r="V297" s="27" t="s">
        <v>621</v>
      </c>
      <c r="W297" s="27" t="s">
        <v>631</v>
      </c>
      <c r="X297" s="27" t="s">
        <v>231</v>
      </c>
      <c r="Y297" s="27" t="s">
        <v>222</v>
      </c>
      <c r="Z297" s="27" t="s">
        <v>223</v>
      </c>
      <c r="AA297" s="27" t="s">
        <v>211</v>
      </c>
      <c r="AB297" s="27" t="s">
        <v>233</v>
      </c>
      <c r="AC297" s="27" t="s">
        <v>160</v>
      </c>
      <c r="AD297" s="27" t="s">
        <v>160</v>
      </c>
      <c r="AE297" s="27" t="s">
        <v>1369</v>
      </c>
      <c r="AF297" s="27" t="s">
        <v>176</v>
      </c>
      <c r="AG297" s="27" t="s">
        <v>177</v>
      </c>
      <c r="AI297" s="179"/>
      <c r="AP297" s="136"/>
      <c r="AT297" s="27" t="str">
        <f t="shared" si="8"/>
        <v>Activo</v>
      </c>
      <c r="AU297" s="27" cm="1">
        <f t="array" aca="1" ref="AU297" ca="1">_xlfn.IFS(AT297="","",AT297="Activo",TODAY()-H297,AT297="Inactivo",AP297-H297)</f>
        <v>153</v>
      </c>
      <c r="AV297" s="180">
        <f ca="1">IF(ISBLANK(Tabla1[[#This Row],[Fecha Nacimento (dd/mm/yyyy)]]),"",YEARFRAC(Tabla1[[#This Row],[Fecha Nacimento (dd/mm/yyyy)]],TODAY()))</f>
        <v>21.472222222222221</v>
      </c>
      <c r="AW297" s="141"/>
      <c r="AX297" s="27" t="str">
        <f t="shared" si="9"/>
        <v/>
      </c>
    </row>
    <row r="298" spans="1:50" s="27" customFormat="1" x14ac:dyDescent="0.25">
      <c r="A298" s="134">
        <v>298</v>
      </c>
      <c r="B298" s="27" t="s">
        <v>805</v>
      </c>
      <c r="C298" s="27" t="s">
        <v>806</v>
      </c>
      <c r="D298" s="27" t="s">
        <v>141</v>
      </c>
      <c r="E298" s="400">
        <v>94287680</v>
      </c>
      <c r="F298" s="27" t="s">
        <v>142</v>
      </c>
      <c r="G298" s="27" t="s">
        <v>143</v>
      </c>
      <c r="H298" s="136">
        <v>45307</v>
      </c>
      <c r="I298" s="136"/>
      <c r="J298" s="27" t="s">
        <v>144</v>
      </c>
      <c r="K298" s="140">
        <v>1300000</v>
      </c>
      <c r="L298" s="27" t="s">
        <v>145</v>
      </c>
      <c r="M298" s="27" t="s">
        <v>203</v>
      </c>
      <c r="O298" s="139" t="s">
        <v>1730</v>
      </c>
      <c r="Q298" s="27" t="s">
        <v>148</v>
      </c>
      <c r="R298" s="27" t="s">
        <v>149</v>
      </c>
      <c r="S298" s="27" t="s">
        <v>150</v>
      </c>
      <c r="T298" s="27" t="s">
        <v>808</v>
      </c>
      <c r="U298" s="37">
        <v>29742</v>
      </c>
      <c r="V298" s="27" t="s">
        <v>1707</v>
      </c>
      <c r="W298" s="27" t="s">
        <v>810</v>
      </c>
      <c r="X298" s="27" t="s">
        <v>231</v>
      </c>
      <c r="Y298" s="27" t="s">
        <v>222</v>
      </c>
      <c r="Z298" s="27" t="s">
        <v>223</v>
      </c>
      <c r="AA298" s="27" t="s">
        <v>211</v>
      </c>
      <c r="AB298" s="27" t="s">
        <v>416</v>
      </c>
      <c r="AC298" s="27" t="s">
        <v>160</v>
      </c>
      <c r="AD298" s="27" t="s">
        <v>160</v>
      </c>
      <c r="AE298" s="27" t="s">
        <v>1369</v>
      </c>
      <c r="AF298" s="27" t="s">
        <v>176</v>
      </c>
      <c r="AG298" s="27" t="s">
        <v>177</v>
      </c>
      <c r="AI298" s="179"/>
      <c r="AP298" s="136"/>
      <c r="AT298" s="27" t="str">
        <f t="shared" si="8"/>
        <v>Activo</v>
      </c>
      <c r="AU298" s="27" cm="1">
        <f t="array" aca="1" ref="AU298" ca="1">_xlfn.IFS(AT298="","",AT298="Activo",TODAY()-H298,AT298="Inactivo",AP298-H298)</f>
        <v>153</v>
      </c>
      <c r="AV298" s="180">
        <f ca="1">IF(ISBLANK(Tabla1[[#This Row],[Fecha Nacimento (dd/mm/yyyy)]]),"",YEARFRAC(Tabla1[[#This Row],[Fecha Nacimento (dd/mm/yyyy)]],TODAY()))</f>
        <v>43.033333333333331</v>
      </c>
      <c r="AW298" s="141"/>
      <c r="AX298" s="27" t="str">
        <f t="shared" si="9"/>
        <v/>
      </c>
    </row>
    <row r="299" spans="1:50" s="27" customFormat="1" x14ac:dyDescent="0.25">
      <c r="A299" s="134">
        <v>299</v>
      </c>
      <c r="B299" s="27" t="s">
        <v>1731</v>
      </c>
      <c r="C299" s="27" t="s">
        <v>1732</v>
      </c>
      <c r="D299" s="27" t="s">
        <v>141</v>
      </c>
      <c r="E299" s="400">
        <v>1005254164</v>
      </c>
      <c r="F299" s="27" t="s">
        <v>142</v>
      </c>
      <c r="G299" s="27" t="s">
        <v>143</v>
      </c>
      <c r="H299" s="136">
        <v>45307</v>
      </c>
      <c r="I299" s="136"/>
      <c r="J299" s="27" t="s">
        <v>144</v>
      </c>
      <c r="K299" s="138">
        <v>1300000</v>
      </c>
      <c r="L299" s="27" t="s">
        <v>145</v>
      </c>
      <c r="M299" s="27" t="s">
        <v>203</v>
      </c>
      <c r="O299" s="139" t="s">
        <v>1733</v>
      </c>
      <c r="Q299" s="27" t="s">
        <v>148</v>
      </c>
      <c r="R299" s="27" t="s">
        <v>168</v>
      </c>
      <c r="S299" s="27" t="s">
        <v>150</v>
      </c>
      <c r="U299" s="37">
        <v>37285</v>
      </c>
      <c r="V299" s="27" t="s">
        <v>1707</v>
      </c>
      <c r="W299" s="27">
        <v>3218073368</v>
      </c>
      <c r="X299" s="27" t="s">
        <v>231</v>
      </c>
      <c r="Y299" s="27" t="s">
        <v>222</v>
      </c>
      <c r="Z299" s="27" t="s">
        <v>223</v>
      </c>
      <c r="AA299" s="27" t="s">
        <v>211</v>
      </c>
      <c r="AB299" s="27" t="s">
        <v>233</v>
      </c>
      <c r="AC299" s="27" t="s">
        <v>160</v>
      </c>
      <c r="AD299" s="27" t="s">
        <v>160</v>
      </c>
      <c r="AE299" s="27" t="s">
        <v>1369</v>
      </c>
      <c r="AF299" s="27" t="s">
        <v>176</v>
      </c>
      <c r="AG299" s="27" t="s">
        <v>177</v>
      </c>
      <c r="AI299" s="179"/>
      <c r="AP299" s="136"/>
      <c r="AT299" s="27" t="str">
        <f t="shared" si="8"/>
        <v>Activo</v>
      </c>
      <c r="AU299" s="27" cm="1">
        <f t="array" aca="1" ref="AU299" ca="1">_xlfn.IFS(AT299="","",AT299="Activo",TODAY()-H299,AT299="Inactivo",AP299-H299)</f>
        <v>153</v>
      </c>
      <c r="AV299" s="180">
        <f ca="1">IF(ISBLANK(Tabla1[[#This Row],[Fecha Nacimento (dd/mm/yyyy)]]),"",YEARFRAC(Tabla1[[#This Row],[Fecha Nacimento (dd/mm/yyyy)]],TODAY()))</f>
        <v>22.383333333333333</v>
      </c>
      <c r="AW299" s="141"/>
      <c r="AX299" s="27" t="str">
        <f t="shared" si="9"/>
        <v/>
      </c>
    </row>
    <row r="300" spans="1:50" s="27" customFormat="1" x14ac:dyDescent="0.25">
      <c r="A300" s="134">
        <v>300</v>
      </c>
      <c r="B300" s="27" t="s">
        <v>409</v>
      </c>
      <c r="C300" s="27" t="s">
        <v>226</v>
      </c>
      <c r="D300" s="27" t="s">
        <v>141</v>
      </c>
      <c r="E300" s="400">
        <v>94232191</v>
      </c>
      <c r="F300" s="27" t="s">
        <v>142</v>
      </c>
      <c r="G300" s="27" t="s">
        <v>143</v>
      </c>
      <c r="H300" s="136">
        <v>45307</v>
      </c>
      <c r="I300" s="136"/>
      <c r="J300" s="27" t="s">
        <v>144</v>
      </c>
      <c r="K300" s="140">
        <v>1300000</v>
      </c>
      <c r="L300" s="27" t="s">
        <v>145</v>
      </c>
      <c r="M300" s="27" t="s">
        <v>227</v>
      </c>
      <c r="O300" s="139" t="s">
        <v>1734</v>
      </c>
      <c r="Q300" s="27" t="s">
        <v>148</v>
      </c>
      <c r="R300" s="27" t="s">
        <v>149</v>
      </c>
      <c r="S300" s="27" t="s">
        <v>150</v>
      </c>
      <c r="T300" s="27" t="s">
        <v>410</v>
      </c>
      <c r="U300" s="37">
        <v>29931</v>
      </c>
      <c r="V300" s="27" t="s">
        <v>411</v>
      </c>
      <c r="W300" s="27" t="s">
        <v>412</v>
      </c>
      <c r="X300" s="27" t="s">
        <v>231</v>
      </c>
      <c r="Y300" s="27" t="s">
        <v>222</v>
      </c>
      <c r="Z300" s="27" t="s">
        <v>223</v>
      </c>
      <c r="AA300" s="27" t="s">
        <v>211</v>
      </c>
      <c r="AB300" s="27" t="s">
        <v>175</v>
      </c>
      <c r="AC300" s="27" t="s">
        <v>160</v>
      </c>
      <c r="AD300" s="27" t="s">
        <v>160</v>
      </c>
      <c r="AE300" s="27" t="s">
        <v>1369</v>
      </c>
      <c r="AF300" s="27" t="s">
        <v>176</v>
      </c>
      <c r="AG300" s="27" t="s">
        <v>177</v>
      </c>
      <c r="AI300" s="179"/>
      <c r="AP300" s="136"/>
      <c r="AT300" s="27" t="str">
        <f t="shared" si="8"/>
        <v>Activo</v>
      </c>
      <c r="AU300" s="27" cm="1">
        <f t="array" aca="1" ref="AU300" ca="1">_xlfn.IFS(AT300="","",AT300="Activo",TODAY()-H300,AT300="Inactivo",AP300-H300)</f>
        <v>153</v>
      </c>
      <c r="AV300" s="180">
        <f ca="1">IF(ISBLANK(Tabla1[[#This Row],[Fecha Nacimento (dd/mm/yyyy)]]),"",YEARFRAC(Tabla1[[#This Row],[Fecha Nacimento (dd/mm/yyyy)]],TODAY()))</f>
        <v>42.516666666666666</v>
      </c>
      <c r="AW300" s="141"/>
      <c r="AX300" s="27" t="str">
        <f t="shared" si="9"/>
        <v/>
      </c>
    </row>
    <row r="301" spans="1:50" s="27" customFormat="1" x14ac:dyDescent="0.25">
      <c r="A301" s="134">
        <v>301</v>
      </c>
      <c r="B301" s="27" t="s">
        <v>686</v>
      </c>
      <c r="C301" s="27" t="s">
        <v>687</v>
      </c>
      <c r="D301" s="27" t="s">
        <v>141</v>
      </c>
      <c r="E301" s="400">
        <v>1116444450</v>
      </c>
      <c r="F301" s="27" t="s">
        <v>142</v>
      </c>
      <c r="G301" s="27" t="s">
        <v>143</v>
      </c>
      <c r="H301" s="136">
        <v>45307</v>
      </c>
      <c r="I301" s="136"/>
      <c r="J301" s="27" t="s">
        <v>144</v>
      </c>
      <c r="K301" s="140">
        <v>1377391</v>
      </c>
      <c r="L301" s="27" t="s">
        <v>145</v>
      </c>
      <c r="M301" s="27" t="s">
        <v>227</v>
      </c>
      <c r="O301" s="139" t="s">
        <v>1735</v>
      </c>
      <c r="Q301" s="27" t="s">
        <v>148</v>
      </c>
      <c r="R301" s="27" t="s">
        <v>168</v>
      </c>
      <c r="S301" s="27" t="s">
        <v>150</v>
      </c>
      <c r="T301" s="27" t="s">
        <v>689</v>
      </c>
      <c r="U301" s="37">
        <v>34734</v>
      </c>
      <c r="V301" s="27" t="s">
        <v>690</v>
      </c>
      <c r="W301" s="27" t="s">
        <v>691</v>
      </c>
      <c r="X301" s="27" t="s">
        <v>231</v>
      </c>
      <c r="Y301" s="27" t="s">
        <v>302</v>
      </c>
      <c r="Z301" s="27" t="s">
        <v>223</v>
      </c>
      <c r="AA301" s="27" t="s">
        <v>211</v>
      </c>
      <c r="AB301" s="27" t="s">
        <v>233</v>
      </c>
      <c r="AC301" s="27" t="s">
        <v>159</v>
      </c>
      <c r="AD301" s="27" t="s">
        <v>160</v>
      </c>
      <c r="AE301" s="27" t="s">
        <v>1369</v>
      </c>
      <c r="AF301" s="27" t="s">
        <v>176</v>
      </c>
      <c r="AG301" s="27" t="s">
        <v>177</v>
      </c>
      <c r="AI301" s="179"/>
      <c r="AP301" s="136"/>
      <c r="AT301" s="27" t="str">
        <f t="shared" si="8"/>
        <v>Activo</v>
      </c>
      <c r="AU301" s="27" cm="1">
        <f t="array" aca="1" ref="AU301" ca="1">_xlfn.IFS(AT301="","",AT301="Activo",TODAY()-H301,AT301="Inactivo",AP301-H301)</f>
        <v>153</v>
      </c>
      <c r="AV301" s="180">
        <f ca="1">IF(ISBLANK(Tabla1[[#This Row],[Fecha Nacimento (dd/mm/yyyy)]]),"",YEARFRAC(Tabla1[[#This Row],[Fecha Nacimento (dd/mm/yyyy)]],TODAY()))</f>
        <v>29.369444444444444</v>
      </c>
      <c r="AW301" s="141"/>
      <c r="AX301" s="27" t="str">
        <f t="shared" si="9"/>
        <v/>
      </c>
    </row>
    <row r="302" spans="1:50" s="27" customFormat="1" x14ac:dyDescent="0.25">
      <c r="A302" s="134">
        <v>302</v>
      </c>
      <c r="B302" s="27" t="s">
        <v>1361</v>
      </c>
      <c r="C302" s="27" t="s">
        <v>1362</v>
      </c>
      <c r="D302" s="27" t="s">
        <v>141</v>
      </c>
      <c r="E302" s="400">
        <v>1005091433</v>
      </c>
      <c r="F302" s="27" t="s">
        <v>142</v>
      </c>
      <c r="G302" s="27" t="s">
        <v>143</v>
      </c>
      <c r="H302" s="136">
        <v>45307</v>
      </c>
      <c r="I302" s="136"/>
      <c r="J302" s="27" t="s">
        <v>144</v>
      </c>
      <c r="K302" s="140">
        <v>1300000</v>
      </c>
      <c r="L302" s="27" t="s">
        <v>145</v>
      </c>
      <c r="M302" s="27" t="s">
        <v>203</v>
      </c>
      <c r="O302" s="139" t="s">
        <v>1736</v>
      </c>
      <c r="Q302" s="27" t="s">
        <v>148</v>
      </c>
      <c r="R302" s="27" t="s">
        <v>149</v>
      </c>
      <c r="S302" s="27" t="s">
        <v>150</v>
      </c>
      <c r="T302" s="27" t="s">
        <v>1364</v>
      </c>
      <c r="U302" s="37">
        <v>36527</v>
      </c>
      <c r="V302" s="27" t="s">
        <v>1737</v>
      </c>
      <c r="W302" s="27">
        <v>3117677026</v>
      </c>
      <c r="X302" s="27" t="s">
        <v>675</v>
      </c>
      <c r="Y302" s="27" t="s">
        <v>222</v>
      </c>
      <c r="Z302" s="27" t="s">
        <v>642</v>
      </c>
      <c r="AA302" s="27" t="s">
        <v>211</v>
      </c>
      <c r="AB302" s="27" t="s">
        <v>233</v>
      </c>
      <c r="AC302" s="27" t="s">
        <v>159</v>
      </c>
      <c r="AD302" s="27" t="s">
        <v>160</v>
      </c>
      <c r="AE302" s="27" t="s">
        <v>1369</v>
      </c>
      <c r="AF302" s="27" t="s">
        <v>162</v>
      </c>
      <c r="AG302" s="27" t="s">
        <v>177</v>
      </c>
      <c r="AI302" s="179"/>
      <c r="AP302" s="136"/>
      <c r="AT302" s="27" t="str">
        <f t="shared" si="8"/>
        <v>Activo</v>
      </c>
      <c r="AU302" s="27" cm="1">
        <f t="array" aca="1" ref="AU302" ca="1">_xlfn.IFS(AT302="","",AT302="Activo",TODAY()-H302,AT302="Inactivo",AP302-H302)</f>
        <v>153</v>
      </c>
      <c r="AV302" s="180">
        <f ca="1">IF(ISBLANK(Tabla1[[#This Row],[Fecha Nacimento (dd/mm/yyyy)]]),"",YEARFRAC(Tabla1[[#This Row],[Fecha Nacimento (dd/mm/yyyy)]],TODAY()))</f>
        <v>24.458333333333332</v>
      </c>
      <c r="AW302" s="141"/>
      <c r="AX302" s="27" t="str">
        <f t="shared" si="9"/>
        <v/>
      </c>
    </row>
    <row r="303" spans="1:50" s="27" customFormat="1" x14ac:dyDescent="0.25">
      <c r="A303" s="134">
        <v>303</v>
      </c>
      <c r="B303" s="27" t="s">
        <v>632</v>
      </c>
      <c r="C303" s="27" t="s">
        <v>629</v>
      </c>
      <c r="D303" s="27" t="s">
        <v>141</v>
      </c>
      <c r="E303" s="400">
        <v>1006438785</v>
      </c>
      <c r="F303" s="27" t="s">
        <v>142</v>
      </c>
      <c r="G303" s="27" t="s">
        <v>143</v>
      </c>
      <c r="H303" s="136">
        <v>45307</v>
      </c>
      <c r="I303" s="136"/>
      <c r="J303" s="27" t="s">
        <v>144</v>
      </c>
      <c r="K303" s="140">
        <v>1300000</v>
      </c>
      <c r="L303" s="27" t="s">
        <v>145</v>
      </c>
      <c r="M303" s="27" t="s">
        <v>227</v>
      </c>
      <c r="O303" s="139" t="s">
        <v>633</v>
      </c>
      <c r="Q303" s="27" t="s">
        <v>148</v>
      </c>
      <c r="R303" s="27" t="s">
        <v>149</v>
      </c>
      <c r="S303" s="27" t="s">
        <v>150</v>
      </c>
      <c r="T303" s="27" t="s">
        <v>634</v>
      </c>
      <c r="U303" s="37">
        <v>37617</v>
      </c>
      <c r="V303" s="27" t="s">
        <v>621</v>
      </c>
      <c r="W303" s="27" t="s">
        <v>635</v>
      </c>
      <c r="X303" s="27" t="s">
        <v>231</v>
      </c>
      <c r="Y303" s="27" t="s">
        <v>222</v>
      </c>
      <c r="Z303" s="27" t="s">
        <v>223</v>
      </c>
      <c r="AA303" s="27" t="s">
        <v>211</v>
      </c>
      <c r="AB303" s="27" t="s">
        <v>233</v>
      </c>
      <c r="AC303" s="27" t="s">
        <v>160</v>
      </c>
      <c r="AD303" s="27" t="s">
        <v>160</v>
      </c>
      <c r="AE303" s="27" t="s">
        <v>1369</v>
      </c>
      <c r="AF303" s="27" t="s">
        <v>176</v>
      </c>
      <c r="AG303" s="27" t="s">
        <v>177</v>
      </c>
      <c r="AI303" s="179"/>
      <c r="AP303" s="136"/>
      <c r="AT303" s="27" t="str">
        <f t="shared" si="8"/>
        <v>Activo</v>
      </c>
      <c r="AU303" s="27" cm="1">
        <f t="array" aca="1" ref="AU303" ca="1">_xlfn.IFS(AT303="","",AT303="Activo",TODAY()-H303,AT303="Inactivo",AP303-H303)</f>
        <v>153</v>
      </c>
      <c r="AV303" s="180">
        <f ca="1">IF(ISBLANK(Tabla1[[#This Row],[Fecha Nacimento (dd/mm/yyyy)]]),"",YEARFRAC(Tabla1[[#This Row],[Fecha Nacimento (dd/mm/yyyy)]],TODAY()))</f>
        <v>21.472222222222221</v>
      </c>
      <c r="AW303" s="141"/>
      <c r="AX303" s="27" t="str">
        <f t="shared" si="9"/>
        <v/>
      </c>
    </row>
    <row r="304" spans="1:50" s="27" customFormat="1" x14ac:dyDescent="0.25">
      <c r="A304" s="134">
        <v>304</v>
      </c>
      <c r="B304" s="27" t="s">
        <v>811</v>
      </c>
      <c r="C304" s="27" t="s">
        <v>812</v>
      </c>
      <c r="D304" s="27" t="s">
        <v>141</v>
      </c>
      <c r="E304" s="400">
        <v>1116432789</v>
      </c>
      <c r="F304" s="27" t="s">
        <v>142</v>
      </c>
      <c r="G304" s="27" t="s">
        <v>143</v>
      </c>
      <c r="H304" s="136">
        <v>45307</v>
      </c>
      <c r="I304" s="136"/>
      <c r="J304" s="27" t="s">
        <v>144</v>
      </c>
      <c r="K304" s="140">
        <v>1300000</v>
      </c>
      <c r="L304" s="27" t="s">
        <v>145</v>
      </c>
      <c r="M304" s="27" t="s">
        <v>203</v>
      </c>
      <c r="O304" s="139" t="s">
        <v>1738</v>
      </c>
      <c r="P304" s="187"/>
      <c r="Q304" s="187" t="s">
        <v>148</v>
      </c>
      <c r="R304" s="187" t="s">
        <v>149</v>
      </c>
      <c r="S304" s="27" t="s">
        <v>150</v>
      </c>
      <c r="T304" s="187" t="s">
        <v>814</v>
      </c>
      <c r="U304" s="195">
        <v>31050</v>
      </c>
      <c r="V304" s="187" t="s">
        <v>815</v>
      </c>
      <c r="W304" s="187" t="s">
        <v>816</v>
      </c>
      <c r="X304" s="187" t="s">
        <v>231</v>
      </c>
      <c r="Y304" s="187" t="s">
        <v>222</v>
      </c>
      <c r="Z304" s="187" t="s">
        <v>223</v>
      </c>
      <c r="AA304" s="187" t="s">
        <v>211</v>
      </c>
      <c r="AB304" s="187" t="s">
        <v>233</v>
      </c>
      <c r="AC304" s="187" t="s">
        <v>160</v>
      </c>
      <c r="AD304" s="187" t="s">
        <v>160</v>
      </c>
      <c r="AE304" s="27" t="s">
        <v>1369</v>
      </c>
      <c r="AF304" s="27" t="s">
        <v>162</v>
      </c>
      <c r="AG304" s="187" t="s">
        <v>177</v>
      </c>
      <c r="AH304" s="187"/>
      <c r="AI304" s="196"/>
      <c r="AJ304" s="187"/>
      <c r="AK304" s="187"/>
      <c r="AL304" s="187"/>
      <c r="AM304" s="187"/>
      <c r="AN304" s="187"/>
      <c r="AO304" s="187"/>
      <c r="AP304" s="136"/>
      <c r="AR304" s="187"/>
      <c r="AS304" s="187"/>
      <c r="AT304" s="27" t="str">
        <f t="shared" si="8"/>
        <v>Activo</v>
      </c>
      <c r="AU304" s="27" cm="1">
        <f t="array" aca="1" ref="AU304" ca="1">_xlfn.IFS(AT304="","",AT304="Activo",TODAY()-H304,AT304="Inactivo",AP304-H304)</f>
        <v>153</v>
      </c>
      <c r="AV304" s="180">
        <f ca="1">IF(ISBLANK(Tabla1[[#This Row],[Fecha Nacimento (dd/mm/yyyy)]]),"",YEARFRAC(Tabla1[[#This Row],[Fecha Nacimento (dd/mm/yyyy)]],TODAY()))</f>
        <v>39.455555555555556</v>
      </c>
      <c r="AW304" s="141"/>
      <c r="AX304" s="27" t="str">
        <f t="shared" si="9"/>
        <v/>
      </c>
    </row>
    <row r="305" spans="1:50" s="27" customFormat="1" x14ac:dyDescent="0.25">
      <c r="A305" s="134">
        <v>305</v>
      </c>
      <c r="B305" s="27" t="s">
        <v>1739</v>
      </c>
      <c r="C305" s="27" t="s">
        <v>1740</v>
      </c>
      <c r="D305" s="27" t="s">
        <v>141</v>
      </c>
      <c r="E305" s="400">
        <v>83182288</v>
      </c>
      <c r="F305" s="27" t="s">
        <v>142</v>
      </c>
      <c r="G305" s="27" t="s">
        <v>143</v>
      </c>
      <c r="H305" s="136">
        <v>45309</v>
      </c>
      <c r="I305" s="136"/>
      <c r="J305" s="27" t="s">
        <v>144</v>
      </c>
      <c r="K305" s="138">
        <v>1300000</v>
      </c>
      <c r="L305" s="27" t="s">
        <v>145</v>
      </c>
      <c r="M305" s="27" t="s">
        <v>146</v>
      </c>
      <c r="O305" s="139" t="s">
        <v>1741</v>
      </c>
      <c r="Q305" s="27" t="s">
        <v>148</v>
      </c>
      <c r="R305" s="27" t="s">
        <v>371</v>
      </c>
      <c r="S305" s="27" t="s">
        <v>150</v>
      </c>
      <c r="T305" s="27">
        <v>3218886630</v>
      </c>
      <c r="U305" s="37">
        <v>27753</v>
      </c>
      <c r="V305" s="27" t="s">
        <v>1742</v>
      </c>
      <c r="W305" s="27">
        <v>3218886630</v>
      </c>
      <c r="X305" s="27" t="s">
        <v>154</v>
      </c>
      <c r="Y305" s="27" t="s">
        <v>222</v>
      </c>
      <c r="Z305" s="27" t="s">
        <v>566</v>
      </c>
      <c r="AA305" s="27" t="s">
        <v>174</v>
      </c>
      <c r="AB305" s="27" t="s">
        <v>1743</v>
      </c>
      <c r="AC305" s="27" t="s">
        <v>271</v>
      </c>
      <c r="AD305" s="27" t="s">
        <v>1744</v>
      </c>
      <c r="AE305" s="27" t="s">
        <v>161</v>
      </c>
      <c r="AF305" s="27" t="s">
        <v>176</v>
      </c>
      <c r="AG305" s="27" t="s">
        <v>177</v>
      </c>
      <c r="AH305" s="27" t="s">
        <v>164</v>
      </c>
      <c r="AI305" s="179"/>
      <c r="AJ305" s="27" t="s">
        <v>1745</v>
      </c>
      <c r="AK305" s="27" t="s">
        <v>1069</v>
      </c>
      <c r="AL305" s="27" t="s">
        <v>164</v>
      </c>
      <c r="AM305" s="27" t="s">
        <v>145</v>
      </c>
      <c r="AP305" s="136">
        <v>45383</v>
      </c>
      <c r="AQ305" s="27" t="s">
        <v>52</v>
      </c>
      <c r="AT305" s="27" t="str">
        <f t="shared" si="8"/>
        <v>Inactivo</v>
      </c>
      <c r="AU305" s="27" cm="1">
        <f t="array" aca="1" ref="AU305" ca="1">_xlfn.IFS(AT305="","",AT305="Activo",TODAY()-H305,AT305="Inactivo",AP305-H305)</f>
        <v>74</v>
      </c>
      <c r="AV305" s="180">
        <f ca="1">IF(ISBLANK(Tabla1[[#This Row],[Fecha Nacimento (dd/mm/yyyy)]]),"",YEARFRAC(Tabla1[[#This Row],[Fecha Nacimento (dd/mm/yyyy)]],TODAY()))</f>
        <v>48.477777777777774</v>
      </c>
      <c r="AW305" s="141"/>
      <c r="AX305" s="27" t="str">
        <f t="shared" si="9"/>
        <v/>
      </c>
    </row>
    <row r="306" spans="1:50" s="27" customFormat="1" x14ac:dyDescent="0.25">
      <c r="A306" s="134">
        <v>306</v>
      </c>
      <c r="B306" s="27" t="s">
        <v>1746</v>
      </c>
      <c r="C306" s="27" t="s">
        <v>1747</v>
      </c>
      <c r="D306" s="27" t="s">
        <v>141</v>
      </c>
      <c r="E306" s="400">
        <v>1094921609</v>
      </c>
      <c r="F306" s="27" t="s">
        <v>142</v>
      </c>
      <c r="G306" s="27" t="s">
        <v>143</v>
      </c>
      <c r="H306" s="136">
        <v>45309</v>
      </c>
      <c r="I306" s="136"/>
      <c r="J306" s="27" t="s">
        <v>144</v>
      </c>
      <c r="K306" s="138">
        <v>1300000</v>
      </c>
      <c r="L306" s="27" t="s">
        <v>145</v>
      </c>
      <c r="M306" s="27" t="s">
        <v>146</v>
      </c>
      <c r="O306" s="139" t="s">
        <v>1748</v>
      </c>
      <c r="Q306" s="27" t="s">
        <v>148</v>
      </c>
      <c r="R306" s="27" t="s">
        <v>371</v>
      </c>
      <c r="S306" s="27" t="s">
        <v>150</v>
      </c>
      <c r="T306" s="27">
        <v>3234586371</v>
      </c>
      <c r="U306" s="37">
        <v>33140</v>
      </c>
      <c r="V306" s="27" t="s">
        <v>1749</v>
      </c>
      <c r="W306" s="27">
        <v>3234586371</v>
      </c>
      <c r="X306" s="27" t="s">
        <v>154</v>
      </c>
      <c r="Y306" s="27" t="s">
        <v>222</v>
      </c>
      <c r="Z306" s="27" t="s">
        <v>1460</v>
      </c>
      <c r="AA306" s="27" t="s">
        <v>211</v>
      </c>
      <c r="AB306" s="27" t="s">
        <v>259</v>
      </c>
      <c r="AC306" s="27" t="s">
        <v>271</v>
      </c>
      <c r="AD306" s="27" t="s">
        <v>160</v>
      </c>
      <c r="AE306" s="27" t="s">
        <v>161</v>
      </c>
      <c r="AF306" s="27" t="s">
        <v>176</v>
      </c>
      <c r="AG306" s="27" t="s">
        <v>177</v>
      </c>
      <c r="AH306" s="27" t="s">
        <v>164</v>
      </c>
      <c r="AI306" s="179"/>
      <c r="AJ306" s="27" t="s">
        <v>164</v>
      </c>
      <c r="AL306" s="27" t="s">
        <v>164</v>
      </c>
      <c r="AM306" s="27" t="s">
        <v>164</v>
      </c>
      <c r="AO306" s="27" t="s">
        <v>164</v>
      </c>
      <c r="AP306" s="136">
        <v>45341</v>
      </c>
      <c r="AQ306" s="27" t="s">
        <v>1190</v>
      </c>
      <c r="AT306" s="27" t="str">
        <f t="shared" si="8"/>
        <v>Inactivo</v>
      </c>
      <c r="AU306" s="27" cm="1">
        <f t="array" aca="1" ref="AU306" ca="1">_xlfn.IFS(AT306="","",AT306="Activo",TODAY()-H306,AT306="Inactivo",AP306-H306)</f>
        <v>32</v>
      </c>
      <c r="AV306" s="180">
        <f ca="1">IF(ISBLANK(Tabla1[[#This Row],[Fecha Nacimento (dd/mm/yyyy)]]),"",YEARFRAC(Tabla1[[#This Row],[Fecha Nacimento (dd/mm/yyyy)]],TODAY()))</f>
        <v>33.730555555555554</v>
      </c>
      <c r="AW306" s="141"/>
      <c r="AX306" s="27" t="str">
        <f t="shared" si="9"/>
        <v/>
      </c>
    </row>
    <row r="307" spans="1:50" s="27" customFormat="1" ht="15.95" customHeight="1" x14ac:dyDescent="0.25">
      <c r="A307" s="134">
        <v>307</v>
      </c>
      <c r="B307" s="27" t="s">
        <v>1750</v>
      </c>
      <c r="C307" s="27" t="s">
        <v>1751</v>
      </c>
      <c r="D307" s="27" t="s">
        <v>1600</v>
      </c>
      <c r="E307" s="400">
        <v>7361710</v>
      </c>
      <c r="F307" s="27" t="s">
        <v>142</v>
      </c>
      <c r="G307" s="27" t="s">
        <v>143</v>
      </c>
      <c r="H307" s="136">
        <v>45310</v>
      </c>
      <c r="I307" s="136"/>
      <c r="J307" s="27" t="s">
        <v>144</v>
      </c>
      <c r="K307" s="138">
        <v>1300000</v>
      </c>
      <c r="L307" s="27" t="s">
        <v>145</v>
      </c>
      <c r="M307" s="27" t="s">
        <v>146</v>
      </c>
      <c r="O307" s="139" t="s">
        <v>1752</v>
      </c>
      <c r="Q307" s="27" t="s">
        <v>148</v>
      </c>
      <c r="R307" s="27" t="s">
        <v>168</v>
      </c>
      <c r="S307" s="27" t="s">
        <v>150</v>
      </c>
      <c r="T307" s="28" t="s">
        <v>1753</v>
      </c>
      <c r="U307" s="37">
        <v>37821</v>
      </c>
      <c r="V307" s="27" t="s">
        <v>1754</v>
      </c>
      <c r="W307" s="27">
        <v>3104872995</v>
      </c>
      <c r="X307" s="27" t="s">
        <v>979</v>
      </c>
      <c r="Y307" s="27" t="s">
        <v>222</v>
      </c>
      <c r="Z307" s="27" t="s">
        <v>1460</v>
      </c>
      <c r="AA307" s="27" t="s">
        <v>174</v>
      </c>
      <c r="AB307" s="27" t="s">
        <v>1755</v>
      </c>
      <c r="AC307" s="27" t="s">
        <v>159</v>
      </c>
      <c r="AD307" s="27" t="s">
        <v>1744</v>
      </c>
      <c r="AE307" s="27" t="s">
        <v>161</v>
      </c>
      <c r="AF307" s="27" t="s">
        <v>176</v>
      </c>
      <c r="AG307" s="27" t="s">
        <v>177</v>
      </c>
      <c r="AH307" s="27" t="s">
        <v>164</v>
      </c>
      <c r="AI307" s="179"/>
      <c r="AJ307" s="27" t="s">
        <v>304</v>
      </c>
      <c r="AM307" s="27" t="s">
        <v>164</v>
      </c>
      <c r="AO307" s="27" t="s">
        <v>164</v>
      </c>
      <c r="AP307" s="136"/>
      <c r="AT307" s="27" t="str">
        <f t="shared" si="8"/>
        <v>Activo</v>
      </c>
      <c r="AU307" s="27" cm="1">
        <f t="array" aca="1" ref="AU307" ca="1">_xlfn.IFS(AT307="","",AT307="Activo",TODAY()-H307,AT307="Inactivo",AP307-H307)</f>
        <v>150</v>
      </c>
      <c r="AV307" s="180">
        <f ca="1">IF(ISBLANK(Tabla1[[#This Row],[Fecha Nacimento (dd/mm/yyyy)]]),"",YEARFRAC(Tabla1[[#This Row],[Fecha Nacimento (dd/mm/yyyy)]],TODAY()))</f>
        <v>20.911111111111111</v>
      </c>
      <c r="AW307" s="141"/>
      <c r="AX307" s="27" t="str">
        <f t="shared" si="9"/>
        <v/>
      </c>
    </row>
    <row r="308" spans="1:50" s="27" customFormat="1" x14ac:dyDescent="0.25">
      <c r="A308" s="134">
        <v>308</v>
      </c>
      <c r="B308" s="27" t="s">
        <v>1756</v>
      </c>
      <c r="C308" s="27" t="s">
        <v>1757</v>
      </c>
      <c r="D308" s="27" t="s">
        <v>141</v>
      </c>
      <c r="E308" s="400">
        <v>1094898971</v>
      </c>
      <c r="F308" s="27" t="s">
        <v>142</v>
      </c>
      <c r="G308" s="27" t="s">
        <v>143</v>
      </c>
      <c r="H308" s="136">
        <v>45307</v>
      </c>
      <c r="I308" s="136"/>
      <c r="J308" s="27" t="s">
        <v>144</v>
      </c>
      <c r="K308" s="138">
        <v>1300000</v>
      </c>
      <c r="L308" s="27" t="s">
        <v>145</v>
      </c>
      <c r="M308" s="27" t="s">
        <v>203</v>
      </c>
      <c r="N308" s="27" t="s">
        <v>145</v>
      </c>
      <c r="O308" s="139" t="s">
        <v>1758</v>
      </c>
      <c r="Q308" s="27" t="s">
        <v>205</v>
      </c>
      <c r="U308" s="197">
        <v>32271</v>
      </c>
      <c r="V308" s="27" t="s">
        <v>1759</v>
      </c>
      <c r="W308" s="27">
        <v>3135439795</v>
      </c>
      <c r="X308" s="27" t="s">
        <v>1760</v>
      </c>
      <c r="Y308" s="27" t="s">
        <v>172</v>
      </c>
      <c r="Z308" s="27" t="s">
        <v>1761</v>
      </c>
      <c r="AA308" s="27" t="s">
        <v>174</v>
      </c>
      <c r="AB308" s="27" t="s">
        <v>158</v>
      </c>
      <c r="AC308" s="27" t="s">
        <v>160</v>
      </c>
      <c r="AD308" s="27" t="s">
        <v>271</v>
      </c>
      <c r="AE308" s="27" t="s">
        <v>1762</v>
      </c>
      <c r="AF308" s="27" t="s">
        <v>176</v>
      </c>
      <c r="AG308" s="27" t="s">
        <v>163</v>
      </c>
      <c r="AH308" s="27" t="s">
        <v>145</v>
      </c>
      <c r="AI308" s="179">
        <v>200000</v>
      </c>
      <c r="AJ308" s="27" t="s">
        <v>164</v>
      </c>
      <c r="AK308" s="27" t="s">
        <v>214</v>
      </c>
      <c r="AL308" s="27" t="s">
        <v>164</v>
      </c>
      <c r="AM308" s="27" t="s">
        <v>164</v>
      </c>
      <c r="AN308" s="27" t="s">
        <v>214</v>
      </c>
      <c r="AO308" s="27" t="s">
        <v>164</v>
      </c>
      <c r="AP308" s="136"/>
      <c r="AT308" s="27" t="str">
        <f t="shared" si="8"/>
        <v>Activo</v>
      </c>
      <c r="AU308" s="27" cm="1">
        <f t="array" aca="1" ref="AU308" ca="1">_xlfn.IFS(AT308="","",AT308="Activo",TODAY()-H308,AT308="Inactivo",AP308-H308)</f>
        <v>153</v>
      </c>
      <c r="AV308" s="180">
        <f ca="1">IF(ISBLANK(Tabla1[[#This Row],[Fecha Nacimento (dd/mm/yyyy)]]),"",YEARFRAC(Tabla1[[#This Row],[Fecha Nacimento (dd/mm/yyyy)]],TODAY()))</f>
        <v>36.108333333333334</v>
      </c>
      <c r="AW308" s="141"/>
      <c r="AX308" s="27" t="str">
        <f t="shared" si="9"/>
        <v/>
      </c>
    </row>
    <row r="309" spans="1:50" s="27" customFormat="1" x14ac:dyDescent="0.25">
      <c r="A309" s="134">
        <v>309</v>
      </c>
      <c r="B309" s="27" t="s">
        <v>437</v>
      </c>
      <c r="C309" s="27" t="s">
        <v>438</v>
      </c>
      <c r="D309" s="27" t="s">
        <v>141</v>
      </c>
      <c r="E309" s="400">
        <v>41953966</v>
      </c>
      <c r="F309" s="27" t="s">
        <v>142</v>
      </c>
      <c r="G309" s="27" t="s">
        <v>143</v>
      </c>
      <c r="H309" s="136">
        <v>45307</v>
      </c>
      <c r="I309" s="136"/>
      <c r="J309" s="27" t="s">
        <v>144</v>
      </c>
      <c r="K309" s="138">
        <v>1372800</v>
      </c>
      <c r="L309" s="27" t="s">
        <v>145</v>
      </c>
      <c r="M309" s="27" t="s">
        <v>262</v>
      </c>
      <c r="O309" s="139" t="s">
        <v>1763</v>
      </c>
      <c r="Q309" s="27" t="s">
        <v>148</v>
      </c>
      <c r="R309" s="27" t="s">
        <v>149</v>
      </c>
      <c r="S309" s="27" t="s">
        <v>150</v>
      </c>
      <c r="T309" s="27">
        <v>76100001328</v>
      </c>
      <c r="U309" s="37">
        <v>30201</v>
      </c>
      <c r="V309" s="27" t="s">
        <v>1764</v>
      </c>
      <c r="W309" s="27">
        <v>3148274879</v>
      </c>
      <c r="X309" s="27" t="s">
        <v>300</v>
      </c>
      <c r="Y309" s="27" t="s">
        <v>439</v>
      </c>
      <c r="Z309" s="27" t="s">
        <v>440</v>
      </c>
      <c r="AA309" s="27" t="s">
        <v>211</v>
      </c>
      <c r="AB309" s="27" t="s">
        <v>441</v>
      </c>
      <c r="AC309" s="27" t="s">
        <v>160</v>
      </c>
      <c r="AD309" s="27" t="s">
        <v>160</v>
      </c>
      <c r="AE309" s="27" t="s">
        <v>1369</v>
      </c>
      <c r="AF309" s="27" t="s">
        <v>162</v>
      </c>
      <c r="AG309" s="27" t="s">
        <v>177</v>
      </c>
      <c r="AH309" s="27" t="s">
        <v>164</v>
      </c>
      <c r="AI309" s="179"/>
      <c r="AP309" s="136"/>
      <c r="AT309" s="27" t="str">
        <f t="shared" si="8"/>
        <v>Activo</v>
      </c>
      <c r="AU309" s="27" cm="1">
        <f t="array" aca="1" ref="AU309" ca="1">_xlfn.IFS(AT309="","",AT309="Activo",TODAY()-H309,AT309="Inactivo",AP309-H309)</f>
        <v>153</v>
      </c>
      <c r="AV309" s="180">
        <f ca="1">IF(ISBLANK(Tabla1[[#This Row],[Fecha Nacimento (dd/mm/yyyy)]]),"",YEARFRAC(Tabla1[[#This Row],[Fecha Nacimento (dd/mm/yyyy)]],TODAY()))</f>
        <v>41.777777777777779</v>
      </c>
      <c r="AW309" s="141"/>
    </row>
    <row r="310" spans="1:50" s="27" customFormat="1" x14ac:dyDescent="0.25">
      <c r="A310" s="134">
        <v>310</v>
      </c>
      <c r="B310" s="27" t="s">
        <v>442</v>
      </c>
      <c r="C310" s="27" t="s">
        <v>443</v>
      </c>
      <c r="D310" s="27" t="s">
        <v>141</v>
      </c>
      <c r="E310" s="400">
        <v>24499820</v>
      </c>
      <c r="F310" s="27" t="s">
        <v>142</v>
      </c>
      <c r="G310" s="27" t="s">
        <v>143</v>
      </c>
      <c r="H310" s="136">
        <v>45307</v>
      </c>
      <c r="I310" s="136"/>
      <c r="J310" s="27" t="s">
        <v>144</v>
      </c>
      <c r="K310" s="138">
        <v>1372000</v>
      </c>
      <c r="L310" s="27" t="s">
        <v>145</v>
      </c>
      <c r="M310" s="27" t="s">
        <v>262</v>
      </c>
      <c r="O310" s="139" t="s">
        <v>1765</v>
      </c>
      <c r="Q310" s="27" t="s">
        <v>148</v>
      </c>
      <c r="R310" s="27" t="s">
        <v>149</v>
      </c>
      <c r="S310" s="27" t="s">
        <v>150</v>
      </c>
      <c r="T310" s="27">
        <v>76100001327</v>
      </c>
      <c r="U310" s="37">
        <v>26418</v>
      </c>
      <c r="V310" s="27" t="s">
        <v>1766</v>
      </c>
      <c r="W310" s="27">
        <v>3104116489</v>
      </c>
      <c r="X310" s="27" t="s">
        <v>300</v>
      </c>
      <c r="Y310" s="27" t="s">
        <v>439</v>
      </c>
      <c r="Z310" s="27" t="s">
        <v>440</v>
      </c>
      <c r="AA310" s="27" t="s">
        <v>211</v>
      </c>
      <c r="AB310" s="27" t="s">
        <v>158</v>
      </c>
      <c r="AC310" s="27" t="s">
        <v>271</v>
      </c>
      <c r="AD310" s="27" t="s">
        <v>160</v>
      </c>
      <c r="AE310" s="27" t="s">
        <v>1369</v>
      </c>
      <c r="AF310" s="27" t="s">
        <v>162</v>
      </c>
      <c r="AG310" s="27" t="s">
        <v>177</v>
      </c>
      <c r="AH310" s="27" t="s">
        <v>164</v>
      </c>
      <c r="AI310" s="179"/>
      <c r="AP310" s="136"/>
      <c r="AT310" s="27" t="str">
        <f t="shared" si="8"/>
        <v>Activo</v>
      </c>
      <c r="AU310" s="27" cm="1">
        <f t="array" aca="1" ref="AU310" ca="1">_xlfn.IFS(AT310="","",AT310="Activo",TODAY()-H310,AT310="Inactivo",AP310-H310)</f>
        <v>153</v>
      </c>
      <c r="AV310" s="180">
        <f ca="1">IF(ISBLANK(Tabla1[[#This Row],[Fecha Nacimento (dd/mm/yyyy)]]),"",YEARFRAC(Tabla1[[#This Row],[Fecha Nacimento (dd/mm/yyyy)]],TODAY()))</f>
        <v>52.133333333333333</v>
      </c>
      <c r="AW310" s="141"/>
    </row>
    <row r="311" spans="1:50" s="27" customFormat="1" x14ac:dyDescent="0.25">
      <c r="A311" s="134">
        <v>311</v>
      </c>
      <c r="B311" s="27" t="s">
        <v>305</v>
      </c>
      <c r="C311" s="27" t="s">
        <v>306</v>
      </c>
      <c r="D311" s="27" t="s">
        <v>141</v>
      </c>
      <c r="E311" s="400">
        <v>41935534</v>
      </c>
      <c r="F311" s="27" t="s">
        <v>142</v>
      </c>
      <c r="G311" s="27" t="s">
        <v>143</v>
      </c>
      <c r="H311" s="136">
        <v>45307</v>
      </c>
      <c r="I311" s="136"/>
      <c r="J311" s="27" t="s">
        <v>296</v>
      </c>
      <c r="K311" s="137">
        <v>30000000</v>
      </c>
      <c r="L311" s="27" t="s">
        <v>164</v>
      </c>
      <c r="M311" s="27" t="s">
        <v>262</v>
      </c>
      <c r="O311" s="146" t="s">
        <v>307</v>
      </c>
      <c r="Q311" s="27" t="s">
        <v>148</v>
      </c>
      <c r="R311" s="27" t="s">
        <v>168</v>
      </c>
      <c r="S311" s="27" t="s">
        <v>150</v>
      </c>
      <c r="U311" s="37">
        <v>27963</v>
      </c>
      <c r="V311" s="27" t="s">
        <v>299</v>
      </c>
      <c r="W311" s="27">
        <v>3022382707</v>
      </c>
      <c r="X311" s="27" t="s">
        <v>300</v>
      </c>
      <c r="Y311" s="27" t="s">
        <v>269</v>
      </c>
      <c r="Z311" s="27" t="s">
        <v>270</v>
      </c>
      <c r="AA311" s="27" t="s">
        <v>302</v>
      </c>
      <c r="AB311" s="27" t="s">
        <v>158</v>
      </c>
      <c r="AC311" s="27" t="s">
        <v>160</v>
      </c>
      <c r="AE311" s="27" t="s">
        <v>1369</v>
      </c>
      <c r="AF311" s="27" t="s">
        <v>162</v>
      </c>
      <c r="AG311" s="27" t="s">
        <v>163</v>
      </c>
      <c r="AH311" s="27" t="s">
        <v>145</v>
      </c>
      <c r="AI311" s="179">
        <v>29000000</v>
      </c>
      <c r="AP311" s="136"/>
      <c r="AT311" s="27" t="str">
        <f t="shared" si="8"/>
        <v>Activo</v>
      </c>
      <c r="AU311" s="27" cm="1">
        <f t="array" aca="1" ref="AU311" ca="1">_xlfn.IFS(AT311="","",AT311="Activo",TODAY()-H311,AT311="Inactivo",AP311-H311)</f>
        <v>153</v>
      </c>
      <c r="AV311" s="180">
        <f ca="1">IF(ISBLANK(Tabla1[[#This Row],[Fecha Nacimento (dd/mm/yyyy)]]),"",YEARFRAC(Tabla1[[#This Row],[Fecha Nacimento (dd/mm/yyyy)]],TODAY()))</f>
        <v>47.902777777777779</v>
      </c>
      <c r="AW311" s="141"/>
    </row>
    <row r="312" spans="1:50" s="27" customFormat="1" x14ac:dyDescent="0.25">
      <c r="A312" s="134">
        <v>312</v>
      </c>
      <c r="B312" s="27" t="s">
        <v>178</v>
      </c>
      <c r="C312" s="27" t="s">
        <v>295</v>
      </c>
      <c r="D312" s="27" t="s">
        <v>141</v>
      </c>
      <c r="E312" s="400">
        <v>89005598</v>
      </c>
      <c r="F312" s="27" t="s">
        <v>142</v>
      </c>
      <c r="G312" s="27" t="s">
        <v>143</v>
      </c>
      <c r="H312" s="136">
        <v>45307</v>
      </c>
      <c r="I312" s="136"/>
      <c r="J312" s="27" t="s">
        <v>296</v>
      </c>
      <c r="K312" s="138">
        <v>16900000</v>
      </c>
      <c r="L312" s="27" t="s">
        <v>164</v>
      </c>
      <c r="M312" s="27" t="s">
        <v>262</v>
      </c>
      <c r="O312" s="139" t="s">
        <v>297</v>
      </c>
      <c r="Q312" s="27" t="s">
        <v>148</v>
      </c>
      <c r="R312" s="27" t="s">
        <v>168</v>
      </c>
      <c r="S312" s="27" t="s">
        <v>150</v>
      </c>
      <c r="T312" s="198"/>
      <c r="U312" s="37">
        <v>27954</v>
      </c>
      <c r="V312" s="27" t="s">
        <v>299</v>
      </c>
      <c r="W312" s="27">
        <v>3136668172</v>
      </c>
      <c r="X312" s="27" t="s">
        <v>300</v>
      </c>
      <c r="Y312" s="27" t="s">
        <v>269</v>
      </c>
      <c r="Z312" s="27" t="s">
        <v>301</v>
      </c>
      <c r="AA312" s="27" t="s">
        <v>302</v>
      </c>
      <c r="AB312" s="27" t="s">
        <v>186</v>
      </c>
      <c r="AC312" s="27" t="s">
        <v>271</v>
      </c>
      <c r="AE312" s="27" t="s">
        <v>1369</v>
      </c>
      <c r="AF312" s="27" t="s">
        <v>176</v>
      </c>
      <c r="AG312" s="27" t="s">
        <v>163</v>
      </c>
      <c r="AI312" s="179">
        <v>9100000</v>
      </c>
      <c r="AP312" s="136"/>
      <c r="AT312" s="27" t="str">
        <f t="shared" si="8"/>
        <v>Activo</v>
      </c>
      <c r="AU312" s="27" cm="1">
        <f t="array" aca="1" ref="AU312" ca="1">_xlfn.IFS(AT312="","",AT312="Activo",TODAY()-H312,AT312="Inactivo",AP312-H312)</f>
        <v>153</v>
      </c>
      <c r="AV312" s="180">
        <f ca="1">IF(ISBLANK(Tabla1[[#This Row],[Fecha Nacimento (dd/mm/yyyy)]]),"",YEARFRAC(Tabla1[[#This Row],[Fecha Nacimento (dd/mm/yyyy)]],TODAY()))</f>
        <v>47.927777777777777</v>
      </c>
      <c r="AW312" s="141"/>
    </row>
    <row r="313" spans="1:50" s="27" customFormat="1" x14ac:dyDescent="0.25">
      <c r="A313" s="134">
        <v>313</v>
      </c>
      <c r="B313" s="27" t="s">
        <v>1767</v>
      </c>
      <c r="C313" s="27" t="s">
        <v>1768</v>
      </c>
      <c r="D313" s="27" t="s">
        <v>141</v>
      </c>
      <c r="E313" s="400">
        <v>1007730880</v>
      </c>
      <c r="F313" s="27" t="s">
        <v>142</v>
      </c>
      <c r="G313" s="27" t="s">
        <v>143</v>
      </c>
      <c r="H313" s="136">
        <v>45315</v>
      </c>
      <c r="I313" s="136"/>
      <c r="J313" s="27" t="s">
        <v>144</v>
      </c>
      <c r="K313" s="138">
        <v>1300000</v>
      </c>
      <c r="L313" s="27" t="s">
        <v>145</v>
      </c>
      <c r="M313" s="27" t="s">
        <v>355</v>
      </c>
      <c r="N313" s="27" t="s">
        <v>145</v>
      </c>
      <c r="O313" s="139" t="s">
        <v>1769</v>
      </c>
      <c r="Q313" s="27" t="s">
        <v>148</v>
      </c>
      <c r="R313" s="27" t="s">
        <v>168</v>
      </c>
      <c r="S313" s="27" t="s">
        <v>150</v>
      </c>
      <c r="T313" s="180">
        <v>488422470895</v>
      </c>
      <c r="U313" s="197">
        <v>36779</v>
      </c>
      <c r="V313" s="27" t="s">
        <v>1770</v>
      </c>
      <c r="W313" s="27">
        <v>3225892978</v>
      </c>
      <c r="X313" s="27" t="s">
        <v>268</v>
      </c>
      <c r="Y313" s="27" t="s">
        <v>367</v>
      </c>
      <c r="Z313" s="27" t="s">
        <v>368</v>
      </c>
      <c r="AA313" s="27" t="s">
        <v>1771</v>
      </c>
      <c r="AB313" s="27" t="s">
        <v>259</v>
      </c>
      <c r="AC313" s="27" t="s">
        <v>271</v>
      </c>
      <c r="AD313" s="27" t="s">
        <v>271</v>
      </c>
      <c r="AE313" s="27" t="s">
        <v>272</v>
      </c>
      <c r="AF313" s="27" t="s">
        <v>176</v>
      </c>
      <c r="AG313" s="27" t="s">
        <v>177</v>
      </c>
      <c r="AH313" s="27" t="s">
        <v>145</v>
      </c>
      <c r="AI313" s="179">
        <v>160000</v>
      </c>
      <c r="AJ313" s="27" t="s">
        <v>164</v>
      </c>
      <c r="AK313" s="27" t="s">
        <v>214</v>
      </c>
      <c r="AL313" s="27" t="s">
        <v>214</v>
      </c>
      <c r="AM313" s="27" t="s">
        <v>145</v>
      </c>
      <c r="AN313" s="27" t="s">
        <v>1069</v>
      </c>
      <c r="AO313" s="27" t="s">
        <v>164</v>
      </c>
      <c r="AP313" s="136">
        <v>45342</v>
      </c>
      <c r="AQ313" s="27" t="s">
        <v>52</v>
      </c>
      <c r="AT313" s="27" t="str">
        <f t="shared" si="8"/>
        <v>Inactivo</v>
      </c>
      <c r="AU313" s="27" cm="1">
        <f t="array" aca="1" ref="AU313" ca="1">_xlfn.IFS(AT313="","",AT313="Activo",TODAY()-H313,AT313="Inactivo",AP313-H313)</f>
        <v>27</v>
      </c>
      <c r="AV313" s="180">
        <f ca="1">IF(ISBLANK(Tabla1[[#This Row],[Fecha Nacimento (dd/mm/yyyy)]]),"",YEARFRAC(Tabla1[[#This Row],[Fecha Nacimento (dd/mm/yyyy)]],TODAY()))</f>
        <v>23.769444444444446</v>
      </c>
      <c r="AW313" s="141"/>
    </row>
    <row r="314" spans="1:50" s="27" customFormat="1" x14ac:dyDescent="0.25">
      <c r="A314" s="134">
        <v>314</v>
      </c>
      <c r="B314" s="27" t="s">
        <v>1772</v>
      </c>
      <c r="C314" s="27" t="s">
        <v>1773</v>
      </c>
      <c r="D314" s="27" t="s">
        <v>141</v>
      </c>
      <c r="E314" s="400">
        <v>89003300</v>
      </c>
      <c r="F314" s="27" t="s">
        <v>142</v>
      </c>
      <c r="G314" s="27" t="s">
        <v>143</v>
      </c>
      <c r="H314" s="136">
        <v>45139</v>
      </c>
      <c r="I314" s="136"/>
      <c r="J314" s="27" t="s">
        <v>144</v>
      </c>
      <c r="K314" s="138">
        <v>1300000</v>
      </c>
      <c r="L314" s="27" t="s">
        <v>145</v>
      </c>
      <c r="M314" s="27" t="s">
        <v>203</v>
      </c>
      <c r="N314" s="27" t="s">
        <v>145</v>
      </c>
      <c r="O314" s="139" t="s">
        <v>1774</v>
      </c>
      <c r="Q314" s="27" t="s">
        <v>205</v>
      </c>
      <c r="U314" s="197">
        <v>27602</v>
      </c>
      <c r="V314" s="27" t="s">
        <v>1775</v>
      </c>
      <c r="W314" s="27">
        <v>3108961998</v>
      </c>
      <c r="X314" s="27" t="s">
        <v>1037</v>
      </c>
      <c r="Y314" s="27" t="s">
        <v>172</v>
      </c>
      <c r="Z314" s="27" t="s">
        <v>1776</v>
      </c>
      <c r="AA314" s="27" t="s">
        <v>1077</v>
      </c>
      <c r="AB314" s="27" t="s">
        <v>212</v>
      </c>
      <c r="AC314" s="27" t="s">
        <v>271</v>
      </c>
      <c r="AD314" s="27" t="s">
        <v>271</v>
      </c>
      <c r="AE314" s="27" t="s">
        <v>1039</v>
      </c>
      <c r="AF314" s="27" t="s">
        <v>176</v>
      </c>
      <c r="AG314" s="27" t="s">
        <v>177</v>
      </c>
      <c r="AH314" s="27" t="s">
        <v>164</v>
      </c>
      <c r="AI314" s="179"/>
      <c r="AJ314" s="27" t="s">
        <v>164</v>
      </c>
      <c r="AK314" s="27" t="s">
        <v>214</v>
      </c>
      <c r="AL314" s="27" t="s">
        <v>214</v>
      </c>
      <c r="AM314" s="27" t="s">
        <v>164</v>
      </c>
      <c r="AN314" s="27" t="s">
        <v>214</v>
      </c>
      <c r="AO314" s="27" t="s">
        <v>164</v>
      </c>
      <c r="AP314" s="136"/>
      <c r="AT314" s="27" t="str">
        <f t="shared" si="8"/>
        <v>Activo</v>
      </c>
      <c r="AU314" s="27" cm="1">
        <f t="array" aca="1" ref="AU314" ca="1">_xlfn.IFS(AT314="","",AT314="Activo",TODAY()-H314,AT314="Inactivo",AP314-H314)</f>
        <v>321</v>
      </c>
      <c r="AV314" s="180">
        <f ca="1">IF(ISBLANK(Tabla1[[#This Row],[Fecha Nacimento (dd/mm/yyyy)]]),"",YEARFRAC(Tabla1[[#This Row],[Fecha Nacimento (dd/mm/yyyy)]],TODAY()))</f>
        <v>48.888888888888886</v>
      </c>
      <c r="AW314" s="141"/>
    </row>
    <row r="315" spans="1:50" s="27" customFormat="1" x14ac:dyDescent="0.25">
      <c r="A315" s="134">
        <v>315</v>
      </c>
      <c r="B315" s="27" t="s">
        <v>1777</v>
      </c>
      <c r="C315" s="27" t="s">
        <v>1778</v>
      </c>
      <c r="D315" s="27" t="s">
        <v>141</v>
      </c>
      <c r="E315" s="400">
        <v>1116441248</v>
      </c>
      <c r="F315" s="27" t="s">
        <v>142</v>
      </c>
      <c r="G315" s="27" t="s">
        <v>143</v>
      </c>
      <c r="H315" s="136">
        <v>44941</v>
      </c>
      <c r="I315" s="136"/>
      <c r="J315" s="27" t="s">
        <v>144</v>
      </c>
      <c r="K315" s="138">
        <v>1300000</v>
      </c>
      <c r="L315" s="27" t="s">
        <v>145</v>
      </c>
      <c r="M315" s="27" t="s">
        <v>203</v>
      </c>
      <c r="N315" s="27" t="s">
        <v>145</v>
      </c>
      <c r="O315" s="139" t="s">
        <v>1779</v>
      </c>
      <c r="Q315" s="27" t="s">
        <v>148</v>
      </c>
      <c r="R315" s="27" t="s">
        <v>149</v>
      </c>
      <c r="S315" s="27" t="s">
        <v>150</v>
      </c>
      <c r="T315" s="28" t="s">
        <v>1780</v>
      </c>
      <c r="U315" s="197">
        <v>33803</v>
      </c>
      <c r="V315" s="27" t="s">
        <v>1781</v>
      </c>
      <c r="W315" s="199" t="s">
        <v>1782</v>
      </c>
      <c r="X315" s="27" t="s">
        <v>1037</v>
      </c>
      <c r="Y315" s="27" t="s">
        <v>1783</v>
      </c>
      <c r="Z315" s="27" t="s">
        <v>1784</v>
      </c>
      <c r="AA315" s="27" t="s">
        <v>1573</v>
      </c>
      <c r="AB315" s="27" t="s">
        <v>175</v>
      </c>
      <c r="AC315" s="27" t="s">
        <v>160</v>
      </c>
      <c r="AD315" s="27" t="s">
        <v>160</v>
      </c>
      <c r="AE315" s="27" t="s">
        <v>1039</v>
      </c>
      <c r="AF315" s="27" t="s">
        <v>162</v>
      </c>
      <c r="AG315" s="27" t="s">
        <v>177</v>
      </c>
      <c r="AH315" s="27" t="s">
        <v>145</v>
      </c>
      <c r="AI315" s="179">
        <v>242000</v>
      </c>
      <c r="AJ315" s="27" t="s">
        <v>164</v>
      </c>
      <c r="AK315" s="27" t="s">
        <v>214</v>
      </c>
      <c r="AL315" s="27" t="s">
        <v>214</v>
      </c>
      <c r="AM315" s="27" t="s">
        <v>164</v>
      </c>
      <c r="AN315" s="27" t="s">
        <v>214</v>
      </c>
      <c r="AO315" s="27" t="s">
        <v>164</v>
      </c>
      <c r="AP315" s="136"/>
      <c r="AT315" s="27" t="str">
        <f t="shared" si="8"/>
        <v>Activo</v>
      </c>
      <c r="AU315" s="27" cm="1">
        <f t="array" aca="1" ref="AU315" ca="1">_xlfn.IFS(AT315="","",AT315="Activo",TODAY()-H315,AT315="Inactivo",AP315-H315)</f>
        <v>519</v>
      </c>
      <c r="AV315" s="180">
        <f ca="1">IF(ISBLANK(Tabla1[[#This Row],[Fecha Nacimento (dd/mm/yyyy)]]),"",YEARFRAC(Tabla1[[#This Row],[Fecha Nacimento (dd/mm/yyyy)]],TODAY()))</f>
        <v>31.913888888888888</v>
      </c>
      <c r="AW315" s="141"/>
    </row>
    <row r="316" spans="1:50" s="27" customFormat="1" x14ac:dyDescent="0.25">
      <c r="A316" s="134">
        <v>316</v>
      </c>
      <c r="B316" s="27" t="s">
        <v>252</v>
      </c>
      <c r="C316" s="27" t="s">
        <v>1785</v>
      </c>
      <c r="D316" s="27" t="s">
        <v>141</v>
      </c>
      <c r="E316" s="400">
        <v>1094942867</v>
      </c>
      <c r="F316" s="27" t="s">
        <v>142</v>
      </c>
      <c r="G316" s="27" t="s">
        <v>143</v>
      </c>
      <c r="H316" s="136">
        <v>45112</v>
      </c>
      <c r="I316" s="136"/>
      <c r="J316" s="27" t="s">
        <v>144</v>
      </c>
      <c r="K316" s="138">
        <v>4000000</v>
      </c>
      <c r="L316" s="27" t="s">
        <v>164</v>
      </c>
      <c r="M316" s="27" t="s">
        <v>262</v>
      </c>
      <c r="N316" s="27" t="s">
        <v>145</v>
      </c>
      <c r="O316" s="200" t="s">
        <v>1786</v>
      </c>
      <c r="Q316" s="27" t="s">
        <v>148</v>
      </c>
      <c r="R316" s="27" t="s">
        <v>149</v>
      </c>
      <c r="S316" s="27" t="s">
        <v>150</v>
      </c>
      <c r="T316" s="27">
        <v>75685210355</v>
      </c>
      <c r="U316" s="197">
        <v>34517</v>
      </c>
      <c r="V316" s="27" t="s">
        <v>1787</v>
      </c>
      <c r="W316" s="27">
        <v>3173763478</v>
      </c>
      <c r="X316" s="27" t="s">
        <v>154</v>
      </c>
      <c r="Y316" s="27" t="s">
        <v>1046</v>
      </c>
      <c r="Z316" s="27" t="s">
        <v>1788</v>
      </c>
      <c r="AA316" s="27" t="s">
        <v>1077</v>
      </c>
      <c r="AB316" s="27" t="s">
        <v>158</v>
      </c>
      <c r="AC316" s="27" t="s">
        <v>160</v>
      </c>
      <c r="AD316" s="27" t="s">
        <v>160</v>
      </c>
      <c r="AE316" s="27" t="s">
        <v>1048</v>
      </c>
      <c r="AF316" s="27" t="s">
        <v>176</v>
      </c>
      <c r="AG316" s="27" t="s">
        <v>163</v>
      </c>
      <c r="AH316" s="27" t="s">
        <v>145</v>
      </c>
      <c r="AI316" s="179">
        <v>2000000</v>
      </c>
      <c r="AJ316" s="27" t="s">
        <v>164</v>
      </c>
      <c r="AK316" s="27" t="s">
        <v>214</v>
      </c>
      <c r="AL316" s="27" t="s">
        <v>214</v>
      </c>
      <c r="AM316" s="27" t="s">
        <v>164</v>
      </c>
      <c r="AN316" s="27" t="s">
        <v>214</v>
      </c>
      <c r="AO316" s="27" t="s">
        <v>214</v>
      </c>
      <c r="AP316" s="136"/>
      <c r="AT316" s="27" t="str">
        <f t="shared" si="8"/>
        <v>Activo</v>
      </c>
      <c r="AU316" s="27" cm="1">
        <f t="array" aca="1" ref="AU316" ca="1">_xlfn.IFS(AT316="","",AT316="Activo",TODAY()-H316,AT316="Inactivo",AP316-H316)</f>
        <v>348</v>
      </c>
      <c r="AV316" s="180">
        <f ca="1">IF(ISBLANK(Tabla1[[#This Row],[Fecha Nacimento (dd/mm/yyyy)]]),"",YEARFRAC(Tabla1[[#This Row],[Fecha Nacimento (dd/mm/yyyy)]],TODAY()))</f>
        <v>29.958333333333332</v>
      </c>
      <c r="AW316" s="141"/>
    </row>
    <row r="317" spans="1:50" s="27" customFormat="1" x14ac:dyDescent="0.25">
      <c r="A317" s="134">
        <v>317</v>
      </c>
      <c r="B317" s="27" t="s">
        <v>1789</v>
      </c>
      <c r="C317" s="27" t="s">
        <v>1790</v>
      </c>
      <c r="D317" s="27" t="s">
        <v>141</v>
      </c>
      <c r="E317" s="400">
        <v>1094952981</v>
      </c>
      <c r="F317" s="27" t="s">
        <v>142</v>
      </c>
      <c r="G317" s="27" t="s">
        <v>143</v>
      </c>
      <c r="H317" s="136">
        <v>44743</v>
      </c>
      <c r="I317" s="136"/>
      <c r="J317" s="27" t="s">
        <v>144</v>
      </c>
      <c r="K317" s="138">
        <v>6000000</v>
      </c>
      <c r="L317" s="27" t="s">
        <v>164</v>
      </c>
      <c r="M317" s="27" t="s">
        <v>262</v>
      </c>
      <c r="N317" s="27" t="s">
        <v>145</v>
      </c>
      <c r="O317" s="200" t="s">
        <v>1791</v>
      </c>
      <c r="Q317" s="27" t="s">
        <v>148</v>
      </c>
      <c r="R317" s="27" t="s">
        <v>149</v>
      </c>
      <c r="S317" s="27" t="s">
        <v>150</v>
      </c>
      <c r="T317" s="27">
        <v>86749336660</v>
      </c>
      <c r="U317" s="197">
        <v>35010</v>
      </c>
      <c r="V317" s="27" t="s">
        <v>1792</v>
      </c>
      <c r="W317" s="27">
        <v>3112943312</v>
      </c>
      <c r="X317" s="27" t="s">
        <v>154</v>
      </c>
      <c r="Y317" s="27" t="s">
        <v>1046</v>
      </c>
      <c r="Z317" s="27" t="s">
        <v>1047</v>
      </c>
      <c r="AA317" s="27" t="s">
        <v>302</v>
      </c>
      <c r="AB317" s="27" t="s">
        <v>158</v>
      </c>
      <c r="AC317" s="27" t="s">
        <v>159</v>
      </c>
      <c r="AD317" s="27" t="s">
        <v>160</v>
      </c>
      <c r="AE317" s="27" t="s">
        <v>1048</v>
      </c>
      <c r="AF317" s="27" t="s">
        <v>162</v>
      </c>
      <c r="AG317" s="27" t="s">
        <v>163</v>
      </c>
      <c r="AH317" s="27" t="s">
        <v>164</v>
      </c>
      <c r="AI317" s="179"/>
      <c r="AJ317" s="27" t="s">
        <v>164</v>
      </c>
      <c r="AK317" s="27" t="s">
        <v>214</v>
      </c>
      <c r="AL317" s="27" t="s">
        <v>214</v>
      </c>
      <c r="AM317" s="27" t="s">
        <v>164</v>
      </c>
      <c r="AN317" s="27" t="s">
        <v>214</v>
      </c>
      <c r="AO317" s="27" t="s">
        <v>214</v>
      </c>
      <c r="AP317" s="136"/>
      <c r="AT317" s="27" t="str">
        <f t="shared" si="8"/>
        <v>Activo</v>
      </c>
      <c r="AU317" s="27" cm="1">
        <f t="array" aca="1" ref="AU317" ca="1">_xlfn.IFS(AT317="","",AT317="Activo",TODAY()-H317,AT317="Inactivo",AP317-H317)</f>
        <v>717</v>
      </c>
      <c r="AV317" s="180">
        <f ca="1">IF(ISBLANK(Tabla1[[#This Row],[Fecha Nacimento (dd/mm/yyyy)]]),"",YEARFRAC(Tabla1[[#This Row],[Fecha Nacimento (dd/mm/yyyy)]],TODAY()))</f>
        <v>28.611111111111111</v>
      </c>
      <c r="AW317" s="141"/>
    </row>
    <row r="318" spans="1:50" s="27" customFormat="1" x14ac:dyDescent="0.25">
      <c r="A318" s="134">
        <v>318</v>
      </c>
      <c r="B318" s="27" t="s">
        <v>1793</v>
      </c>
      <c r="C318" s="27" t="s">
        <v>1794</v>
      </c>
      <c r="D318" s="27" t="s">
        <v>141</v>
      </c>
      <c r="E318" s="400">
        <v>1117015421</v>
      </c>
      <c r="F318" s="27" t="s">
        <v>142</v>
      </c>
      <c r="G318" s="27" t="s">
        <v>143</v>
      </c>
      <c r="H318" s="136">
        <v>45307</v>
      </c>
      <c r="I318" s="136"/>
      <c r="J318" s="27" t="s">
        <v>144</v>
      </c>
      <c r="K318" s="138">
        <v>1300000</v>
      </c>
      <c r="L318" s="27" t="s">
        <v>145</v>
      </c>
      <c r="M318" s="27" t="s">
        <v>355</v>
      </c>
      <c r="N318" s="27" t="s">
        <v>145</v>
      </c>
      <c r="O318" s="139" t="s">
        <v>1795</v>
      </c>
      <c r="Q318" s="27" t="s">
        <v>148</v>
      </c>
      <c r="R318" s="27" t="s">
        <v>426</v>
      </c>
      <c r="S318" s="27" t="s">
        <v>150</v>
      </c>
      <c r="T318" s="28" t="s">
        <v>1796</v>
      </c>
      <c r="U318" s="197">
        <v>38591</v>
      </c>
      <c r="V318" s="27" t="s">
        <v>1797</v>
      </c>
      <c r="W318" s="27">
        <v>3217727130</v>
      </c>
      <c r="X318" s="27" t="s">
        <v>685</v>
      </c>
      <c r="Y318" s="27" t="s">
        <v>1456</v>
      </c>
      <c r="Z318" s="27" t="s">
        <v>828</v>
      </c>
      <c r="AA318" s="27" t="s">
        <v>881</v>
      </c>
      <c r="AB318" s="27" t="s">
        <v>175</v>
      </c>
      <c r="AC318" s="27" t="s">
        <v>159</v>
      </c>
      <c r="AD318" s="27" t="s">
        <v>271</v>
      </c>
      <c r="AE318" s="27" t="s">
        <v>616</v>
      </c>
      <c r="AF318" s="27" t="s">
        <v>162</v>
      </c>
      <c r="AG318" s="27" t="s">
        <v>177</v>
      </c>
      <c r="AH318" s="27" t="s">
        <v>164</v>
      </c>
      <c r="AI318" s="179"/>
      <c r="AJ318" s="27" t="s">
        <v>304</v>
      </c>
      <c r="AK318" s="27" t="s">
        <v>214</v>
      </c>
      <c r="AL318" s="27" t="s">
        <v>214</v>
      </c>
      <c r="AM318" s="27" t="s">
        <v>164</v>
      </c>
      <c r="AN318" s="27" t="s">
        <v>214</v>
      </c>
      <c r="AO318" s="27" t="s">
        <v>214</v>
      </c>
      <c r="AP318" s="136"/>
      <c r="AT318" s="27" t="str">
        <f t="shared" si="8"/>
        <v>Activo</v>
      </c>
      <c r="AU318" s="27" cm="1">
        <f t="array" aca="1" ref="AU318" ca="1">_xlfn.IFS(AT318="","",AT318="Activo",TODAY()-H318,AT318="Inactivo",AP318-H318)</f>
        <v>153</v>
      </c>
      <c r="AV318" s="180">
        <f ca="1">IF(ISBLANK(Tabla1[[#This Row],[Fecha Nacimento (dd/mm/yyyy)]]),"",YEARFRAC(Tabla1[[#This Row],[Fecha Nacimento (dd/mm/yyyy)]],TODAY()))</f>
        <v>18.805555555555557</v>
      </c>
      <c r="AW318" s="141"/>
    </row>
    <row r="319" spans="1:50" s="27" customFormat="1" x14ac:dyDescent="0.25">
      <c r="A319" s="134">
        <v>319</v>
      </c>
      <c r="B319" s="27" t="s">
        <v>1798</v>
      </c>
      <c r="C319" s="27" t="s">
        <v>1799</v>
      </c>
      <c r="D319" s="27" t="s">
        <v>141</v>
      </c>
      <c r="E319" s="400">
        <v>1116447588</v>
      </c>
      <c r="F319" s="27" t="s">
        <v>142</v>
      </c>
      <c r="G319" s="27" t="s">
        <v>143</v>
      </c>
      <c r="H319" s="136">
        <v>45299</v>
      </c>
      <c r="I319" s="136"/>
      <c r="J319" s="27" t="s">
        <v>144</v>
      </c>
      <c r="K319" s="138">
        <v>1300000</v>
      </c>
      <c r="L319" s="27" t="s">
        <v>145</v>
      </c>
      <c r="M319" s="27" t="s">
        <v>203</v>
      </c>
      <c r="N319" s="27" t="s">
        <v>145</v>
      </c>
      <c r="O319" s="139"/>
      <c r="Q319" s="27" t="s">
        <v>205</v>
      </c>
      <c r="U319" s="197">
        <v>35670</v>
      </c>
      <c r="V319" s="27" t="s">
        <v>1800</v>
      </c>
      <c r="W319" s="28"/>
      <c r="X319" s="27" t="s">
        <v>436</v>
      </c>
      <c r="Y319" s="27" t="s">
        <v>1783</v>
      </c>
      <c r="Z319" s="27" t="s">
        <v>457</v>
      </c>
      <c r="AA319" s="27" t="s">
        <v>1573</v>
      </c>
      <c r="AB319" s="27" t="s">
        <v>175</v>
      </c>
      <c r="AC319" s="27" t="s">
        <v>160</v>
      </c>
      <c r="AD319" s="27" t="s">
        <v>160</v>
      </c>
      <c r="AE319" s="27" t="s">
        <v>344</v>
      </c>
      <c r="AF319" s="27" t="s">
        <v>176</v>
      </c>
      <c r="AG319" s="27" t="s">
        <v>177</v>
      </c>
      <c r="AH319" s="27" t="s">
        <v>164</v>
      </c>
      <c r="AI319" s="179"/>
      <c r="AJ319" s="27" t="s">
        <v>304</v>
      </c>
      <c r="AK319" s="27" t="s">
        <v>214</v>
      </c>
      <c r="AL319" s="27" t="s">
        <v>214</v>
      </c>
      <c r="AM319" s="27" t="s">
        <v>164</v>
      </c>
      <c r="AN319" s="27" t="s">
        <v>214</v>
      </c>
      <c r="AO319" s="27" t="s">
        <v>214</v>
      </c>
      <c r="AP319" s="136"/>
      <c r="AT319" s="27" t="str">
        <f t="shared" si="8"/>
        <v>Activo</v>
      </c>
      <c r="AU319" s="27" cm="1">
        <f t="array" aca="1" ref="AU319" ca="1">_xlfn.IFS(AT319="","",AT319="Activo",TODAY()-H319,AT319="Inactivo",AP319-H319)</f>
        <v>161</v>
      </c>
      <c r="AV319" s="180">
        <f ca="1">IF(ISBLANK(Tabla1[[#This Row],[Fecha Nacimento (dd/mm/yyyy)]]),"",YEARFRAC(Tabla1[[#This Row],[Fecha Nacimento (dd/mm/yyyy)]],TODAY()))</f>
        <v>26.802777777777777</v>
      </c>
      <c r="AW319" s="141"/>
    </row>
    <row r="320" spans="1:50" s="27" customFormat="1" x14ac:dyDescent="0.25">
      <c r="A320" s="134">
        <v>320</v>
      </c>
      <c r="B320" s="27" t="s">
        <v>1801</v>
      </c>
      <c r="C320" s="27" t="s">
        <v>1802</v>
      </c>
      <c r="D320" s="27" t="s">
        <v>141</v>
      </c>
      <c r="E320" s="400">
        <v>94231737</v>
      </c>
      <c r="F320" s="27" t="s">
        <v>142</v>
      </c>
      <c r="G320" s="27" t="s">
        <v>143</v>
      </c>
      <c r="H320" s="136">
        <v>45313</v>
      </c>
      <c r="I320" s="136"/>
      <c r="J320" s="27" t="s">
        <v>144</v>
      </c>
      <c r="K320" s="138">
        <v>1300000</v>
      </c>
      <c r="L320" s="27" t="s">
        <v>145</v>
      </c>
      <c r="M320" s="27" t="s">
        <v>203</v>
      </c>
      <c r="N320" s="27" t="s">
        <v>145</v>
      </c>
      <c r="O320" s="139" t="s">
        <v>1803</v>
      </c>
      <c r="Q320" s="27" t="s">
        <v>148</v>
      </c>
      <c r="R320" s="27" t="s">
        <v>371</v>
      </c>
      <c r="S320" s="27" t="s">
        <v>150</v>
      </c>
      <c r="T320" s="27">
        <v>3214333994</v>
      </c>
      <c r="U320" s="197">
        <v>29532</v>
      </c>
      <c r="V320" s="27" t="s">
        <v>1804</v>
      </c>
      <c r="W320" s="27">
        <v>3214333994</v>
      </c>
      <c r="X320" s="27" t="s">
        <v>231</v>
      </c>
      <c r="Y320" s="27" t="s">
        <v>172</v>
      </c>
      <c r="Z320" s="27" t="s">
        <v>223</v>
      </c>
      <c r="AA320" s="27" t="s">
        <v>1573</v>
      </c>
      <c r="AB320" s="27" t="s">
        <v>233</v>
      </c>
      <c r="AC320" s="27" t="s">
        <v>159</v>
      </c>
      <c r="AD320" s="27" t="s">
        <v>160</v>
      </c>
      <c r="AE320" s="27" t="s">
        <v>1369</v>
      </c>
      <c r="AF320" s="27" t="s">
        <v>176</v>
      </c>
      <c r="AG320" s="27" t="s">
        <v>177</v>
      </c>
      <c r="AH320" s="27" t="s">
        <v>164</v>
      </c>
      <c r="AI320" s="179"/>
      <c r="AP320" s="136"/>
      <c r="AT320" s="27" t="str">
        <f t="shared" si="8"/>
        <v>Activo</v>
      </c>
      <c r="AU320" s="27" cm="1">
        <f t="array" aca="1" ref="AU320" ca="1">_xlfn.IFS(AT320="","",AT320="Activo",TODAY()-H320,AT320="Inactivo",AP320-H320)</f>
        <v>147</v>
      </c>
      <c r="AV320" s="180">
        <f ca="1">IF(ISBLANK(Tabla1[[#This Row],[Fecha Nacimento (dd/mm/yyyy)]]),"",YEARFRAC(Tabla1[[#This Row],[Fecha Nacimento (dd/mm/yyyy)]],TODAY()))</f>
        <v>43.611111111111114</v>
      </c>
      <c r="AW320" s="141"/>
    </row>
    <row r="321" spans="1:49" s="27" customFormat="1" x14ac:dyDescent="0.25">
      <c r="A321" s="134">
        <v>321</v>
      </c>
      <c r="B321" s="27" t="s">
        <v>1805</v>
      </c>
      <c r="C321" s="27" t="s">
        <v>1806</v>
      </c>
      <c r="D321" s="27" t="s">
        <v>141</v>
      </c>
      <c r="E321" s="400">
        <v>1005159973</v>
      </c>
      <c r="F321" s="27" t="s">
        <v>142</v>
      </c>
      <c r="G321" s="27" t="s">
        <v>143</v>
      </c>
      <c r="H321" s="136">
        <v>45314</v>
      </c>
      <c r="I321" s="136"/>
      <c r="J321" s="27" t="s">
        <v>144</v>
      </c>
      <c r="K321" s="138">
        <v>1300000</v>
      </c>
      <c r="L321" s="27" t="s">
        <v>145</v>
      </c>
      <c r="M321" s="27" t="s">
        <v>203</v>
      </c>
      <c r="N321" s="27" t="s">
        <v>145</v>
      </c>
      <c r="O321" s="213" t="s">
        <v>1807</v>
      </c>
      <c r="Q321" s="27" t="s">
        <v>148</v>
      </c>
      <c r="R321" s="27" t="s">
        <v>168</v>
      </c>
      <c r="S321" s="27" t="s">
        <v>150</v>
      </c>
      <c r="T321" s="28" t="s">
        <v>1808</v>
      </c>
      <c r="U321" s="197">
        <v>37226</v>
      </c>
      <c r="V321" s="27" t="s">
        <v>1804</v>
      </c>
      <c r="W321" s="27">
        <v>3016694519</v>
      </c>
      <c r="X321" s="27" t="s">
        <v>231</v>
      </c>
      <c r="Y321" s="27" t="s">
        <v>172</v>
      </c>
      <c r="Z321" s="27" t="s">
        <v>223</v>
      </c>
      <c r="AA321" s="27" t="s">
        <v>1077</v>
      </c>
      <c r="AB321" s="27" t="s">
        <v>233</v>
      </c>
      <c r="AC321" s="27" t="s">
        <v>160</v>
      </c>
      <c r="AD321" s="27" t="s">
        <v>160</v>
      </c>
      <c r="AE321" s="27" t="s">
        <v>1369</v>
      </c>
      <c r="AF321" s="27" t="s">
        <v>176</v>
      </c>
      <c r="AG321" s="27" t="s">
        <v>177</v>
      </c>
      <c r="AH321" s="27" t="s">
        <v>164</v>
      </c>
      <c r="AI321" s="179"/>
      <c r="AP321" s="136"/>
      <c r="AT321" s="27" t="str">
        <f t="shared" si="8"/>
        <v>Activo</v>
      </c>
      <c r="AU321" s="27" cm="1">
        <f t="array" aca="1" ref="AU321" ca="1">_xlfn.IFS(AT321="","",AT321="Activo",TODAY()-H321,AT321="Inactivo",AP321-H321)</f>
        <v>146</v>
      </c>
      <c r="AV321" s="180">
        <f ca="1">IF(ISBLANK(Tabla1[[#This Row],[Fecha Nacimento (dd/mm/yyyy)]]),"",YEARFRAC(Tabla1[[#This Row],[Fecha Nacimento (dd/mm/yyyy)]],TODAY()))</f>
        <v>22.544444444444444</v>
      </c>
      <c r="AW321" s="141"/>
    </row>
    <row r="322" spans="1:49" s="27" customFormat="1" x14ac:dyDescent="0.25">
      <c r="A322" s="134">
        <v>322</v>
      </c>
      <c r="B322" s="27" t="s">
        <v>1809</v>
      </c>
      <c r="C322" s="27" t="s">
        <v>1810</v>
      </c>
      <c r="D322" s="27" t="s">
        <v>141</v>
      </c>
      <c r="E322" s="400">
        <v>16500918</v>
      </c>
      <c r="F322" s="27" t="s">
        <v>142</v>
      </c>
      <c r="G322" s="27" t="s">
        <v>143</v>
      </c>
      <c r="H322" s="136">
        <v>45313</v>
      </c>
      <c r="I322" s="136"/>
      <c r="J322" s="27" t="s">
        <v>144</v>
      </c>
      <c r="K322" s="138">
        <v>1300000</v>
      </c>
      <c r="L322" s="27" t="s">
        <v>145</v>
      </c>
      <c r="M322" s="27" t="s">
        <v>203</v>
      </c>
      <c r="N322" s="27" t="s">
        <v>145</v>
      </c>
      <c r="O322" s="139"/>
      <c r="Q322" s="27" t="s">
        <v>148</v>
      </c>
      <c r="U322" s="197">
        <v>26605</v>
      </c>
      <c r="V322" s="27" t="s">
        <v>1811</v>
      </c>
      <c r="W322" s="27">
        <v>3102281779</v>
      </c>
      <c r="X322" s="27" t="s">
        <v>231</v>
      </c>
      <c r="Y322" s="27" t="s">
        <v>1783</v>
      </c>
      <c r="Z322" s="27" t="s">
        <v>223</v>
      </c>
      <c r="AA322" s="27" t="s">
        <v>1573</v>
      </c>
      <c r="AB322" s="27" t="s">
        <v>158</v>
      </c>
      <c r="AC322" s="27" t="s">
        <v>1812</v>
      </c>
      <c r="AD322" s="27" t="s">
        <v>160</v>
      </c>
      <c r="AE322" s="27" t="s">
        <v>1369</v>
      </c>
      <c r="AF322" s="27" t="s">
        <v>176</v>
      </c>
      <c r="AG322" s="27" t="s">
        <v>177</v>
      </c>
      <c r="AH322" s="27" t="s">
        <v>164</v>
      </c>
      <c r="AI322" s="179"/>
      <c r="AP322" s="136"/>
      <c r="AT322" s="27" t="str">
        <f t="shared" si="8"/>
        <v>Activo</v>
      </c>
      <c r="AU322" s="27" cm="1">
        <f t="array" aca="1" ref="AU322" ca="1">_xlfn.IFS(AT322="","",AT322="Activo",TODAY()-H322,AT322="Inactivo",AP322-H322)</f>
        <v>147</v>
      </c>
      <c r="AV322" s="180">
        <f ca="1">IF(ISBLANK(Tabla1[[#This Row],[Fecha Nacimento (dd/mm/yyyy)]]),"",YEARFRAC(Tabla1[[#This Row],[Fecha Nacimento (dd/mm/yyyy)]],TODAY()))</f>
        <v>51.625</v>
      </c>
      <c r="AW322" s="141"/>
    </row>
    <row r="323" spans="1:49" s="27" customFormat="1" x14ac:dyDescent="0.25">
      <c r="A323" s="134">
        <v>323</v>
      </c>
      <c r="B323" s="27" t="s">
        <v>1813</v>
      </c>
      <c r="C323" s="27" t="s">
        <v>1814</v>
      </c>
      <c r="D323" s="27" t="s">
        <v>141</v>
      </c>
      <c r="E323" s="400">
        <v>1006575191</v>
      </c>
      <c r="F323" s="27" t="s">
        <v>142</v>
      </c>
      <c r="G323" s="27" t="s">
        <v>143</v>
      </c>
      <c r="H323" s="136">
        <v>45276</v>
      </c>
      <c r="I323" s="136"/>
      <c r="J323" s="27" t="s">
        <v>144</v>
      </c>
      <c r="K323" s="138">
        <v>1300000</v>
      </c>
      <c r="L323" s="27" t="s">
        <v>145</v>
      </c>
      <c r="M323" s="27" t="s">
        <v>203</v>
      </c>
      <c r="N323" s="27" t="s">
        <v>145</v>
      </c>
      <c r="O323" s="139" t="s">
        <v>1815</v>
      </c>
      <c r="Q323" s="27" t="s">
        <v>205</v>
      </c>
      <c r="U323" s="197">
        <v>37268</v>
      </c>
      <c r="V323" s="27" t="s">
        <v>1816</v>
      </c>
      <c r="W323" s="27">
        <v>3126495609</v>
      </c>
      <c r="X323" s="27" t="s">
        <v>1551</v>
      </c>
      <c r="Y323" s="27" t="s">
        <v>1817</v>
      </c>
      <c r="Z323" s="27" t="s">
        <v>1673</v>
      </c>
      <c r="AA323" s="27" t="s">
        <v>1573</v>
      </c>
      <c r="AB323" s="27" t="s">
        <v>1744</v>
      </c>
      <c r="AC323" s="27" t="s">
        <v>1818</v>
      </c>
      <c r="AD323" s="27" t="s">
        <v>160</v>
      </c>
      <c r="AE323" s="27" t="s">
        <v>1552</v>
      </c>
      <c r="AF323" s="27" t="s">
        <v>176</v>
      </c>
      <c r="AG323" s="27" t="s">
        <v>177</v>
      </c>
      <c r="AH323" s="27" t="s">
        <v>145</v>
      </c>
      <c r="AI323" s="179"/>
      <c r="AJ323" s="27" t="s">
        <v>304</v>
      </c>
      <c r="AK323" s="27" t="s">
        <v>214</v>
      </c>
      <c r="AL323" s="27" t="s">
        <v>214</v>
      </c>
      <c r="AM323" s="27" t="s">
        <v>304</v>
      </c>
      <c r="AN323" s="27" t="s">
        <v>214</v>
      </c>
      <c r="AP323" s="136"/>
      <c r="AT323" s="27" t="str">
        <f t="shared" ref="AT323:AT363" si="10">IF(ISBLANK(B323),"",IF(AP323="","Activo","Inactivo"))</f>
        <v>Activo</v>
      </c>
      <c r="AU323" s="27" cm="1">
        <f t="array" aca="1" ref="AU323" ca="1">_xlfn.IFS(AT323="","",AT323="Activo",TODAY()-H323,AT323="Inactivo",AP323-H323)</f>
        <v>184</v>
      </c>
      <c r="AV323" s="180">
        <f ca="1">IF(ISBLANK(Tabla1[[#This Row],[Fecha Nacimento (dd/mm/yyyy)]]),"",YEARFRAC(Tabla1[[#This Row],[Fecha Nacimento (dd/mm/yyyy)]],TODAY()))</f>
        <v>22.430555555555557</v>
      </c>
      <c r="AW323" s="141"/>
    </row>
    <row r="324" spans="1:49" s="27" customFormat="1" x14ac:dyDescent="0.25">
      <c r="A324" s="134">
        <v>324</v>
      </c>
      <c r="B324" s="27" t="s">
        <v>1819</v>
      </c>
      <c r="C324" s="27" t="s">
        <v>1820</v>
      </c>
      <c r="D324" s="27" t="s">
        <v>141</v>
      </c>
      <c r="E324" s="400">
        <v>4565451</v>
      </c>
      <c r="F324" s="27" t="s">
        <v>142</v>
      </c>
      <c r="G324" s="27" t="s">
        <v>143</v>
      </c>
      <c r="H324" s="136">
        <v>44952</v>
      </c>
      <c r="I324" s="136"/>
      <c r="J324" s="27" t="s">
        <v>144</v>
      </c>
      <c r="K324" s="138">
        <v>1350000</v>
      </c>
      <c r="L324" s="27" t="s">
        <v>145</v>
      </c>
      <c r="M324" s="27" t="s">
        <v>262</v>
      </c>
      <c r="N324" s="27" t="s">
        <v>145</v>
      </c>
      <c r="O324" s="139" t="s">
        <v>1821</v>
      </c>
      <c r="Q324" s="27" t="s">
        <v>148</v>
      </c>
      <c r="R324" s="27" t="s">
        <v>168</v>
      </c>
      <c r="S324" s="27" t="s">
        <v>150</v>
      </c>
      <c r="T324" s="28" t="s">
        <v>1822</v>
      </c>
      <c r="U324" s="197">
        <v>28027</v>
      </c>
      <c r="V324" s="27" t="s">
        <v>1823</v>
      </c>
      <c r="W324" s="28" t="s">
        <v>1824</v>
      </c>
      <c r="X324" s="27" t="s">
        <v>1825</v>
      </c>
      <c r="Y324" s="27" t="s">
        <v>1826</v>
      </c>
      <c r="Z324" s="27" t="s">
        <v>193</v>
      </c>
      <c r="AA324" s="27" t="s">
        <v>302</v>
      </c>
      <c r="AB324" s="27" t="s">
        <v>911</v>
      </c>
      <c r="AC324" s="27" t="s">
        <v>271</v>
      </c>
      <c r="AD324" s="27" t="s">
        <v>271</v>
      </c>
      <c r="AE324" s="27" t="s">
        <v>1027</v>
      </c>
      <c r="AF324" s="27" t="s">
        <v>176</v>
      </c>
      <c r="AG324" s="27" t="s">
        <v>177</v>
      </c>
      <c r="AH324" s="27" t="s">
        <v>164</v>
      </c>
      <c r="AI324" s="179"/>
      <c r="AJ324" s="27" t="s">
        <v>164</v>
      </c>
      <c r="AK324" s="27" t="s">
        <v>214</v>
      </c>
      <c r="AL324" s="27" t="s">
        <v>214</v>
      </c>
      <c r="AM324" s="27" t="s">
        <v>164</v>
      </c>
      <c r="AN324" s="27" t="s">
        <v>214</v>
      </c>
      <c r="AO324" s="27" t="s">
        <v>214</v>
      </c>
      <c r="AP324" s="136">
        <v>44985</v>
      </c>
      <c r="AT324" s="27" t="str">
        <f t="shared" si="10"/>
        <v>Inactivo</v>
      </c>
      <c r="AU324" s="27" cm="1">
        <f t="array" aca="1" ref="AU324" ca="1">_xlfn.IFS(AT324="","",AT324="Activo",TODAY()-H324,AT324="Inactivo",AP324-H324)</f>
        <v>33</v>
      </c>
      <c r="AV324" s="180">
        <f ca="1">IF(ISBLANK(Tabla1[[#This Row],[Fecha Nacimento (dd/mm/yyyy)]]),"",YEARFRAC(Tabla1[[#This Row],[Fecha Nacimento (dd/mm/yyyy)]],TODAY()))</f>
        <v>47.730555555555554</v>
      </c>
      <c r="AW324" s="141"/>
    </row>
    <row r="325" spans="1:49" s="27" customFormat="1" x14ac:dyDescent="0.25">
      <c r="A325" s="134">
        <v>325</v>
      </c>
      <c r="B325" s="27" t="s">
        <v>1389</v>
      </c>
      <c r="C325" s="27" t="s">
        <v>1827</v>
      </c>
      <c r="D325" s="27" t="s">
        <v>141</v>
      </c>
      <c r="E325" s="400">
        <v>1094885125</v>
      </c>
      <c r="F325" s="27" t="s">
        <v>142</v>
      </c>
      <c r="G325" s="27" t="s">
        <v>143</v>
      </c>
      <c r="H325" s="136">
        <v>43304</v>
      </c>
      <c r="I325" s="136"/>
      <c r="J325" s="27" t="s">
        <v>144</v>
      </c>
      <c r="K325" s="138">
        <v>9355950</v>
      </c>
      <c r="L325" s="27" t="s">
        <v>164</v>
      </c>
      <c r="M325" s="27" t="s">
        <v>262</v>
      </c>
      <c r="N325" s="27" t="s">
        <v>145</v>
      </c>
      <c r="O325" s="139" t="s">
        <v>1828</v>
      </c>
      <c r="Q325" s="27" t="s">
        <v>148</v>
      </c>
      <c r="R325" s="27" t="s">
        <v>168</v>
      </c>
      <c r="S325" s="27" t="s">
        <v>150</v>
      </c>
      <c r="T325" s="28" t="s">
        <v>1829</v>
      </c>
      <c r="U325" s="197">
        <v>31454</v>
      </c>
      <c r="V325" s="27" t="s">
        <v>1830</v>
      </c>
      <c r="W325" s="27">
        <v>3202031475</v>
      </c>
      <c r="X325" s="27" t="s">
        <v>1825</v>
      </c>
      <c r="Y325" s="27" t="s">
        <v>155</v>
      </c>
      <c r="Z325" s="27" t="s">
        <v>1831</v>
      </c>
      <c r="AA325" s="27" t="s">
        <v>302</v>
      </c>
      <c r="AB325" s="27" t="s">
        <v>175</v>
      </c>
      <c r="AC325" s="27" t="s">
        <v>271</v>
      </c>
      <c r="AD325" s="27" t="s">
        <v>271</v>
      </c>
      <c r="AE325" s="27" t="s">
        <v>1027</v>
      </c>
      <c r="AF325" s="27" t="s">
        <v>162</v>
      </c>
      <c r="AG325" s="27" t="s">
        <v>163</v>
      </c>
      <c r="AH325" s="27" t="s">
        <v>164</v>
      </c>
      <c r="AI325" s="179"/>
      <c r="AJ325" s="27" t="s">
        <v>164</v>
      </c>
      <c r="AK325" s="27" t="s">
        <v>214</v>
      </c>
      <c r="AL325" s="27" t="s">
        <v>214</v>
      </c>
      <c r="AM325" s="27" t="s">
        <v>164</v>
      </c>
      <c r="AN325" s="27" t="s">
        <v>214</v>
      </c>
      <c r="AO325" s="27" t="s">
        <v>214</v>
      </c>
      <c r="AP325" s="136"/>
      <c r="AT325" s="27" t="str">
        <f t="shared" si="10"/>
        <v>Activo</v>
      </c>
      <c r="AU325" s="27" cm="1">
        <f t="array" aca="1" ref="AU325" ca="1">_xlfn.IFS(AT325="","",AT325="Activo",TODAY()-H325,AT325="Inactivo",AP325-H325)</f>
        <v>2156</v>
      </c>
      <c r="AV325" s="180">
        <f ca="1">IF(ISBLANK(Tabla1[[#This Row],[Fecha Nacimento (dd/mm/yyyy)]]),"",YEARFRAC(Tabla1[[#This Row],[Fecha Nacimento (dd/mm/yyyy)]],TODAY()))</f>
        <v>38.35</v>
      </c>
      <c r="AW325" s="141"/>
    </row>
    <row r="326" spans="1:49" s="27" customFormat="1" x14ac:dyDescent="0.25">
      <c r="A326" s="134">
        <v>326</v>
      </c>
      <c r="B326" s="27" t="s">
        <v>1832</v>
      </c>
      <c r="C326" s="27" t="s">
        <v>1833</v>
      </c>
      <c r="D326" s="27" t="s">
        <v>141</v>
      </c>
      <c r="E326" s="400">
        <v>7560064</v>
      </c>
      <c r="F326" s="27" t="s">
        <v>142</v>
      </c>
      <c r="G326" s="27" t="s">
        <v>143</v>
      </c>
      <c r="H326" s="136">
        <v>44912</v>
      </c>
      <c r="I326" s="136"/>
      <c r="J326" s="27" t="s">
        <v>144</v>
      </c>
      <c r="K326" s="138">
        <v>1350000</v>
      </c>
      <c r="L326" s="27" t="s">
        <v>145</v>
      </c>
      <c r="M326" s="27" t="s">
        <v>146</v>
      </c>
      <c r="N326" s="27" t="s">
        <v>145</v>
      </c>
      <c r="O326" s="139" t="s">
        <v>1834</v>
      </c>
      <c r="Q326" s="27" t="s">
        <v>148</v>
      </c>
      <c r="R326" s="27" t="s">
        <v>168</v>
      </c>
      <c r="S326" s="27" t="s">
        <v>150</v>
      </c>
      <c r="T326" s="28" t="s">
        <v>1835</v>
      </c>
      <c r="U326" s="197">
        <v>25695</v>
      </c>
      <c r="V326" s="27" t="s">
        <v>1836</v>
      </c>
      <c r="W326" s="27">
        <v>3216700466</v>
      </c>
      <c r="X326" s="27" t="s">
        <v>1825</v>
      </c>
      <c r="Y326" s="27" t="s">
        <v>155</v>
      </c>
      <c r="Z326" s="27" t="s">
        <v>193</v>
      </c>
      <c r="AA326" s="27" t="s">
        <v>302</v>
      </c>
      <c r="AB326" s="27" t="s">
        <v>259</v>
      </c>
      <c r="AC326" s="27" t="s">
        <v>271</v>
      </c>
      <c r="AD326" s="27" t="s">
        <v>271</v>
      </c>
      <c r="AE326" s="27" t="s">
        <v>1027</v>
      </c>
      <c r="AF326" s="27" t="s">
        <v>176</v>
      </c>
      <c r="AG326" s="27" t="s">
        <v>177</v>
      </c>
      <c r="AH326" s="27" t="s">
        <v>145</v>
      </c>
      <c r="AI326" s="179">
        <v>1005500</v>
      </c>
      <c r="AJ326" s="27" t="s">
        <v>164</v>
      </c>
      <c r="AK326" s="27" t="s">
        <v>214</v>
      </c>
      <c r="AL326" s="27" t="s">
        <v>214</v>
      </c>
      <c r="AM326" s="27" t="s">
        <v>164</v>
      </c>
      <c r="AN326" s="27" t="s">
        <v>214</v>
      </c>
      <c r="AO326" s="27" t="s">
        <v>214</v>
      </c>
      <c r="AP326" s="136">
        <v>45380</v>
      </c>
      <c r="AQ326" s="27" t="s">
        <v>52</v>
      </c>
      <c r="AT326" s="27" t="str">
        <f t="shared" si="10"/>
        <v>Inactivo</v>
      </c>
      <c r="AU326" s="27" cm="1">
        <f t="array" aca="1" ref="AU326" ca="1">_xlfn.IFS(AT326="","",AT326="Activo",TODAY()-H326,AT326="Inactivo",AP326-H326)</f>
        <v>468</v>
      </c>
      <c r="AV326" s="180">
        <f ca="1">IF(ISBLANK(Tabla1[[#This Row],[Fecha Nacimento (dd/mm/yyyy)]]),"",YEARFRAC(Tabla1[[#This Row],[Fecha Nacimento (dd/mm/yyyy)]],TODAY()))</f>
        <v>54.111111111111114</v>
      </c>
      <c r="AW326" s="141"/>
    </row>
    <row r="327" spans="1:49" s="27" customFormat="1" x14ac:dyDescent="0.25">
      <c r="A327" s="134">
        <v>327</v>
      </c>
      <c r="B327" s="27" t="s">
        <v>1837</v>
      </c>
      <c r="C327" s="27" t="s">
        <v>1838</v>
      </c>
      <c r="D327" s="27" t="s">
        <v>141</v>
      </c>
      <c r="E327" s="400">
        <v>94254019</v>
      </c>
      <c r="F327" s="27" t="s">
        <v>142</v>
      </c>
      <c r="G327" s="27" t="s">
        <v>143</v>
      </c>
      <c r="H327" s="136">
        <v>45164</v>
      </c>
      <c r="I327" s="136"/>
      <c r="J327" s="27" t="s">
        <v>144</v>
      </c>
      <c r="K327" s="138">
        <v>1300000</v>
      </c>
      <c r="L327" s="27" t="s">
        <v>164</v>
      </c>
      <c r="M327" s="27" t="s">
        <v>203</v>
      </c>
      <c r="N327" s="27" t="s">
        <v>145</v>
      </c>
      <c r="O327" s="139"/>
      <c r="Q327" s="27" t="s">
        <v>205</v>
      </c>
      <c r="U327" s="197">
        <v>25328</v>
      </c>
      <c r="V327" s="27" t="s">
        <v>1839</v>
      </c>
      <c r="W327" s="27">
        <v>3059056275</v>
      </c>
      <c r="X327" s="27" t="s">
        <v>1825</v>
      </c>
      <c r="Y327" s="27" t="s">
        <v>155</v>
      </c>
      <c r="Z327" s="27" t="s">
        <v>1840</v>
      </c>
      <c r="AA327" s="27" t="s">
        <v>302</v>
      </c>
      <c r="AB327" s="27" t="s">
        <v>599</v>
      </c>
      <c r="AC327" s="27" t="s">
        <v>271</v>
      </c>
      <c r="AD327" s="27" t="s">
        <v>271</v>
      </c>
      <c r="AE327" s="27" t="s">
        <v>1027</v>
      </c>
      <c r="AF327" s="27" t="s">
        <v>176</v>
      </c>
      <c r="AG327" s="27" t="s">
        <v>177</v>
      </c>
      <c r="AH327" s="27" t="s">
        <v>145</v>
      </c>
      <c r="AI327" s="179">
        <v>400000</v>
      </c>
      <c r="AJ327" s="27" t="s">
        <v>164</v>
      </c>
      <c r="AK327" s="27" t="s">
        <v>214</v>
      </c>
      <c r="AL327" s="27" t="s">
        <v>214</v>
      </c>
      <c r="AM327" s="27" t="s">
        <v>164</v>
      </c>
      <c r="AN327" s="27" t="s">
        <v>214</v>
      </c>
      <c r="AO327" s="27" t="s">
        <v>214</v>
      </c>
      <c r="AP327" s="136">
        <v>45353</v>
      </c>
      <c r="AQ327" s="27" t="s">
        <v>52</v>
      </c>
      <c r="AT327" s="27" t="str">
        <f t="shared" si="10"/>
        <v>Inactivo</v>
      </c>
      <c r="AU327" s="27" cm="1">
        <f t="array" aca="1" ref="AU327" ca="1">_xlfn.IFS(AT327="","",AT327="Activo",TODAY()-H327,AT327="Inactivo",AP327-H327)</f>
        <v>189</v>
      </c>
      <c r="AV327" s="180">
        <f ca="1">IF(ISBLANK(Tabla1[[#This Row],[Fecha Nacimento (dd/mm/yyyy)]]),"",YEARFRAC(Tabla1[[#This Row],[Fecha Nacimento (dd/mm/yyyy)]],TODAY()))</f>
        <v>55.116666666666667</v>
      </c>
      <c r="AW327" s="141"/>
    </row>
    <row r="328" spans="1:49" s="27" customFormat="1" x14ac:dyDescent="0.25">
      <c r="A328" s="134">
        <v>328</v>
      </c>
      <c r="B328" s="27" t="s">
        <v>1841</v>
      </c>
      <c r="C328" s="27" t="s">
        <v>1842</v>
      </c>
      <c r="D328" s="27" t="s">
        <v>1843</v>
      </c>
      <c r="E328" s="400">
        <v>423560</v>
      </c>
      <c r="F328" s="27" t="s">
        <v>142</v>
      </c>
      <c r="G328" s="27" t="s">
        <v>143</v>
      </c>
      <c r="H328" s="136">
        <v>43304</v>
      </c>
      <c r="I328" s="136"/>
      <c r="J328" s="27" t="s">
        <v>144</v>
      </c>
      <c r="K328" s="138">
        <v>9355950</v>
      </c>
      <c r="L328" s="27" t="s">
        <v>164</v>
      </c>
      <c r="M328" s="27" t="s">
        <v>262</v>
      </c>
      <c r="N328" s="27" t="s">
        <v>145</v>
      </c>
      <c r="O328" s="139" t="s">
        <v>1844</v>
      </c>
      <c r="Q328" s="27" t="s">
        <v>148</v>
      </c>
      <c r="R328" s="27" t="s">
        <v>168</v>
      </c>
      <c r="S328" s="27" t="s">
        <v>150</v>
      </c>
      <c r="T328" s="28" t="s">
        <v>1829</v>
      </c>
      <c r="U328" s="197">
        <v>30827</v>
      </c>
      <c r="V328" s="27" t="s">
        <v>1845</v>
      </c>
      <c r="W328" s="27">
        <v>3202031475</v>
      </c>
      <c r="X328" s="27" t="s">
        <v>1825</v>
      </c>
      <c r="Y328" s="27" t="s">
        <v>1826</v>
      </c>
      <c r="Z328" s="27" t="s">
        <v>662</v>
      </c>
      <c r="AA328" s="27" t="s">
        <v>302</v>
      </c>
      <c r="AB328" s="27" t="s">
        <v>1743</v>
      </c>
      <c r="AC328" s="27" t="s">
        <v>159</v>
      </c>
      <c r="AD328" s="27" t="s">
        <v>271</v>
      </c>
      <c r="AE328" s="27" t="s">
        <v>1027</v>
      </c>
      <c r="AF328" s="27" t="s">
        <v>176</v>
      </c>
      <c r="AG328" s="27" t="s">
        <v>163</v>
      </c>
      <c r="AH328" s="27" t="s">
        <v>164</v>
      </c>
      <c r="AI328" s="179"/>
      <c r="AJ328" s="27" t="s">
        <v>164</v>
      </c>
      <c r="AK328" s="27" t="s">
        <v>214</v>
      </c>
      <c r="AL328" s="27" t="s">
        <v>214</v>
      </c>
      <c r="AM328" s="27" t="s">
        <v>164</v>
      </c>
      <c r="AN328" s="27" t="s">
        <v>214</v>
      </c>
      <c r="AO328" s="27" t="s">
        <v>214</v>
      </c>
      <c r="AP328" s="136"/>
      <c r="AT328" s="27" t="str">
        <f t="shared" si="10"/>
        <v>Activo</v>
      </c>
      <c r="AU328" s="27" cm="1">
        <f t="array" aca="1" ref="AU328" ca="1">_xlfn.IFS(AT328="","",AT328="Activo",TODAY()-H328,AT328="Inactivo",AP328-H328)</f>
        <v>2156</v>
      </c>
      <c r="AV328" s="180">
        <f ca="1">IF(ISBLANK(Tabla1[[#This Row],[Fecha Nacimento (dd/mm/yyyy)]]),"",YEARFRAC(Tabla1[[#This Row],[Fecha Nacimento (dd/mm/yyyy)]],TODAY()))</f>
        <v>40.06111111111111</v>
      </c>
      <c r="AW328" s="141"/>
    </row>
    <row r="329" spans="1:49" s="27" customFormat="1" x14ac:dyDescent="0.25">
      <c r="A329" s="134">
        <v>329</v>
      </c>
      <c r="B329" s="27" t="s">
        <v>1846</v>
      </c>
      <c r="C329" s="27" t="s">
        <v>1847</v>
      </c>
      <c r="D329" s="27" t="s">
        <v>141</v>
      </c>
      <c r="E329" s="400">
        <v>25018023</v>
      </c>
      <c r="F329" s="27" t="s">
        <v>142</v>
      </c>
      <c r="G329" s="27" t="s">
        <v>143</v>
      </c>
      <c r="H329" s="136">
        <v>43466</v>
      </c>
      <c r="I329" s="136"/>
      <c r="J329" s="27" t="s">
        <v>144</v>
      </c>
      <c r="K329" s="138">
        <v>1300000</v>
      </c>
      <c r="L329" s="27" t="s">
        <v>145</v>
      </c>
      <c r="M329" s="27" t="s">
        <v>262</v>
      </c>
      <c r="N329" s="27" t="s">
        <v>145</v>
      </c>
      <c r="O329" s="139" t="s">
        <v>1848</v>
      </c>
      <c r="Q329" s="27" t="s">
        <v>148</v>
      </c>
      <c r="R329" s="27" t="s">
        <v>168</v>
      </c>
      <c r="S329" s="27" t="s">
        <v>150</v>
      </c>
      <c r="T329" s="28" t="s">
        <v>1849</v>
      </c>
      <c r="U329" s="197">
        <v>21758</v>
      </c>
      <c r="V329" s="27" t="s">
        <v>1850</v>
      </c>
      <c r="W329" s="27">
        <v>3202031475</v>
      </c>
      <c r="X329" s="27" t="s">
        <v>1825</v>
      </c>
      <c r="Y329" s="27" t="s">
        <v>1826</v>
      </c>
      <c r="Z329" s="27" t="s">
        <v>1851</v>
      </c>
      <c r="AA329" s="27" t="s">
        <v>302</v>
      </c>
      <c r="AB329" s="27" t="s">
        <v>1743</v>
      </c>
      <c r="AC329" s="27" t="s">
        <v>1506</v>
      </c>
      <c r="AD329" s="27" t="s">
        <v>271</v>
      </c>
      <c r="AE329" s="27" t="s">
        <v>1027</v>
      </c>
      <c r="AF329" s="27" t="s">
        <v>162</v>
      </c>
      <c r="AG329" s="27" t="s">
        <v>177</v>
      </c>
      <c r="AH329" s="27" t="s">
        <v>145</v>
      </c>
      <c r="AI329" s="179">
        <v>993050</v>
      </c>
      <c r="AJ329" s="27" t="s">
        <v>164</v>
      </c>
      <c r="AK329" s="27" t="s">
        <v>214</v>
      </c>
      <c r="AL329" s="27" t="s">
        <v>214</v>
      </c>
      <c r="AM329" s="27" t="s">
        <v>164</v>
      </c>
      <c r="AN329" s="27" t="s">
        <v>214</v>
      </c>
      <c r="AO329" s="27" t="s">
        <v>214</v>
      </c>
      <c r="AP329" s="136"/>
      <c r="AT329" s="27" t="str">
        <f t="shared" si="10"/>
        <v>Activo</v>
      </c>
      <c r="AU329" s="27" cm="1">
        <f t="array" aca="1" ref="AU329" ca="1">_xlfn.IFS(AT329="","",AT329="Activo",TODAY()-H329,AT329="Inactivo",AP329-H329)</f>
        <v>1994</v>
      </c>
      <c r="AV329" s="180">
        <f ca="1">IF(ISBLANK(Tabla1[[#This Row],[Fecha Nacimento (dd/mm/yyyy)]]),"",YEARFRAC(Tabla1[[#This Row],[Fecha Nacimento (dd/mm/yyyy)]],TODAY()))</f>
        <v>64.888888888888886</v>
      </c>
      <c r="AW329" s="141"/>
    </row>
    <row r="330" spans="1:49" s="27" customFormat="1" x14ac:dyDescent="0.25">
      <c r="A330" s="134">
        <v>330</v>
      </c>
      <c r="B330" s="27" t="s">
        <v>1852</v>
      </c>
      <c r="C330" s="27" t="s">
        <v>1853</v>
      </c>
      <c r="D330" s="27" t="s">
        <v>141</v>
      </c>
      <c r="E330" s="400">
        <v>29135471</v>
      </c>
      <c r="F330" s="27" t="s">
        <v>142</v>
      </c>
      <c r="G330" s="27" t="s">
        <v>143</v>
      </c>
      <c r="H330" s="136">
        <v>44516</v>
      </c>
      <c r="I330" s="136"/>
      <c r="J330" s="27" t="s">
        <v>144</v>
      </c>
      <c r="K330" s="138">
        <v>1740980</v>
      </c>
      <c r="L330" s="27" t="s">
        <v>145</v>
      </c>
      <c r="M330" s="27" t="s">
        <v>262</v>
      </c>
      <c r="N330" s="27" t="s">
        <v>145</v>
      </c>
      <c r="O330" s="139" t="s">
        <v>1854</v>
      </c>
      <c r="Q330" s="27" t="s">
        <v>148</v>
      </c>
      <c r="R330" s="27" t="s">
        <v>168</v>
      </c>
      <c r="S330" s="27" t="s">
        <v>150</v>
      </c>
      <c r="T330" s="28" t="s">
        <v>1855</v>
      </c>
      <c r="U330" s="197">
        <v>24950</v>
      </c>
      <c r="V330" s="27" t="s">
        <v>1856</v>
      </c>
      <c r="W330" s="27">
        <v>3146678086</v>
      </c>
      <c r="X330" s="27" t="s">
        <v>1825</v>
      </c>
      <c r="Y330" s="27" t="s">
        <v>1857</v>
      </c>
      <c r="Z330" s="27" t="s">
        <v>19</v>
      </c>
      <c r="AA330" s="27" t="s">
        <v>1858</v>
      </c>
      <c r="AB330" s="27" t="s">
        <v>186</v>
      </c>
      <c r="AC330" s="27" t="s">
        <v>160</v>
      </c>
      <c r="AD330" s="27" t="s">
        <v>338</v>
      </c>
      <c r="AE330" s="27" t="s">
        <v>1027</v>
      </c>
      <c r="AF330" s="27" t="s">
        <v>162</v>
      </c>
      <c r="AG330" s="27" t="s">
        <v>177</v>
      </c>
      <c r="AH330" s="27" t="s">
        <v>164</v>
      </c>
      <c r="AI330" s="179"/>
      <c r="AJ330" s="27" t="s">
        <v>164</v>
      </c>
      <c r="AK330" s="27" t="s">
        <v>214</v>
      </c>
      <c r="AL330" s="27" t="s">
        <v>214</v>
      </c>
      <c r="AM330" s="27" t="s">
        <v>164</v>
      </c>
      <c r="AN330" s="27" t="s">
        <v>214</v>
      </c>
      <c r="AO330" s="27" t="s">
        <v>214</v>
      </c>
      <c r="AP330" s="136"/>
      <c r="AT330" s="27" t="str">
        <f t="shared" si="10"/>
        <v>Activo</v>
      </c>
      <c r="AU330" s="27" cm="1">
        <f t="array" aca="1" ref="AU330" ca="1">_xlfn.IFS(AT330="","",AT330="Activo",TODAY()-H330,AT330="Inactivo",AP330-H330)</f>
        <v>944</v>
      </c>
      <c r="AV330" s="180">
        <f ca="1">IF(ISBLANK(Tabla1[[#This Row],[Fecha Nacimento (dd/mm/yyyy)]]),"",YEARFRAC(Tabla1[[#This Row],[Fecha Nacimento (dd/mm/yyyy)]],TODAY()))</f>
        <v>56.152777777777779</v>
      </c>
      <c r="AW330" s="141"/>
    </row>
    <row r="331" spans="1:49" s="27" customFormat="1" x14ac:dyDescent="0.25">
      <c r="A331" s="134">
        <v>331</v>
      </c>
      <c r="B331" s="27" t="s">
        <v>1859</v>
      </c>
      <c r="C331" s="27" t="s">
        <v>1860</v>
      </c>
      <c r="D331" s="27" t="s">
        <v>141</v>
      </c>
      <c r="E331" s="400">
        <v>24587845</v>
      </c>
      <c r="F331" s="27" t="s">
        <v>142</v>
      </c>
      <c r="G331" s="27" t="s">
        <v>143</v>
      </c>
      <c r="H331" s="136">
        <v>45050</v>
      </c>
      <c r="I331" s="136"/>
      <c r="J331" s="27" t="s">
        <v>144</v>
      </c>
      <c r="K331" s="138">
        <v>1300000</v>
      </c>
      <c r="L331" s="27" t="s">
        <v>145</v>
      </c>
      <c r="M331" s="27" t="s">
        <v>262</v>
      </c>
      <c r="N331" s="27" t="s">
        <v>145</v>
      </c>
      <c r="O331" s="139" t="s">
        <v>1861</v>
      </c>
      <c r="Q331" s="27" t="s">
        <v>148</v>
      </c>
      <c r="R331" s="27" t="s">
        <v>149</v>
      </c>
      <c r="S331" s="27" t="s">
        <v>150</v>
      </c>
      <c r="T331" s="28" t="s">
        <v>1862</v>
      </c>
      <c r="U331" s="197">
        <v>31395</v>
      </c>
      <c r="V331" s="27" t="s">
        <v>1863</v>
      </c>
      <c r="W331" s="27">
        <v>3167532675</v>
      </c>
      <c r="X331" s="27" t="s">
        <v>1825</v>
      </c>
      <c r="Y331" s="27" t="s">
        <v>1857</v>
      </c>
      <c r="Z331" s="27" t="s">
        <v>19</v>
      </c>
      <c r="AA331" s="27" t="s">
        <v>1858</v>
      </c>
      <c r="AB331" s="27" t="s">
        <v>186</v>
      </c>
      <c r="AC331" s="27" t="s">
        <v>271</v>
      </c>
      <c r="AD331" s="27" t="s">
        <v>160</v>
      </c>
      <c r="AE331" s="27" t="s">
        <v>1027</v>
      </c>
      <c r="AF331" s="27" t="s">
        <v>162</v>
      </c>
      <c r="AG331" s="27" t="s">
        <v>177</v>
      </c>
      <c r="AH331" s="27" t="s">
        <v>164</v>
      </c>
      <c r="AI331" s="179"/>
      <c r="AJ331" s="27" t="s">
        <v>164</v>
      </c>
      <c r="AK331" s="27" t="s">
        <v>214</v>
      </c>
      <c r="AL331" s="27" t="s">
        <v>214</v>
      </c>
      <c r="AM331" s="27" t="s">
        <v>164</v>
      </c>
      <c r="AN331" s="27" t="s">
        <v>214</v>
      </c>
      <c r="AO331" s="27" t="s">
        <v>214</v>
      </c>
      <c r="AP331" s="136"/>
      <c r="AT331" s="27" t="str">
        <f t="shared" si="10"/>
        <v>Activo</v>
      </c>
      <c r="AU331" s="27" cm="1">
        <f t="array" aca="1" ref="AU331" ca="1">_xlfn.IFS(AT331="","",AT331="Activo",TODAY()-H331,AT331="Inactivo",AP331-H331)</f>
        <v>410</v>
      </c>
      <c r="AV331" s="180">
        <f ca="1">IF(ISBLANK(Tabla1[[#This Row],[Fecha Nacimento (dd/mm/yyyy)]]),"",YEARFRAC(Tabla1[[#This Row],[Fecha Nacimento (dd/mm/yyyy)]],TODAY()))</f>
        <v>38.508333333333333</v>
      </c>
      <c r="AW331" s="141"/>
    </row>
    <row r="332" spans="1:49" s="27" customFormat="1" x14ac:dyDescent="0.25">
      <c r="A332" s="134">
        <v>332</v>
      </c>
      <c r="B332" s="27" t="s">
        <v>1864</v>
      </c>
      <c r="C332" s="27" t="s">
        <v>1865</v>
      </c>
      <c r="D332" s="27" t="s">
        <v>141</v>
      </c>
      <c r="E332" s="400">
        <v>32828637</v>
      </c>
      <c r="F332" s="27" t="s">
        <v>142</v>
      </c>
      <c r="G332" s="27" t="s">
        <v>143</v>
      </c>
      <c r="H332" s="136">
        <v>44452</v>
      </c>
      <c r="I332" s="136"/>
      <c r="J332" s="27" t="s">
        <v>144</v>
      </c>
      <c r="K332" s="138">
        <v>1400000</v>
      </c>
      <c r="L332" s="27" t="s">
        <v>145</v>
      </c>
      <c r="M332" s="27" t="s">
        <v>262</v>
      </c>
      <c r="N332" s="27" t="s">
        <v>145</v>
      </c>
      <c r="O332" s="139"/>
      <c r="Q332" s="27" t="s">
        <v>148</v>
      </c>
      <c r="R332" s="27" t="s">
        <v>149</v>
      </c>
      <c r="S332" s="27" t="s">
        <v>150</v>
      </c>
      <c r="T332" s="27">
        <v>28100015171</v>
      </c>
      <c r="U332" s="197">
        <v>25539</v>
      </c>
      <c r="V332" s="27" t="s">
        <v>1866</v>
      </c>
      <c r="W332" s="27">
        <v>3214928485</v>
      </c>
      <c r="X332" s="27" t="s">
        <v>1825</v>
      </c>
      <c r="Y332" s="27" t="s">
        <v>1857</v>
      </c>
      <c r="Z332" s="27" t="s">
        <v>19</v>
      </c>
      <c r="AA332" s="27" t="s">
        <v>1858</v>
      </c>
      <c r="AB332" s="27" t="s">
        <v>186</v>
      </c>
      <c r="AC332" s="27" t="s">
        <v>271</v>
      </c>
      <c r="AD332" s="27" t="s">
        <v>271</v>
      </c>
      <c r="AE332" s="27" t="s">
        <v>1027</v>
      </c>
      <c r="AF332" s="27" t="s">
        <v>162</v>
      </c>
      <c r="AG332" s="27" t="s">
        <v>177</v>
      </c>
      <c r="AH332" s="27" t="s">
        <v>164</v>
      </c>
      <c r="AI332" s="179"/>
      <c r="AJ332" s="27" t="s">
        <v>164</v>
      </c>
      <c r="AK332" s="27" t="s">
        <v>214</v>
      </c>
      <c r="AL332" s="27" t="s">
        <v>214</v>
      </c>
      <c r="AM332" s="27" t="s">
        <v>164</v>
      </c>
      <c r="AN332" s="27" t="s">
        <v>214</v>
      </c>
      <c r="AO332" s="27" t="s">
        <v>214</v>
      </c>
      <c r="AP332" s="136"/>
      <c r="AT332" s="27" t="str">
        <f t="shared" si="10"/>
        <v>Activo</v>
      </c>
      <c r="AU332" s="27" cm="1">
        <f t="array" aca="1" ref="AU332" ca="1">_xlfn.IFS(AT332="","",AT332="Activo",TODAY()-H332,AT332="Inactivo",AP332-H332)</f>
        <v>1008</v>
      </c>
      <c r="AV332" s="180">
        <f ca="1">IF(ISBLANK(Tabla1[[#This Row],[Fecha Nacimento (dd/mm/yyyy)]]),"",YEARFRAC(Tabla1[[#This Row],[Fecha Nacimento (dd/mm/yyyy)]],TODAY()))</f>
        <v>54.541666666666664</v>
      </c>
      <c r="AW332" s="141"/>
    </row>
    <row r="333" spans="1:49" s="27" customFormat="1" x14ac:dyDescent="0.25">
      <c r="A333" s="134">
        <v>333</v>
      </c>
      <c r="B333" s="27" t="s">
        <v>1867</v>
      </c>
      <c r="C333" s="27" t="s">
        <v>1868</v>
      </c>
      <c r="D333" s="27" t="s">
        <v>141</v>
      </c>
      <c r="E333" s="400">
        <v>52453772</v>
      </c>
      <c r="F333" s="27" t="s">
        <v>142</v>
      </c>
      <c r="G333" s="27" t="s">
        <v>143</v>
      </c>
      <c r="H333" s="136">
        <v>44440</v>
      </c>
      <c r="I333" s="136"/>
      <c r="J333" s="27" t="s">
        <v>144</v>
      </c>
      <c r="K333" s="138">
        <v>2500000</v>
      </c>
      <c r="L333" s="27" t="s">
        <v>164</v>
      </c>
      <c r="M333" s="27" t="s">
        <v>262</v>
      </c>
      <c r="N333" s="27" t="s">
        <v>145</v>
      </c>
      <c r="O333" s="139" t="s">
        <v>1869</v>
      </c>
      <c r="Q333" s="27" t="s">
        <v>148</v>
      </c>
      <c r="R333" s="27" t="s">
        <v>149</v>
      </c>
      <c r="S333" s="27" t="s">
        <v>150</v>
      </c>
      <c r="T333" s="28" t="s">
        <v>1870</v>
      </c>
      <c r="U333" s="197">
        <v>28822</v>
      </c>
      <c r="V333" s="27" t="s">
        <v>1871</v>
      </c>
      <c r="W333" s="27">
        <v>3188067958</v>
      </c>
      <c r="X333" s="27" t="s">
        <v>1825</v>
      </c>
      <c r="Y333" s="27" t="s">
        <v>1872</v>
      </c>
      <c r="Z333" s="27" t="s">
        <v>1873</v>
      </c>
      <c r="AA333" s="27" t="s">
        <v>302</v>
      </c>
      <c r="AB333" s="27" t="s">
        <v>259</v>
      </c>
      <c r="AC333" s="27" t="s">
        <v>160</v>
      </c>
      <c r="AD333" s="27" t="s">
        <v>338</v>
      </c>
      <c r="AE333" s="27" t="s">
        <v>1027</v>
      </c>
      <c r="AF333" s="27" t="s">
        <v>162</v>
      </c>
      <c r="AG333" s="27" t="s">
        <v>163</v>
      </c>
      <c r="AH333" s="27" t="s">
        <v>164</v>
      </c>
      <c r="AI333" s="179"/>
      <c r="AJ333" s="27" t="s">
        <v>164</v>
      </c>
      <c r="AK333" s="27" t="s">
        <v>214</v>
      </c>
      <c r="AL333" s="27" t="s">
        <v>214</v>
      </c>
      <c r="AM333" s="27" t="s">
        <v>164</v>
      </c>
      <c r="AN333" s="27" t="s">
        <v>214</v>
      </c>
      <c r="AO333" s="27" t="s">
        <v>214</v>
      </c>
      <c r="AP333" s="136"/>
      <c r="AT333" s="27" t="str">
        <f t="shared" si="10"/>
        <v>Activo</v>
      </c>
      <c r="AU333" s="27" cm="1">
        <f t="array" aca="1" ref="AU333" ca="1">_xlfn.IFS(AT333="","",AT333="Activo",TODAY()-H333,AT333="Inactivo",AP333-H333)</f>
        <v>1020</v>
      </c>
      <c r="AV333" s="180">
        <f ca="1">IF(ISBLANK(Tabla1[[#This Row],[Fecha Nacimento (dd/mm/yyyy)]]),"",YEARFRAC(Tabla1[[#This Row],[Fecha Nacimento (dd/mm/yyyy)]],TODAY()))</f>
        <v>45.552777777777777</v>
      </c>
      <c r="AW333" s="141"/>
    </row>
    <row r="334" spans="1:49" s="27" customFormat="1" x14ac:dyDescent="0.25">
      <c r="A334" s="134">
        <v>334</v>
      </c>
      <c r="B334" s="27" t="s">
        <v>1874</v>
      </c>
      <c r="C334" s="27" t="s">
        <v>1875</v>
      </c>
      <c r="D334" s="27" t="s">
        <v>141</v>
      </c>
      <c r="E334" s="400">
        <v>94463061</v>
      </c>
      <c r="F334" s="27" t="s">
        <v>142</v>
      </c>
      <c r="G334" s="27" t="s">
        <v>143</v>
      </c>
      <c r="H334" s="136">
        <v>44958</v>
      </c>
      <c r="I334" s="136"/>
      <c r="J334" s="27" t="s">
        <v>144</v>
      </c>
      <c r="K334" s="138">
        <v>1300000</v>
      </c>
      <c r="L334" s="27" t="s">
        <v>145</v>
      </c>
      <c r="M334" s="27" t="s">
        <v>203</v>
      </c>
      <c r="N334" s="27" t="s">
        <v>145</v>
      </c>
      <c r="O334" s="139" t="s">
        <v>1876</v>
      </c>
      <c r="Q334" s="27" t="s">
        <v>205</v>
      </c>
      <c r="U334" s="197">
        <v>28958</v>
      </c>
      <c r="V334" s="27" t="s">
        <v>1877</v>
      </c>
      <c r="W334" s="27">
        <v>3217555567</v>
      </c>
      <c r="X334" s="27" t="s">
        <v>1878</v>
      </c>
      <c r="Y334" s="27" t="s">
        <v>887</v>
      </c>
      <c r="Z334" s="27" t="s">
        <v>1879</v>
      </c>
      <c r="AA334" s="27" t="s">
        <v>1573</v>
      </c>
      <c r="AB334" s="27" t="s">
        <v>212</v>
      </c>
      <c r="AC334" s="27" t="s">
        <v>160</v>
      </c>
      <c r="AD334" s="27" t="s">
        <v>160</v>
      </c>
      <c r="AE334" s="27" t="s">
        <v>1880</v>
      </c>
      <c r="AF334" s="27" t="s">
        <v>176</v>
      </c>
      <c r="AG334" s="27" t="s">
        <v>177</v>
      </c>
      <c r="AH334" s="27" t="s">
        <v>164</v>
      </c>
      <c r="AI334" s="179"/>
      <c r="AJ334" s="27" t="s">
        <v>164</v>
      </c>
      <c r="AK334" s="27" t="s">
        <v>214</v>
      </c>
      <c r="AL334" s="27" t="s">
        <v>214</v>
      </c>
      <c r="AM334" s="27" t="s">
        <v>164</v>
      </c>
      <c r="AN334" s="27" t="s">
        <v>214</v>
      </c>
      <c r="AO334" s="27" t="s">
        <v>214</v>
      </c>
      <c r="AP334" s="136"/>
      <c r="AT334" s="27" t="str">
        <f t="shared" si="10"/>
        <v>Activo</v>
      </c>
      <c r="AU334" s="27" cm="1">
        <f t="array" aca="1" ref="AU334" ca="1">_xlfn.IFS(AT334="","",AT334="Activo",TODAY()-H334,AT334="Inactivo",AP334-H334)</f>
        <v>502</v>
      </c>
      <c r="AV334" s="180">
        <f ca="1">IF(ISBLANK(Tabla1[[#This Row],[Fecha Nacimento (dd/mm/yyyy)]]),"",YEARFRAC(Tabla1[[#This Row],[Fecha Nacimento (dd/mm/yyyy)]],TODAY()))</f>
        <v>45.177777777777777</v>
      </c>
      <c r="AW334" s="141"/>
    </row>
    <row r="335" spans="1:49" s="27" customFormat="1" x14ac:dyDescent="0.25">
      <c r="A335" s="134">
        <v>335</v>
      </c>
      <c r="B335" s="27" t="s">
        <v>1881</v>
      </c>
      <c r="C335" s="27" t="s">
        <v>1882</v>
      </c>
      <c r="D335" s="27" t="s">
        <v>141</v>
      </c>
      <c r="E335" s="400">
        <v>13991177</v>
      </c>
      <c r="F335" s="27" t="s">
        <v>142</v>
      </c>
      <c r="G335" s="27" t="s">
        <v>143</v>
      </c>
      <c r="H335" s="136">
        <v>44927</v>
      </c>
      <c r="I335" s="136"/>
      <c r="J335" s="27" t="s">
        <v>144</v>
      </c>
      <c r="K335" s="138">
        <v>1300000</v>
      </c>
      <c r="L335" s="27" t="s">
        <v>145</v>
      </c>
      <c r="M335" s="27" t="s">
        <v>203</v>
      </c>
      <c r="N335" s="27" t="s">
        <v>145</v>
      </c>
      <c r="O335" s="139" t="s">
        <v>1883</v>
      </c>
      <c r="Q335" s="27" t="s">
        <v>205</v>
      </c>
      <c r="U335" s="197">
        <v>26764</v>
      </c>
      <c r="V335" s="27" t="s">
        <v>1884</v>
      </c>
      <c r="W335" s="28" t="s">
        <v>1885</v>
      </c>
      <c r="X335" s="27" t="s">
        <v>1878</v>
      </c>
      <c r="Y335" s="27" t="s">
        <v>887</v>
      </c>
      <c r="Z335" s="27" t="s">
        <v>1879</v>
      </c>
      <c r="AA335" s="27" t="s">
        <v>1573</v>
      </c>
      <c r="AB335" s="27" t="s">
        <v>158</v>
      </c>
      <c r="AC335" s="27" t="s">
        <v>160</v>
      </c>
      <c r="AD335" s="27" t="s">
        <v>160</v>
      </c>
      <c r="AE335" s="27" t="s">
        <v>1880</v>
      </c>
      <c r="AF335" s="27" t="s">
        <v>176</v>
      </c>
      <c r="AG335" s="27" t="s">
        <v>177</v>
      </c>
      <c r="AH335" s="27" t="s">
        <v>164</v>
      </c>
      <c r="AI335" s="179"/>
      <c r="AJ335" s="27" t="s">
        <v>164</v>
      </c>
      <c r="AK335" s="27" t="s">
        <v>214</v>
      </c>
      <c r="AL335" s="27" t="s">
        <v>214</v>
      </c>
      <c r="AM335" s="27" t="s">
        <v>164</v>
      </c>
      <c r="AN335" s="27" t="s">
        <v>214</v>
      </c>
      <c r="AO335" s="27" t="s">
        <v>214</v>
      </c>
      <c r="AP335" s="136"/>
      <c r="AT335" s="27" t="str">
        <f t="shared" si="10"/>
        <v>Activo</v>
      </c>
      <c r="AU335" s="27" cm="1">
        <f t="array" aca="1" ref="AU335" ca="1">_xlfn.IFS(AT335="","",AT335="Activo",TODAY()-H335,AT335="Inactivo",AP335-H335)</f>
        <v>533</v>
      </c>
      <c r="AV335" s="180">
        <f ca="1">IF(ISBLANK(Tabla1[[#This Row],[Fecha Nacimento (dd/mm/yyyy)]]),"",YEARFRAC(Tabla1[[#This Row],[Fecha Nacimento (dd/mm/yyyy)]],TODAY()))</f>
        <v>51.18611111111111</v>
      </c>
      <c r="AW335" s="141"/>
    </row>
    <row r="336" spans="1:49" s="27" customFormat="1" x14ac:dyDescent="0.25">
      <c r="A336" s="134">
        <v>336</v>
      </c>
      <c r="B336" s="27" t="s">
        <v>1886</v>
      </c>
      <c r="C336" s="27" t="s">
        <v>1887</v>
      </c>
      <c r="D336" s="27" t="s">
        <v>141</v>
      </c>
      <c r="E336" s="400">
        <v>16215387</v>
      </c>
      <c r="F336" s="27" t="s">
        <v>142</v>
      </c>
      <c r="G336" s="27" t="s">
        <v>143</v>
      </c>
      <c r="H336" s="136">
        <v>44958</v>
      </c>
      <c r="I336" s="136"/>
      <c r="J336" s="27" t="s">
        <v>144</v>
      </c>
      <c r="K336" s="138">
        <v>1300000</v>
      </c>
      <c r="L336" s="27" t="s">
        <v>145</v>
      </c>
      <c r="M336" s="27" t="s">
        <v>203</v>
      </c>
      <c r="N336" s="27" t="s">
        <v>145</v>
      </c>
      <c r="O336" s="139" t="s">
        <v>1888</v>
      </c>
      <c r="Q336" s="27" t="s">
        <v>205</v>
      </c>
      <c r="U336" s="197"/>
      <c r="V336" s="27" t="s">
        <v>1889</v>
      </c>
      <c r="W336" s="27">
        <v>3117263706</v>
      </c>
      <c r="X336" s="27" t="s">
        <v>1878</v>
      </c>
      <c r="Y336" s="27" t="s">
        <v>887</v>
      </c>
      <c r="Z336" s="27" t="s">
        <v>1879</v>
      </c>
      <c r="AA336" s="27" t="s">
        <v>1573</v>
      </c>
      <c r="AB336" s="27" t="s">
        <v>212</v>
      </c>
      <c r="AC336" s="27" t="s">
        <v>160</v>
      </c>
      <c r="AD336" s="27" t="s">
        <v>160</v>
      </c>
      <c r="AE336" s="27" t="s">
        <v>1880</v>
      </c>
      <c r="AF336" s="27" t="s">
        <v>176</v>
      </c>
      <c r="AG336" s="27" t="s">
        <v>177</v>
      </c>
      <c r="AH336" s="27" t="s">
        <v>164</v>
      </c>
      <c r="AI336" s="179"/>
      <c r="AJ336" s="27" t="s">
        <v>164</v>
      </c>
      <c r="AK336" s="27" t="s">
        <v>214</v>
      </c>
      <c r="AL336" s="27" t="s">
        <v>214</v>
      </c>
      <c r="AM336" s="27" t="s">
        <v>164</v>
      </c>
      <c r="AN336" s="27" t="s">
        <v>214</v>
      </c>
      <c r="AO336" s="27" t="s">
        <v>214</v>
      </c>
      <c r="AP336" s="136"/>
      <c r="AT336" s="27" t="str">
        <f t="shared" si="10"/>
        <v>Activo</v>
      </c>
      <c r="AU336" s="27" cm="1">
        <f t="array" aca="1" ref="AU336" ca="1">_xlfn.IFS(AT336="","",AT336="Activo",TODAY()-H336,AT336="Inactivo",AP336-H336)</f>
        <v>502</v>
      </c>
      <c r="AV336" s="180" t="str">
        <f ca="1">IF(ISBLANK(Tabla1[[#This Row],[Fecha Nacimento (dd/mm/yyyy)]]),"",YEARFRAC(Tabla1[[#This Row],[Fecha Nacimento (dd/mm/yyyy)]],TODAY()))</f>
        <v/>
      </c>
      <c r="AW336" s="141"/>
    </row>
    <row r="337" spans="1:49" s="27" customFormat="1" x14ac:dyDescent="0.25">
      <c r="A337" s="134">
        <v>337</v>
      </c>
      <c r="B337" s="27" t="s">
        <v>1108</v>
      </c>
      <c r="C337" s="27" t="s">
        <v>1451</v>
      </c>
      <c r="D337" s="27" t="s">
        <v>141</v>
      </c>
      <c r="E337" s="400">
        <v>1027952833</v>
      </c>
      <c r="F337" s="27" t="s">
        <v>142</v>
      </c>
      <c r="G337" s="27" t="s">
        <v>143</v>
      </c>
      <c r="H337" s="136">
        <v>45323</v>
      </c>
      <c r="I337" s="136"/>
      <c r="J337" s="27" t="s">
        <v>144</v>
      </c>
      <c r="K337" s="138">
        <v>1300000</v>
      </c>
      <c r="L337" s="27" t="s">
        <v>145</v>
      </c>
      <c r="M337" s="27" t="s">
        <v>355</v>
      </c>
      <c r="N337" s="27" t="s">
        <v>145</v>
      </c>
      <c r="O337" s="139" t="s">
        <v>1890</v>
      </c>
      <c r="Q337" s="27" t="s">
        <v>148</v>
      </c>
      <c r="R337" s="27" t="s">
        <v>426</v>
      </c>
      <c r="S337" s="27" t="s">
        <v>150</v>
      </c>
      <c r="T337" s="27">
        <v>3114177155</v>
      </c>
      <c r="U337" s="197">
        <v>38738</v>
      </c>
      <c r="V337" s="27" t="s">
        <v>1891</v>
      </c>
      <c r="W337" s="27">
        <v>3114177155</v>
      </c>
      <c r="X337" s="27" t="s">
        <v>655</v>
      </c>
      <c r="Y337" s="27" t="s">
        <v>1892</v>
      </c>
      <c r="Z337" s="27" t="s">
        <v>828</v>
      </c>
      <c r="AA337" s="27" t="s">
        <v>657</v>
      </c>
      <c r="AB337" s="27" t="s">
        <v>175</v>
      </c>
      <c r="AC337" s="27" t="s">
        <v>160</v>
      </c>
      <c r="AD337" s="27" t="s">
        <v>160</v>
      </c>
      <c r="AE337" s="27" t="s">
        <v>616</v>
      </c>
      <c r="AF337" s="27" t="s">
        <v>176</v>
      </c>
      <c r="AG337" s="27" t="s">
        <v>177</v>
      </c>
      <c r="AH337" s="27" t="s">
        <v>164</v>
      </c>
      <c r="AI337" s="179"/>
      <c r="AJ337" s="27" t="s">
        <v>164</v>
      </c>
      <c r="AK337" s="27" t="s">
        <v>214</v>
      </c>
      <c r="AL337" s="27" t="s">
        <v>164</v>
      </c>
      <c r="AM337" s="27" t="s">
        <v>164</v>
      </c>
      <c r="AN337" s="27" t="s">
        <v>214</v>
      </c>
      <c r="AO337" s="27" t="s">
        <v>164</v>
      </c>
      <c r="AP337" s="136"/>
      <c r="AT337" s="27" t="str">
        <f t="shared" si="10"/>
        <v>Activo</v>
      </c>
      <c r="AU337" s="27" cm="1">
        <f t="array" aca="1" ref="AU337" ca="1">_xlfn.IFS(AT337="","",AT337="Activo",TODAY()-H337,AT337="Inactivo",AP337-H337)</f>
        <v>137</v>
      </c>
      <c r="AV337" s="180">
        <f ca="1">IF(ISBLANK(Tabla1[[#This Row],[Fecha Nacimento (dd/mm/yyyy)]]),"",YEARFRAC(Tabla1[[#This Row],[Fecha Nacimento (dd/mm/yyyy)]],TODAY()))</f>
        <v>18.405555555555555</v>
      </c>
      <c r="AW337" s="141"/>
    </row>
    <row r="338" spans="1:49" s="27" customFormat="1" x14ac:dyDescent="0.25">
      <c r="A338" s="134">
        <v>338</v>
      </c>
      <c r="B338" s="27" t="s">
        <v>1893</v>
      </c>
      <c r="C338" s="27" t="s">
        <v>1894</v>
      </c>
      <c r="D338" s="27" t="s">
        <v>141</v>
      </c>
      <c r="E338" s="400">
        <v>1098311433</v>
      </c>
      <c r="F338" s="27" t="s">
        <v>142</v>
      </c>
      <c r="G338" s="27" t="s">
        <v>143</v>
      </c>
      <c r="H338" s="136">
        <v>45363</v>
      </c>
      <c r="I338" s="136"/>
      <c r="J338" s="27" t="s">
        <v>144</v>
      </c>
      <c r="K338" s="138">
        <v>1300000</v>
      </c>
      <c r="L338" s="27" t="s">
        <v>145</v>
      </c>
      <c r="M338" s="27" t="s">
        <v>355</v>
      </c>
      <c r="N338" s="27" t="s">
        <v>145</v>
      </c>
      <c r="O338" s="213" t="s">
        <v>1895</v>
      </c>
      <c r="Q338" s="27" t="s">
        <v>148</v>
      </c>
      <c r="R338" s="27" t="s">
        <v>168</v>
      </c>
      <c r="S338" s="27" t="s">
        <v>150</v>
      </c>
      <c r="T338" s="28" t="s">
        <v>1896</v>
      </c>
      <c r="U338" s="197">
        <v>34809</v>
      </c>
      <c r="V338" s="27" t="s">
        <v>1897</v>
      </c>
      <c r="W338" s="27">
        <v>3116025552</v>
      </c>
      <c r="X338" s="27" t="s">
        <v>268</v>
      </c>
      <c r="Y338" s="27" t="s">
        <v>1817</v>
      </c>
      <c r="Z338" s="27" t="s">
        <v>368</v>
      </c>
      <c r="AA338" s="27" t="s">
        <v>211</v>
      </c>
      <c r="AB338" s="27" t="s">
        <v>175</v>
      </c>
      <c r="AC338" s="27" t="s">
        <v>160</v>
      </c>
      <c r="AD338" s="27" t="s">
        <v>271</v>
      </c>
      <c r="AE338" s="27" t="s">
        <v>272</v>
      </c>
      <c r="AF338" s="27" t="s">
        <v>162</v>
      </c>
      <c r="AG338" s="27" t="s">
        <v>177</v>
      </c>
      <c r="AH338" s="27" t="s">
        <v>164</v>
      </c>
      <c r="AI338" s="179"/>
      <c r="AJ338" s="27" t="s">
        <v>145</v>
      </c>
      <c r="AK338" s="27" t="s">
        <v>1069</v>
      </c>
      <c r="AL338" s="27" t="s">
        <v>164</v>
      </c>
      <c r="AM338" s="27" t="s">
        <v>145</v>
      </c>
      <c r="AN338" s="27" t="s">
        <v>1069</v>
      </c>
      <c r="AO338" s="27" t="s">
        <v>164</v>
      </c>
      <c r="AP338" s="136"/>
      <c r="AT338" s="27" t="str">
        <f t="shared" si="10"/>
        <v>Activo</v>
      </c>
      <c r="AU338" s="27" cm="1">
        <f t="array" aca="1" ref="AU338" ca="1">_xlfn.IFS(AT338="","",AT338="Activo",TODAY()-H338,AT338="Inactivo",AP338-H338)</f>
        <v>97</v>
      </c>
      <c r="AV338" s="180">
        <f ca="1">IF(ISBLANK(Tabla1[[#This Row],[Fecha Nacimento (dd/mm/yyyy)]]),"",YEARFRAC(Tabla1[[#This Row],[Fecha Nacimento (dd/mm/yyyy)]],TODAY()))</f>
        <v>29.158333333333335</v>
      </c>
      <c r="AW338" s="141"/>
    </row>
    <row r="339" spans="1:49" s="27" customFormat="1" x14ac:dyDescent="0.25">
      <c r="A339" s="134">
        <v>339</v>
      </c>
      <c r="B339" s="27" t="s">
        <v>1898</v>
      </c>
      <c r="C339" s="27" t="s">
        <v>1899</v>
      </c>
      <c r="D339" s="27" t="s">
        <v>141</v>
      </c>
      <c r="E339" s="400">
        <v>9857641</v>
      </c>
      <c r="F339" s="27" t="s">
        <v>142</v>
      </c>
      <c r="G339" s="27" t="s">
        <v>143</v>
      </c>
      <c r="H339" s="136">
        <v>42998</v>
      </c>
      <c r="I339" s="136"/>
      <c r="J339" s="27" t="s">
        <v>144</v>
      </c>
      <c r="K339" s="138">
        <v>1300000</v>
      </c>
      <c r="L339" s="27" t="s">
        <v>145</v>
      </c>
      <c r="M339" s="27" t="s">
        <v>203</v>
      </c>
      <c r="N339" s="27" t="s">
        <v>145</v>
      </c>
      <c r="O339" s="139" t="s">
        <v>1900</v>
      </c>
      <c r="Q339" s="27" t="s">
        <v>148</v>
      </c>
      <c r="R339" s="27" t="s">
        <v>149</v>
      </c>
      <c r="S339" s="27" t="s">
        <v>150</v>
      </c>
      <c r="T339" s="28" t="s">
        <v>1901</v>
      </c>
      <c r="U339" s="197">
        <v>26391</v>
      </c>
      <c r="V339" s="27" t="s">
        <v>1902</v>
      </c>
      <c r="W339" s="27">
        <v>3023726119</v>
      </c>
      <c r="X339" s="27" t="s">
        <v>1903</v>
      </c>
      <c r="Y339" s="27" t="s">
        <v>523</v>
      </c>
      <c r="Z339" s="27" t="s">
        <v>1904</v>
      </c>
      <c r="AA339" s="27" t="s">
        <v>1077</v>
      </c>
      <c r="AB339" s="27" t="s">
        <v>175</v>
      </c>
      <c r="AC339" s="27" t="s">
        <v>159</v>
      </c>
      <c r="AD339" s="27" t="s">
        <v>338</v>
      </c>
      <c r="AE339" s="27" t="s">
        <v>1905</v>
      </c>
      <c r="AF339" s="27" t="s">
        <v>176</v>
      </c>
      <c r="AG339" s="27" t="s">
        <v>177</v>
      </c>
      <c r="AH339" s="27" t="s">
        <v>164</v>
      </c>
      <c r="AI339" s="179"/>
      <c r="AJ339" s="27" t="s">
        <v>164</v>
      </c>
      <c r="AK339" s="27" t="s">
        <v>214</v>
      </c>
      <c r="AL339" s="27" t="s">
        <v>164</v>
      </c>
      <c r="AM339" s="27" t="s">
        <v>164</v>
      </c>
      <c r="AN339" s="27" t="s">
        <v>214</v>
      </c>
      <c r="AO339" s="27" t="s">
        <v>164</v>
      </c>
      <c r="AP339" s="136"/>
      <c r="AT339" s="27" t="str">
        <f t="shared" si="10"/>
        <v>Activo</v>
      </c>
      <c r="AU339" s="27" cm="1">
        <f t="array" aca="1" ref="AU339" ca="1">_xlfn.IFS(AT339="","",AT339="Activo",TODAY()-H339,AT339="Inactivo",AP339-H339)</f>
        <v>2462</v>
      </c>
      <c r="AV339" s="180">
        <f ca="1">IF(ISBLANK(Tabla1[[#This Row],[Fecha Nacimento (dd/mm/yyyy)]]),"",YEARFRAC(Tabla1[[#This Row],[Fecha Nacimento (dd/mm/yyyy)]],TODAY()))</f>
        <v>52.208333333333336</v>
      </c>
      <c r="AW339" s="141"/>
    </row>
    <row r="340" spans="1:49" s="27" customFormat="1" x14ac:dyDescent="0.25">
      <c r="A340" s="134">
        <v>340</v>
      </c>
      <c r="B340" s="27" t="s">
        <v>1906</v>
      </c>
      <c r="C340" s="27" t="s">
        <v>1907</v>
      </c>
      <c r="D340" s="27" t="s">
        <v>141</v>
      </c>
      <c r="E340" s="400">
        <v>15488245</v>
      </c>
      <c r="F340" s="27" t="s">
        <v>142</v>
      </c>
      <c r="G340" s="27" t="s">
        <v>143</v>
      </c>
      <c r="H340" s="136">
        <v>44805</v>
      </c>
      <c r="I340" s="136"/>
      <c r="J340" s="27" t="s">
        <v>144</v>
      </c>
      <c r="K340" s="138">
        <v>1300000</v>
      </c>
      <c r="L340" s="27" t="s">
        <v>164</v>
      </c>
      <c r="M340" s="27" t="s">
        <v>203</v>
      </c>
      <c r="N340" s="27" t="s">
        <v>145</v>
      </c>
      <c r="O340" s="139" t="s">
        <v>1908</v>
      </c>
      <c r="Q340" s="27" t="s">
        <v>148</v>
      </c>
      <c r="R340" s="27" t="s">
        <v>149</v>
      </c>
      <c r="S340" s="27" t="s">
        <v>150</v>
      </c>
      <c r="T340" s="28" t="s">
        <v>1909</v>
      </c>
      <c r="U340" s="197">
        <v>27693</v>
      </c>
      <c r="V340" s="27" t="s">
        <v>1910</v>
      </c>
      <c r="W340" s="27">
        <v>3188319706</v>
      </c>
      <c r="X340" s="27" t="s">
        <v>1903</v>
      </c>
      <c r="Y340" s="27" t="s">
        <v>523</v>
      </c>
      <c r="Z340" s="27" t="s">
        <v>1904</v>
      </c>
      <c r="AA340" s="27" t="s">
        <v>1077</v>
      </c>
      <c r="AB340" s="27" t="s">
        <v>259</v>
      </c>
      <c r="AC340" s="27" t="s">
        <v>160</v>
      </c>
      <c r="AD340" s="27" t="s">
        <v>160</v>
      </c>
      <c r="AE340" s="27" t="s">
        <v>1905</v>
      </c>
      <c r="AF340" s="27" t="s">
        <v>176</v>
      </c>
      <c r="AG340" s="27" t="s">
        <v>177</v>
      </c>
      <c r="AH340" s="27" t="s">
        <v>164</v>
      </c>
      <c r="AI340" s="179"/>
      <c r="AJ340" s="27" t="s">
        <v>164</v>
      </c>
      <c r="AK340" s="27" t="s">
        <v>214</v>
      </c>
      <c r="AL340" s="27" t="s">
        <v>164</v>
      </c>
      <c r="AM340" s="27" t="s">
        <v>164</v>
      </c>
      <c r="AN340" s="27" t="s">
        <v>214</v>
      </c>
      <c r="AO340" s="27" t="s">
        <v>164</v>
      </c>
      <c r="AP340" s="136"/>
      <c r="AT340" s="27" t="str">
        <f t="shared" si="10"/>
        <v>Activo</v>
      </c>
      <c r="AU340" s="27" cm="1">
        <f t="array" aca="1" ref="AU340" ca="1">_xlfn.IFS(AT340="","",AT340="Activo",TODAY()-H340,AT340="Inactivo",AP340-H340)</f>
        <v>655</v>
      </c>
      <c r="AV340" s="180">
        <f ca="1">IF(ISBLANK(Tabla1[[#This Row],[Fecha Nacimento (dd/mm/yyyy)]]),"",YEARFRAC(Tabla1[[#This Row],[Fecha Nacimento (dd/mm/yyyy)]],TODAY()))</f>
        <v>48.641666666666666</v>
      </c>
      <c r="AW340" s="141"/>
    </row>
    <row r="341" spans="1:49" s="27" customFormat="1" x14ac:dyDescent="0.25">
      <c r="A341" s="134">
        <v>341</v>
      </c>
      <c r="B341" s="27" t="s">
        <v>1911</v>
      </c>
      <c r="C341" s="27" t="s">
        <v>1912</v>
      </c>
      <c r="D341" s="27" t="s">
        <v>141</v>
      </c>
      <c r="E341" s="400">
        <v>76247766</v>
      </c>
      <c r="F341" s="27" t="s">
        <v>142</v>
      </c>
      <c r="G341" s="27" t="s">
        <v>143</v>
      </c>
      <c r="H341" s="136">
        <v>44986</v>
      </c>
      <c r="I341" s="136"/>
      <c r="J341" s="27" t="s">
        <v>144</v>
      </c>
      <c r="K341" s="138">
        <v>1300000</v>
      </c>
      <c r="L341" s="27" t="s">
        <v>164</v>
      </c>
      <c r="M341" s="27" t="s">
        <v>203</v>
      </c>
      <c r="N341" s="27" t="s">
        <v>145</v>
      </c>
      <c r="O341" s="139" t="s">
        <v>1913</v>
      </c>
      <c r="Q341" s="27" t="s">
        <v>205</v>
      </c>
      <c r="U341" s="197">
        <v>25673</v>
      </c>
      <c r="V341" s="27" t="s">
        <v>1914</v>
      </c>
      <c r="W341" s="27">
        <v>3218331209</v>
      </c>
      <c r="X341" s="27" t="s">
        <v>1903</v>
      </c>
      <c r="Y341" s="27" t="s">
        <v>523</v>
      </c>
      <c r="Z341" s="27" t="s">
        <v>1904</v>
      </c>
      <c r="AA341" s="27" t="s">
        <v>1077</v>
      </c>
      <c r="AB341" s="27" t="s">
        <v>725</v>
      </c>
      <c r="AC341" s="27" t="s">
        <v>159</v>
      </c>
      <c r="AD341" s="27" t="s">
        <v>160</v>
      </c>
      <c r="AE341" s="27" t="s">
        <v>1905</v>
      </c>
      <c r="AF341" s="27" t="s">
        <v>176</v>
      </c>
      <c r="AG341" s="27" t="s">
        <v>177</v>
      </c>
      <c r="AH341" s="27" t="s">
        <v>164</v>
      </c>
      <c r="AI341" s="179"/>
      <c r="AJ341" s="27" t="s">
        <v>164</v>
      </c>
      <c r="AK341" s="27" t="s">
        <v>214</v>
      </c>
      <c r="AL341" s="27" t="s">
        <v>164</v>
      </c>
      <c r="AM341" s="27" t="s">
        <v>164</v>
      </c>
      <c r="AN341" s="27" t="s">
        <v>214</v>
      </c>
      <c r="AO341" s="27" t="s">
        <v>164</v>
      </c>
      <c r="AP341" s="136"/>
      <c r="AT341" s="27" t="str">
        <f t="shared" si="10"/>
        <v>Activo</v>
      </c>
      <c r="AU341" s="27" cm="1">
        <f t="array" aca="1" ref="AU341" ca="1">_xlfn.IFS(AT341="","",AT341="Activo",TODAY()-H341,AT341="Inactivo",AP341-H341)</f>
        <v>474</v>
      </c>
      <c r="AV341" s="180">
        <f ca="1">IF(ISBLANK(Tabla1[[#This Row],[Fecha Nacimento (dd/mm/yyyy)]]),"",YEARFRAC(Tabla1[[#This Row],[Fecha Nacimento (dd/mm/yyyy)]],TODAY()))</f>
        <v>54.172222222222224</v>
      </c>
      <c r="AW341" s="141"/>
    </row>
    <row r="342" spans="1:49" s="27" customFormat="1" x14ac:dyDescent="0.25">
      <c r="A342" s="134">
        <v>342</v>
      </c>
      <c r="B342" s="27" t="s">
        <v>1915</v>
      </c>
      <c r="C342" s="27" t="s">
        <v>1916</v>
      </c>
      <c r="D342" s="27" t="s">
        <v>141</v>
      </c>
      <c r="E342" s="400">
        <v>94285455</v>
      </c>
      <c r="F342" s="27" t="s">
        <v>142</v>
      </c>
      <c r="G342" s="27" t="s">
        <v>143</v>
      </c>
      <c r="H342" s="136">
        <v>43846</v>
      </c>
      <c r="I342" s="136"/>
      <c r="J342" s="27" t="s">
        <v>144</v>
      </c>
      <c r="K342" s="138">
        <v>1300000</v>
      </c>
      <c r="L342" s="27" t="s">
        <v>164</v>
      </c>
      <c r="M342" s="27" t="s">
        <v>203</v>
      </c>
      <c r="N342" s="27" t="s">
        <v>145</v>
      </c>
      <c r="O342" s="139"/>
      <c r="Q342" s="27" t="s">
        <v>148</v>
      </c>
      <c r="R342" s="27" t="s">
        <v>149</v>
      </c>
      <c r="S342" s="27" t="s">
        <v>150</v>
      </c>
      <c r="T342" s="27">
        <v>6954034991</v>
      </c>
      <c r="U342" s="197">
        <v>27915</v>
      </c>
      <c r="V342" s="27" t="s">
        <v>1917</v>
      </c>
      <c r="W342" s="27">
        <v>3217767336</v>
      </c>
      <c r="X342" s="27" t="s">
        <v>1903</v>
      </c>
      <c r="Y342" s="27" t="s">
        <v>523</v>
      </c>
      <c r="Z342" s="27" t="s">
        <v>1904</v>
      </c>
      <c r="AA342" s="27" t="s">
        <v>1077</v>
      </c>
      <c r="AB342" s="27" t="s">
        <v>158</v>
      </c>
      <c r="AC342" s="27" t="s">
        <v>160</v>
      </c>
      <c r="AD342" s="27" t="s">
        <v>338</v>
      </c>
      <c r="AE342" s="27" t="s">
        <v>1905</v>
      </c>
      <c r="AF342" s="27" t="s">
        <v>176</v>
      </c>
      <c r="AG342" s="27" t="s">
        <v>177</v>
      </c>
      <c r="AH342" s="27" t="s">
        <v>164</v>
      </c>
      <c r="AI342" s="179"/>
      <c r="AJ342" s="27" t="s">
        <v>164</v>
      </c>
      <c r="AK342" s="27" t="s">
        <v>214</v>
      </c>
      <c r="AL342" s="27" t="s">
        <v>164</v>
      </c>
      <c r="AM342" s="27" t="s">
        <v>164</v>
      </c>
      <c r="AN342" s="27" t="s">
        <v>214</v>
      </c>
      <c r="AO342" s="27" t="s">
        <v>164</v>
      </c>
      <c r="AP342" s="136"/>
      <c r="AT342" s="27" t="str">
        <f t="shared" si="10"/>
        <v>Activo</v>
      </c>
      <c r="AU342" s="27" cm="1">
        <f t="array" aca="1" ref="AU342" ca="1">_xlfn.IFS(AT342="","",AT342="Activo",TODAY()-H342,AT342="Inactivo",AP342-H342)</f>
        <v>1614</v>
      </c>
      <c r="AV342" s="180">
        <f ca="1">IF(ISBLANK(Tabla1[[#This Row],[Fecha Nacimento (dd/mm/yyyy)]]),"",YEARFRAC(Tabla1[[#This Row],[Fecha Nacimento (dd/mm/yyyy)]],TODAY()))</f>
        <v>48.036111111111111</v>
      </c>
      <c r="AW342" s="141"/>
    </row>
    <row r="343" spans="1:49" s="27" customFormat="1" x14ac:dyDescent="0.25">
      <c r="A343" s="134">
        <v>343</v>
      </c>
      <c r="B343" s="27" t="s">
        <v>1918</v>
      </c>
      <c r="C343" s="27" t="s">
        <v>1919</v>
      </c>
      <c r="D343" s="27" t="s">
        <v>141</v>
      </c>
      <c r="E343" s="400">
        <v>39189518</v>
      </c>
      <c r="F343" s="27" t="s">
        <v>142</v>
      </c>
      <c r="G343" s="27" t="s">
        <v>143</v>
      </c>
      <c r="H343" s="136">
        <v>45300</v>
      </c>
      <c r="I343" s="136"/>
      <c r="J343" s="27" t="s">
        <v>144</v>
      </c>
      <c r="K343" s="138">
        <v>1345653</v>
      </c>
      <c r="L343" s="27" t="s">
        <v>145</v>
      </c>
      <c r="M343" s="27" t="s">
        <v>262</v>
      </c>
      <c r="N343" s="27" t="s">
        <v>145</v>
      </c>
      <c r="O343" s="139" t="s">
        <v>1920</v>
      </c>
      <c r="Q343" s="27" t="s">
        <v>148</v>
      </c>
      <c r="R343" s="27" t="s">
        <v>149</v>
      </c>
      <c r="S343" s="27" t="s">
        <v>150</v>
      </c>
      <c r="T343" s="27">
        <v>2448465929</v>
      </c>
      <c r="U343" s="197">
        <v>28611</v>
      </c>
      <c r="V343" s="27" t="s">
        <v>1921</v>
      </c>
      <c r="W343" s="27">
        <v>3105520151</v>
      </c>
      <c r="X343" s="27" t="s">
        <v>1394</v>
      </c>
      <c r="Y343" s="27" t="s">
        <v>1922</v>
      </c>
      <c r="Z343" s="27" t="s">
        <v>927</v>
      </c>
      <c r="AA343" s="27" t="s">
        <v>1077</v>
      </c>
      <c r="AB343" s="27" t="s">
        <v>158</v>
      </c>
      <c r="AC343" s="27" t="s">
        <v>160</v>
      </c>
      <c r="AD343" s="27" t="s">
        <v>271</v>
      </c>
      <c r="AE343" s="27" t="s">
        <v>1923</v>
      </c>
      <c r="AF343" s="27" t="s">
        <v>162</v>
      </c>
      <c r="AG343" s="27" t="s">
        <v>177</v>
      </c>
      <c r="AH343" s="27" t="s">
        <v>164</v>
      </c>
      <c r="AI343" s="179"/>
      <c r="AJ343" s="27" t="s">
        <v>164</v>
      </c>
      <c r="AK343" s="27" t="s">
        <v>214</v>
      </c>
      <c r="AL343" s="27" t="s">
        <v>164</v>
      </c>
      <c r="AM343" s="27" t="s">
        <v>164</v>
      </c>
      <c r="AN343" s="27" t="s">
        <v>214</v>
      </c>
      <c r="AO343" s="27" t="s">
        <v>164</v>
      </c>
      <c r="AP343" s="136"/>
      <c r="AT343" s="27" t="str">
        <f t="shared" si="10"/>
        <v>Activo</v>
      </c>
      <c r="AU343" s="27" cm="1">
        <f t="array" aca="1" ref="AU343" ca="1">_xlfn.IFS(AT343="","",AT343="Activo",TODAY()-H343,AT343="Inactivo",AP343-H343)</f>
        <v>160</v>
      </c>
      <c r="AV343" s="180">
        <f ca="1">IF(ISBLANK(Tabla1[[#This Row],[Fecha Nacimento (dd/mm/yyyy)]]),"",YEARFRAC(Tabla1[[#This Row],[Fecha Nacimento (dd/mm/yyyy)]],TODAY()))</f>
        <v>46.12777777777778</v>
      </c>
      <c r="AW343" s="141"/>
    </row>
    <row r="344" spans="1:49" s="27" customFormat="1" x14ac:dyDescent="0.25">
      <c r="A344" s="134">
        <v>344</v>
      </c>
      <c r="B344" s="27" t="s">
        <v>1924</v>
      </c>
      <c r="C344" s="27" t="s">
        <v>1925</v>
      </c>
      <c r="D344" s="27" t="s">
        <v>141</v>
      </c>
      <c r="E344" s="400">
        <v>1040048005</v>
      </c>
      <c r="F344" s="27" t="s">
        <v>142</v>
      </c>
      <c r="G344" s="27" t="s">
        <v>143</v>
      </c>
      <c r="H344" s="136">
        <v>45300</v>
      </c>
      <c r="I344" s="136"/>
      <c r="J344" s="27" t="s">
        <v>144</v>
      </c>
      <c r="K344" s="138">
        <v>1345653</v>
      </c>
      <c r="L344" s="27" t="s">
        <v>145</v>
      </c>
      <c r="M344" s="27" t="s">
        <v>262</v>
      </c>
      <c r="N344" s="27" t="s">
        <v>145</v>
      </c>
      <c r="O344" s="139" t="s">
        <v>1926</v>
      </c>
      <c r="Q344" s="27" t="s">
        <v>148</v>
      </c>
      <c r="R344" s="27" t="s">
        <v>426</v>
      </c>
      <c r="S344" s="27" t="s">
        <v>150</v>
      </c>
      <c r="T344" s="27">
        <v>3117412006</v>
      </c>
      <c r="U344" s="197">
        <v>35422</v>
      </c>
      <c r="V344" s="27" t="s">
        <v>1921</v>
      </c>
      <c r="W344" s="27">
        <v>3236544356</v>
      </c>
      <c r="X344" s="27" t="s">
        <v>1394</v>
      </c>
      <c r="Y344" s="27" t="s">
        <v>1922</v>
      </c>
      <c r="Z344" s="27" t="s">
        <v>927</v>
      </c>
      <c r="AA344" s="27" t="s">
        <v>1077</v>
      </c>
      <c r="AB344" s="27" t="s">
        <v>158</v>
      </c>
      <c r="AC344" s="27" t="s">
        <v>159</v>
      </c>
      <c r="AD344" s="27" t="s">
        <v>271</v>
      </c>
      <c r="AE344" s="27" t="s">
        <v>1923</v>
      </c>
      <c r="AF344" s="27" t="s">
        <v>162</v>
      </c>
      <c r="AG344" s="27" t="s">
        <v>177</v>
      </c>
      <c r="AH344" s="27" t="s">
        <v>164</v>
      </c>
      <c r="AI344" s="179"/>
      <c r="AJ344" s="27" t="s">
        <v>164</v>
      </c>
      <c r="AK344" s="27" t="s">
        <v>214</v>
      </c>
      <c r="AL344" s="27" t="s">
        <v>164</v>
      </c>
      <c r="AM344" s="27" t="s">
        <v>164</v>
      </c>
      <c r="AN344" s="27" t="s">
        <v>214</v>
      </c>
      <c r="AO344" s="27" t="s">
        <v>164</v>
      </c>
      <c r="AP344" s="136">
        <v>45397</v>
      </c>
      <c r="AQ344" s="27" t="s">
        <v>52</v>
      </c>
      <c r="AT344" s="27" t="str">
        <f t="shared" si="10"/>
        <v>Inactivo</v>
      </c>
      <c r="AU344" s="27" cm="1">
        <f t="array" aca="1" ref="AU344" ca="1">_xlfn.IFS(AT344="","",AT344="Activo",TODAY()-H344,AT344="Inactivo",AP344-H344)</f>
        <v>97</v>
      </c>
      <c r="AV344" s="180">
        <f ca="1">IF(ISBLANK(Tabla1[[#This Row],[Fecha Nacimento (dd/mm/yyyy)]]),"",YEARFRAC(Tabla1[[#This Row],[Fecha Nacimento (dd/mm/yyyy)]],TODAY()))</f>
        <v>27.483333333333334</v>
      </c>
      <c r="AW344" s="141"/>
    </row>
    <row r="345" spans="1:49" s="27" customFormat="1" x14ac:dyDescent="0.25">
      <c r="A345" s="134">
        <v>345</v>
      </c>
      <c r="B345" s="27" t="s">
        <v>537</v>
      </c>
      <c r="C345" s="27" t="s">
        <v>1927</v>
      </c>
      <c r="D345" s="27" t="s">
        <v>141</v>
      </c>
      <c r="E345" s="400">
        <v>1002636970</v>
      </c>
      <c r="F345" s="135" t="s">
        <v>142</v>
      </c>
      <c r="G345" s="27" t="s">
        <v>143</v>
      </c>
      <c r="H345" s="136">
        <v>44927</v>
      </c>
      <c r="I345" s="136"/>
      <c r="J345" s="27" t="s">
        <v>144</v>
      </c>
      <c r="K345" s="138">
        <v>10000000</v>
      </c>
      <c r="L345" s="27" t="s">
        <v>164</v>
      </c>
      <c r="M345" s="27" t="s">
        <v>262</v>
      </c>
      <c r="N345" s="135" t="s">
        <v>145</v>
      </c>
      <c r="O345" s="139" t="s">
        <v>1928</v>
      </c>
      <c r="Q345" s="27" t="s">
        <v>148</v>
      </c>
      <c r="R345" s="27" t="s">
        <v>149</v>
      </c>
      <c r="S345" s="135" t="s">
        <v>150</v>
      </c>
      <c r="T345" s="27">
        <v>85986698171</v>
      </c>
      <c r="U345" s="197">
        <v>37025</v>
      </c>
      <c r="V345" s="27" t="s">
        <v>1929</v>
      </c>
      <c r="X345" s="27" t="s">
        <v>1400</v>
      </c>
      <c r="Y345" s="27" t="s">
        <v>155</v>
      </c>
      <c r="Z345" s="27" t="s">
        <v>662</v>
      </c>
      <c r="AA345" s="27" t="s">
        <v>302</v>
      </c>
      <c r="AB345" s="27" t="s">
        <v>158</v>
      </c>
      <c r="AC345" s="27" t="s">
        <v>159</v>
      </c>
      <c r="AD345" s="27" t="s">
        <v>160</v>
      </c>
      <c r="AE345" s="27" t="s">
        <v>1078</v>
      </c>
      <c r="AF345" s="27" t="s">
        <v>162</v>
      </c>
      <c r="AG345" s="27" t="s">
        <v>163</v>
      </c>
      <c r="AH345" s="27" t="s">
        <v>164</v>
      </c>
      <c r="AI345" s="179"/>
      <c r="AJ345" s="27" t="s">
        <v>164</v>
      </c>
      <c r="AK345" s="27" t="s">
        <v>214</v>
      </c>
      <c r="AL345" s="27" t="s">
        <v>164</v>
      </c>
      <c r="AM345" s="27" t="s">
        <v>164</v>
      </c>
      <c r="AN345" s="27" t="s">
        <v>214</v>
      </c>
      <c r="AO345" s="27" t="s">
        <v>164</v>
      </c>
      <c r="AP345" s="136"/>
      <c r="AT345" s="27" t="str">
        <f t="shared" si="10"/>
        <v>Activo</v>
      </c>
      <c r="AU345" s="27" cm="1">
        <f t="array" aca="1" ref="AU345" ca="1">_xlfn.IFS(AT345="","",AT345="Activo",TODAY()-H345,AT345="Inactivo",AP345-H345)</f>
        <v>533</v>
      </c>
      <c r="AV345" s="180">
        <f ca="1">IF(ISBLANK(Tabla1[[#This Row],[Fecha Nacimento (dd/mm/yyyy)]]),"",YEARFRAC(Tabla1[[#This Row],[Fecha Nacimento (dd/mm/yyyy)]],TODAY()))</f>
        <v>23.091666666666665</v>
      </c>
      <c r="AW345" s="141"/>
    </row>
    <row r="346" spans="1:49" s="27" customFormat="1" x14ac:dyDescent="0.25">
      <c r="A346" s="134">
        <v>346</v>
      </c>
      <c r="B346" s="27" t="s">
        <v>1120</v>
      </c>
      <c r="C346" s="27" t="s">
        <v>1930</v>
      </c>
      <c r="D346" s="27" t="s">
        <v>141</v>
      </c>
      <c r="E346" s="400">
        <v>1094921913</v>
      </c>
      <c r="F346" s="135" t="s">
        <v>142</v>
      </c>
      <c r="G346" s="27" t="s">
        <v>143</v>
      </c>
      <c r="H346" s="136">
        <v>44825</v>
      </c>
      <c r="I346" s="136"/>
      <c r="J346" s="27" t="s">
        <v>144</v>
      </c>
      <c r="K346" s="138">
        <v>2013760</v>
      </c>
      <c r="L346" s="27" t="s">
        <v>145</v>
      </c>
      <c r="M346" s="27" t="s">
        <v>262</v>
      </c>
      <c r="N346" s="135" t="s">
        <v>145</v>
      </c>
      <c r="O346" s="139" t="s">
        <v>1931</v>
      </c>
      <c r="Q346" s="27" t="s">
        <v>148</v>
      </c>
      <c r="R346" s="27" t="s">
        <v>149</v>
      </c>
      <c r="S346" s="135" t="s">
        <v>150</v>
      </c>
      <c r="T346" s="27">
        <v>3012919377</v>
      </c>
      <c r="U346" s="197">
        <v>33240</v>
      </c>
      <c r="V346" s="27" t="s">
        <v>1929</v>
      </c>
      <c r="W346" s="27">
        <v>3012919377</v>
      </c>
      <c r="X346" s="27" t="s">
        <v>154</v>
      </c>
      <c r="Y346" s="27" t="s">
        <v>155</v>
      </c>
      <c r="Z346" s="27" t="s">
        <v>1113</v>
      </c>
      <c r="AA346" s="27" t="s">
        <v>1077</v>
      </c>
      <c r="AB346" s="27" t="s">
        <v>212</v>
      </c>
      <c r="AC346" s="27" t="s">
        <v>160</v>
      </c>
      <c r="AD346" s="27" t="s">
        <v>160</v>
      </c>
      <c r="AE346" s="27" t="s">
        <v>1078</v>
      </c>
      <c r="AF346" s="27" t="s">
        <v>176</v>
      </c>
      <c r="AG346" s="27" t="s">
        <v>177</v>
      </c>
      <c r="AH346" s="27" t="s">
        <v>145</v>
      </c>
      <c r="AI346" s="179">
        <v>200000</v>
      </c>
      <c r="AJ346" s="27" t="s">
        <v>164</v>
      </c>
      <c r="AK346" s="27" t="s">
        <v>214</v>
      </c>
      <c r="AL346" s="27" t="s">
        <v>164</v>
      </c>
      <c r="AM346" s="27" t="s">
        <v>164</v>
      </c>
      <c r="AN346" s="27" t="s">
        <v>214</v>
      </c>
      <c r="AO346" s="27" t="s">
        <v>164</v>
      </c>
      <c r="AP346" s="136"/>
      <c r="AT346" s="27" t="str">
        <f t="shared" si="10"/>
        <v>Activo</v>
      </c>
      <c r="AU346" s="27" cm="1">
        <f t="array" aca="1" ref="AU346" ca="1">_xlfn.IFS(AT346="","",AT346="Activo",TODAY()-H346,AT346="Inactivo",AP346-H346)</f>
        <v>635</v>
      </c>
      <c r="AV346" s="180">
        <f ca="1">IF(ISBLANK(Tabla1[[#This Row],[Fecha Nacimento (dd/mm/yyyy)]]),"",YEARFRAC(Tabla1[[#This Row],[Fecha Nacimento (dd/mm/yyyy)]],TODAY()))</f>
        <v>33.458333333333336</v>
      </c>
      <c r="AW346" s="141"/>
    </row>
    <row r="347" spans="1:49" s="27" customFormat="1" x14ac:dyDescent="0.25">
      <c r="A347" s="134">
        <v>347</v>
      </c>
      <c r="B347" s="27" t="s">
        <v>1932</v>
      </c>
      <c r="C347" s="27" t="s">
        <v>1933</v>
      </c>
      <c r="D347" s="27" t="s">
        <v>141</v>
      </c>
      <c r="E347" s="400">
        <v>9726729</v>
      </c>
      <c r="F347" s="135" t="s">
        <v>142</v>
      </c>
      <c r="G347" s="27" t="s">
        <v>143</v>
      </c>
      <c r="H347" s="136">
        <v>44866</v>
      </c>
      <c r="I347" s="136"/>
      <c r="J347" s="27" t="s">
        <v>144</v>
      </c>
      <c r="K347" s="138">
        <v>2013760</v>
      </c>
      <c r="L347" s="27" t="s">
        <v>145</v>
      </c>
      <c r="M347" s="27" t="s">
        <v>203</v>
      </c>
      <c r="N347" s="135" t="s">
        <v>145</v>
      </c>
      <c r="O347" s="139" t="s">
        <v>1934</v>
      </c>
      <c r="Q347" s="27" t="s">
        <v>148</v>
      </c>
      <c r="R347" s="27" t="s">
        <v>149</v>
      </c>
      <c r="S347" s="135" t="s">
        <v>150</v>
      </c>
      <c r="T347" s="27">
        <v>75644088987</v>
      </c>
      <c r="U347" s="197">
        <v>29541</v>
      </c>
      <c r="V347" s="27" t="s">
        <v>1929</v>
      </c>
      <c r="X347" s="27" t="s">
        <v>154</v>
      </c>
      <c r="Y347" s="27" t="s">
        <v>155</v>
      </c>
      <c r="Z347" s="27" t="s">
        <v>1113</v>
      </c>
      <c r="AA347" s="27" t="s">
        <v>1077</v>
      </c>
      <c r="AB347" s="27" t="s">
        <v>186</v>
      </c>
      <c r="AC347" s="27" t="s">
        <v>271</v>
      </c>
      <c r="AD347" s="27" t="s">
        <v>271</v>
      </c>
      <c r="AE347" s="27" t="s">
        <v>1078</v>
      </c>
      <c r="AF347" s="27" t="s">
        <v>176</v>
      </c>
      <c r="AG347" s="27" t="s">
        <v>177</v>
      </c>
      <c r="AH347" s="27" t="s">
        <v>145</v>
      </c>
      <c r="AI347" s="179">
        <v>200000</v>
      </c>
      <c r="AJ347" s="27" t="s">
        <v>164</v>
      </c>
      <c r="AK347" s="27" t="s">
        <v>214</v>
      </c>
      <c r="AL347" s="27" t="s">
        <v>164</v>
      </c>
      <c r="AM347" s="27" t="s">
        <v>164</v>
      </c>
      <c r="AN347" s="27" t="s">
        <v>214</v>
      </c>
      <c r="AO347" s="27" t="s">
        <v>164</v>
      </c>
      <c r="AP347" s="136"/>
      <c r="AT347" s="27" t="str">
        <f t="shared" si="10"/>
        <v>Activo</v>
      </c>
      <c r="AU347" s="27" cm="1">
        <f t="array" aca="1" ref="AU347" ca="1">_xlfn.IFS(AT347="","",AT347="Activo",TODAY()-H347,AT347="Inactivo",AP347-H347)</f>
        <v>594</v>
      </c>
      <c r="AV347" s="180">
        <f ca="1">IF(ISBLANK(Tabla1[[#This Row],[Fecha Nacimento (dd/mm/yyyy)]]),"",YEARFRAC(Tabla1[[#This Row],[Fecha Nacimento (dd/mm/yyyy)]],TODAY()))</f>
        <v>43.586111111111109</v>
      </c>
      <c r="AW347" s="141"/>
    </row>
    <row r="348" spans="1:49" s="27" customFormat="1" x14ac:dyDescent="0.25">
      <c r="A348" s="134">
        <v>348</v>
      </c>
      <c r="B348" s="27" t="s">
        <v>1935</v>
      </c>
      <c r="C348" s="27" t="s">
        <v>1936</v>
      </c>
      <c r="D348" s="27" t="s">
        <v>141</v>
      </c>
      <c r="E348" s="400">
        <v>1094941707</v>
      </c>
      <c r="F348" s="135" t="s">
        <v>142</v>
      </c>
      <c r="G348" s="27" t="s">
        <v>143</v>
      </c>
      <c r="H348" s="136">
        <v>43132</v>
      </c>
      <c r="I348" s="136"/>
      <c r="J348" s="27" t="s">
        <v>144</v>
      </c>
      <c r="K348" s="138">
        <v>2598400</v>
      </c>
      <c r="L348" s="27" t="s">
        <v>145</v>
      </c>
      <c r="M348" s="27" t="s">
        <v>203</v>
      </c>
      <c r="N348" s="135" t="s">
        <v>145</v>
      </c>
      <c r="O348" s="139" t="s">
        <v>1937</v>
      </c>
      <c r="Q348" s="27" t="s">
        <v>148</v>
      </c>
      <c r="R348" s="27" t="s">
        <v>149</v>
      </c>
      <c r="S348" s="135" t="s">
        <v>150</v>
      </c>
      <c r="T348" s="27">
        <v>86722190426</v>
      </c>
      <c r="U348" s="197">
        <v>34457</v>
      </c>
      <c r="V348" s="27" t="s">
        <v>1929</v>
      </c>
      <c r="X348" s="27" t="s">
        <v>154</v>
      </c>
      <c r="Y348" s="27" t="s">
        <v>155</v>
      </c>
      <c r="Z348" s="27" t="s">
        <v>1938</v>
      </c>
      <c r="AA348" s="27" t="s">
        <v>302</v>
      </c>
      <c r="AB348" s="27" t="s">
        <v>158</v>
      </c>
      <c r="AC348" s="27" t="s">
        <v>160</v>
      </c>
      <c r="AD348" s="27" t="s">
        <v>160</v>
      </c>
      <c r="AE348" s="27" t="s">
        <v>1078</v>
      </c>
      <c r="AF348" s="27" t="s">
        <v>176</v>
      </c>
      <c r="AG348" s="27" t="s">
        <v>177</v>
      </c>
      <c r="AH348" s="27" t="s">
        <v>145</v>
      </c>
      <c r="AI348" s="179">
        <v>200000</v>
      </c>
      <c r="AJ348" s="27" t="s">
        <v>164</v>
      </c>
      <c r="AK348" s="27" t="s">
        <v>214</v>
      </c>
      <c r="AL348" s="27" t="s">
        <v>164</v>
      </c>
      <c r="AM348" s="27" t="s">
        <v>164</v>
      </c>
      <c r="AN348" s="27" t="s">
        <v>214</v>
      </c>
      <c r="AO348" s="27" t="s">
        <v>164</v>
      </c>
      <c r="AP348" s="136"/>
      <c r="AT348" s="27" t="str">
        <f t="shared" si="10"/>
        <v>Activo</v>
      </c>
      <c r="AU348" s="27" cm="1">
        <f t="array" aca="1" ref="AU348" ca="1">_xlfn.IFS(AT348="","",AT348="Activo",TODAY()-H348,AT348="Inactivo",AP348-H348)</f>
        <v>2328</v>
      </c>
      <c r="AV348" s="180">
        <f ca="1">IF(ISBLANK(Tabla1[[#This Row],[Fecha Nacimento (dd/mm/yyyy)]]),"",YEARFRAC(Tabla1[[#This Row],[Fecha Nacimento (dd/mm/yyyy)]],TODAY()))</f>
        <v>30.122222222222224</v>
      </c>
      <c r="AW348" s="141"/>
    </row>
    <row r="349" spans="1:49" s="27" customFormat="1" x14ac:dyDescent="0.25">
      <c r="A349" s="134">
        <v>349</v>
      </c>
      <c r="B349" s="27" t="s">
        <v>1939</v>
      </c>
      <c r="C349" s="27" t="s">
        <v>1940</v>
      </c>
      <c r="D349" s="27" t="s">
        <v>141</v>
      </c>
      <c r="E349" s="400">
        <v>1094970656</v>
      </c>
      <c r="F349" s="135" t="s">
        <v>142</v>
      </c>
      <c r="G349" s="27" t="s">
        <v>143</v>
      </c>
      <c r="H349" s="136">
        <v>44644</v>
      </c>
      <c r="I349" s="136"/>
      <c r="J349" s="27" t="s">
        <v>144</v>
      </c>
      <c r="K349" s="138">
        <v>1818880</v>
      </c>
      <c r="L349" s="27" t="s">
        <v>145</v>
      </c>
      <c r="M349" s="27" t="s">
        <v>203</v>
      </c>
      <c r="N349" s="135" t="s">
        <v>145</v>
      </c>
      <c r="O349" s="139" t="s">
        <v>1941</v>
      </c>
      <c r="Q349" s="27" t="s">
        <v>148</v>
      </c>
      <c r="R349" s="27" t="s">
        <v>149</v>
      </c>
      <c r="S349" s="135" t="s">
        <v>150</v>
      </c>
      <c r="T349" s="27">
        <v>3046620768</v>
      </c>
      <c r="U349" s="197">
        <v>36062</v>
      </c>
      <c r="V349" s="27" t="s">
        <v>1929</v>
      </c>
      <c r="X349" s="27" t="s">
        <v>154</v>
      </c>
      <c r="Y349" s="27" t="s">
        <v>155</v>
      </c>
      <c r="Z349" s="27" t="s">
        <v>1113</v>
      </c>
      <c r="AA349" s="27" t="s">
        <v>1077</v>
      </c>
      <c r="AB349" s="27" t="s">
        <v>158</v>
      </c>
      <c r="AC349" s="27" t="s">
        <v>160</v>
      </c>
      <c r="AD349" s="27" t="s">
        <v>160</v>
      </c>
      <c r="AE349" s="27" t="s">
        <v>1078</v>
      </c>
      <c r="AF349" s="27" t="s">
        <v>176</v>
      </c>
      <c r="AG349" s="27" t="s">
        <v>177</v>
      </c>
      <c r="AH349" s="27" t="s">
        <v>145</v>
      </c>
      <c r="AI349" s="179">
        <v>200000</v>
      </c>
      <c r="AJ349" s="27" t="s">
        <v>164</v>
      </c>
      <c r="AK349" s="27" t="s">
        <v>214</v>
      </c>
      <c r="AL349" s="27" t="s">
        <v>164</v>
      </c>
      <c r="AM349" s="27" t="s">
        <v>164</v>
      </c>
      <c r="AN349" s="27" t="s">
        <v>214</v>
      </c>
      <c r="AO349" s="27" t="s">
        <v>164</v>
      </c>
      <c r="AP349" s="136"/>
      <c r="AT349" s="27" t="str">
        <f t="shared" si="10"/>
        <v>Activo</v>
      </c>
      <c r="AU349" s="27" cm="1">
        <f t="array" aca="1" ref="AU349" ca="1">_xlfn.IFS(AT349="","",AT349="Activo",TODAY()-H349,AT349="Inactivo",AP349-H349)</f>
        <v>816</v>
      </c>
      <c r="AV349" s="180">
        <f ca="1">IF(ISBLANK(Tabla1[[#This Row],[Fecha Nacimento (dd/mm/yyyy)]]),"",YEARFRAC(Tabla1[[#This Row],[Fecha Nacimento (dd/mm/yyyy)]],TODAY()))</f>
        <v>25.730555555555554</v>
      </c>
      <c r="AW349" s="141"/>
    </row>
    <row r="350" spans="1:49" s="27" customFormat="1" x14ac:dyDescent="0.25">
      <c r="A350" s="134">
        <v>351</v>
      </c>
      <c r="B350" s="27" t="s">
        <v>1942</v>
      </c>
      <c r="C350" s="27" t="s">
        <v>1943</v>
      </c>
      <c r="D350" s="27" t="s">
        <v>141</v>
      </c>
      <c r="E350" s="400">
        <v>94541949</v>
      </c>
      <c r="F350" s="27" t="s">
        <v>142</v>
      </c>
      <c r="G350" s="27" t="s">
        <v>143</v>
      </c>
      <c r="H350" s="136">
        <v>44991</v>
      </c>
      <c r="I350" s="136"/>
      <c r="J350" s="27" t="s">
        <v>144</v>
      </c>
      <c r="K350" s="138">
        <v>1400000</v>
      </c>
      <c r="L350" s="27" t="s">
        <v>145</v>
      </c>
      <c r="M350" s="27" t="s">
        <v>355</v>
      </c>
      <c r="N350" s="27" t="s">
        <v>145</v>
      </c>
      <c r="O350" s="139" t="s">
        <v>1944</v>
      </c>
      <c r="Q350" s="27" t="s">
        <v>148</v>
      </c>
      <c r="R350" s="27" t="s">
        <v>149</v>
      </c>
      <c r="S350" s="27" t="s">
        <v>150</v>
      </c>
      <c r="T350" s="27">
        <v>74500003176</v>
      </c>
      <c r="U350" s="197">
        <v>31167</v>
      </c>
      <c r="V350" s="27" t="s">
        <v>1945</v>
      </c>
      <c r="W350" s="27">
        <v>3147337817</v>
      </c>
      <c r="X350" s="27" t="s">
        <v>1181</v>
      </c>
      <c r="Y350" s="27" t="s">
        <v>523</v>
      </c>
      <c r="Z350" s="27" t="s">
        <v>1946</v>
      </c>
      <c r="AA350" s="27" t="s">
        <v>1077</v>
      </c>
      <c r="AB350" s="27" t="s">
        <v>1947</v>
      </c>
      <c r="AC350" s="27" t="s">
        <v>160</v>
      </c>
      <c r="AD350" s="27" t="s">
        <v>160</v>
      </c>
      <c r="AE350" s="27" t="s">
        <v>1184</v>
      </c>
      <c r="AF350" s="27" t="s">
        <v>176</v>
      </c>
      <c r="AG350" s="27" t="s">
        <v>177</v>
      </c>
      <c r="AH350" s="27" t="s">
        <v>164</v>
      </c>
      <c r="AI350" s="179"/>
      <c r="AJ350" s="27" t="s">
        <v>164</v>
      </c>
      <c r="AK350" s="27" t="s">
        <v>214</v>
      </c>
      <c r="AL350" s="27" t="s">
        <v>214</v>
      </c>
      <c r="AM350" s="27" t="s">
        <v>164</v>
      </c>
      <c r="AN350" s="27" t="s">
        <v>214</v>
      </c>
      <c r="AO350" s="27" t="s">
        <v>164</v>
      </c>
      <c r="AP350" s="136"/>
      <c r="AT350" s="27" t="str">
        <f t="shared" si="10"/>
        <v>Activo</v>
      </c>
      <c r="AU350" s="27" cm="1">
        <f t="array" aca="1" ref="AU350" ca="1">_xlfn.IFS(AT350="","",AT350="Activo",TODAY()-H350,AT350="Inactivo",AP350-H350)</f>
        <v>469</v>
      </c>
      <c r="AV350" s="180">
        <f ca="1">IF(ISBLANK(Tabla1[[#This Row],[Fecha Nacimento (dd/mm/yyyy)]]),"",YEARFRAC(Tabla1[[#This Row],[Fecha Nacimento (dd/mm/yyyy)]],TODAY()))</f>
        <v>39.130555555555553</v>
      </c>
      <c r="AW350" s="141"/>
    </row>
    <row r="351" spans="1:49" s="27" customFormat="1" x14ac:dyDescent="0.25">
      <c r="A351" s="134">
        <v>352</v>
      </c>
      <c r="B351" s="27" t="s">
        <v>1948</v>
      </c>
      <c r="C351" s="27" t="s">
        <v>1949</v>
      </c>
      <c r="D351" s="27" t="s">
        <v>141</v>
      </c>
      <c r="E351" s="400">
        <v>1151949273</v>
      </c>
      <c r="F351" s="27" t="s">
        <v>142</v>
      </c>
      <c r="G351" s="27" t="s">
        <v>143</v>
      </c>
      <c r="H351" s="136">
        <v>44006</v>
      </c>
      <c r="I351" s="136"/>
      <c r="J351" s="27" t="s">
        <v>144</v>
      </c>
      <c r="K351" s="138">
        <v>2717391</v>
      </c>
      <c r="L351" s="27" t="s">
        <v>164</v>
      </c>
      <c r="M351" s="27" t="s">
        <v>355</v>
      </c>
      <c r="N351" s="27" t="s">
        <v>145</v>
      </c>
      <c r="O351" s="139" t="s">
        <v>1950</v>
      </c>
      <c r="Q351" s="27" t="s">
        <v>148</v>
      </c>
      <c r="R351" s="27" t="s">
        <v>149</v>
      </c>
      <c r="S351" s="27" t="s">
        <v>150</v>
      </c>
      <c r="T351" s="27">
        <v>81572365140</v>
      </c>
      <c r="U351" s="197">
        <v>34132</v>
      </c>
      <c r="V351" s="27" t="s">
        <v>1951</v>
      </c>
      <c r="W351" s="27">
        <v>3136228583</v>
      </c>
      <c r="X351" s="27" t="s">
        <v>1181</v>
      </c>
      <c r="Y351" s="27" t="s">
        <v>155</v>
      </c>
      <c r="Z351" s="27" t="s">
        <v>1952</v>
      </c>
      <c r="AA351" s="27" t="s">
        <v>302</v>
      </c>
      <c r="AB351" s="27" t="s">
        <v>259</v>
      </c>
      <c r="AC351" s="27" t="s">
        <v>160</v>
      </c>
      <c r="AD351" s="27" t="s">
        <v>160</v>
      </c>
      <c r="AE351" s="27" t="s">
        <v>1184</v>
      </c>
      <c r="AF351" s="27" t="s">
        <v>176</v>
      </c>
      <c r="AG351" s="27" t="s">
        <v>163</v>
      </c>
      <c r="AH351" s="27" t="s">
        <v>164</v>
      </c>
      <c r="AI351" s="179"/>
      <c r="AJ351" s="27" t="s">
        <v>164</v>
      </c>
      <c r="AK351" s="27" t="s">
        <v>214</v>
      </c>
      <c r="AL351" s="27" t="s">
        <v>214</v>
      </c>
      <c r="AM351" s="27" t="s">
        <v>164</v>
      </c>
      <c r="AN351" s="27" t="s">
        <v>214</v>
      </c>
      <c r="AO351" s="27" t="s">
        <v>164</v>
      </c>
      <c r="AP351" s="136"/>
      <c r="AT351" s="27" t="str">
        <f t="shared" si="10"/>
        <v>Activo</v>
      </c>
      <c r="AU351" s="27" cm="1">
        <f t="array" aca="1" ref="AU351" ca="1">_xlfn.IFS(AT351="","",AT351="Activo",TODAY()-H351,AT351="Inactivo",AP351-H351)</f>
        <v>1454</v>
      </c>
      <c r="AV351" s="180">
        <f ca="1">IF(ISBLANK(Tabla1[[#This Row],[Fecha Nacimento (dd/mm/yyyy)]]),"",YEARFRAC(Tabla1[[#This Row],[Fecha Nacimento (dd/mm/yyyy)]],TODAY()))</f>
        <v>31.013888888888889</v>
      </c>
      <c r="AW351" s="141"/>
    </row>
    <row r="352" spans="1:49" s="27" customFormat="1" x14ac:dyDescent="0.25">
      <c r="A352" s="134">
        <v>353</v>
      </c>
      <c r="B352" s="27" t="s">
        <v>1953</v>
      </c>
      <c r="C352" s="27" t="s">
        <v>1954</v>
      </c>
      <c r="D352" s="27" t="s">
        <v>141</v>
      </c>
      <c r="E352" s="400">
        <v>66863086</v>
      </c>
      <c r="F352" s="27" t="s">
        <v>142</v>
      </c>
      <c r="G352" s="27" t="s">
        <v>143</v>
      </c>
      <c r="H352" s="136">
        <v>44959</v>
      </c>
      <c r="I352" s="136"/>
      <c r="J352" s="27" t="s">
        <v>144</v>
      </c>
      <c r="K352" s="138">
        <v>2500000</v>
      </c>
      <c r="L352" s="27" t="s">
        <v>145</v>
      </c>
      <c r="M352" s="27" t="s">
        <v>355</v>
      </c>
      <c r="N352" s="27" t="s">
        <v>145</v>
      </c>
      <c r="O352" s="139" t="s">
        <v>1955</v>
      </c>
      <c r="Q352" s="27" t="s">
        <v>148</v>
      </c>
      <c r="R352" s="27" t="s">
        <v>149</v>
      </c>
      <c r="S352" s="27" t="s">
        <v>150</v>
      </c>
      <c r="T352" s="27">
        <v>80819204784</v>
      </c>
      <c r="U352" s="197">
        <v>26329</v>
      </c>
      <c r="V352" s="27" t="s">
        <v>1956</v>
      </c>
      <c r="W352" s="27">
        <v>3166981364</v>
      </c>
      <c r="X352" s="27" t="s">
        <v>1181</v>
      </c>
      <c r="Y352" s="27" t="s">
        <v>1075</v>
      </c>
      <c r="Z352" s="27" t="s">
        <v>1957</v>
      </c>
      <c r="AA352" s="27" t="s">
        <v>543</v>
      </c>
      <c r="AB352" s="27" t="s">
        <v>158</v>
      </c>
      <c r="AC352" s="27" t="s">
        <v>159</v>
      </c>
      <c r="AD352" s="27" t="s">
        <v>160</v>
      </c>
      <c r="AE352" s="27" t="s">
        <v>1184</v>
      </c>
      <c r="AF352" s="27" t="s">
        <v>162</v>
      </c>
      <c r="AG352" s="27" t="s">
        <v>177</v>
      </c>
      <c r="AH352" s="27" t="s">
        <v>164</v>
      </c>
      <c r="AI352" s="179"/>
      <c r="AJ352" s="27" t="s">
        <v>164</v>
      </c>
      <c r="AK352" s="27" t="s">
        <v>214</v>
      </c>
      <c r="AL352" s="27" t="s">
        <v>214</v>
      </c>
      <c r="AM352" s="27" t="s">
        <v>164</v>
      </c>
      <c r="AN352" s="27" t="s">
        <v>214</v>
      </c>
      <c r="AO352" s="27" t="s">
        <v>164</v>
      </c>
      <c r="AP352" s="136"/>
      <c r="AT352" s="27" t="str">
        <f t="shared" si="10"/>
        <v>Activo</v>
      </c>
      <c r="AU352" s="27" cm="1">
        <f t="array" aca="1" ref="AU352" ca="1">_xlfn.IFS(AT352="","",AT352="Activo",TODAY()-H352,AT352="Inactivo",AP352-H352)</f>
        <v>501</v>
      </c>
      <c r="AV352" s="180">
        <f ca="1">IF(ISBLANK(Tabla1[[#This Row],[Fecha Nacimento (dd/mm/yyyy)]]),"",YEARFRAC(Tabla1[[#This Row],[Fecha Nacimento (dd/mm/yyyy)]],TODAY()))</f>
        <v>52.380555555555553</v>
      </c>
      <c r="AW352" s="141"/>
    </row>
    <row r="353" spans="1:49" s="27" customFormat="1" x14ac:dyDescent="0.25">
      <c r="A353" s="134">
        <v>354</v>
      </c>
      <c r="B353" s="27" t="s">
        <v>1958</v>
      </c>
      <c r="C353" s="27" t="s">
        <v>1959</v>
      </c>
      <c r="D353" s="27" t="s">
        <v>141</v>
      </c>
      <c r="E353" s="400">
        <v>1114819530</v>
      </c>
      <c r="F353" s="27" t="s">
        <v>142</v>
      </c>
      <c r="G353" s="27" t="s">
        <v>143</v>
      </c>
      <c r="H353" s="136">
        <v>45078</v>
      </c>
      <c r="I353" s="136"/>
      <c r="J353" s="27" t="s">
        <v>144</v>
      </c>
      <c r="K353" s="138">
        <v>1300000</v>
      </c>
      <c r="L353" s="27" t="s">
        <v>145</v>
      </c>
      <c r="M353" s="27" t="s">
        <v>355</v>
      </c>
      <c r="N353" s="27" t="s">
        <v>145</v>
      </c>
      <c r="O353" s="139" t="s">
        <v>1960</v>
      </c>
      <c r="Q353" s="27" t="s">
        <v>148</v>
      </c>
      <c r="R353" s="27" t="s">
        <v>149</v>
      </c>
      <c r="S353" s="27" t="s">
        <v>150</v>
      </c>
      <c r="T353" s="27">
        <v>3186119869</v>
      </c>
      <c r="U353" s="197">
        <v>32448</v>
      </c>
      <c r="V353" s="27" t="s">
        <v>1961</v>
      </c>
      <c r="W353" s="27">
        <v>3186119869</v>
      </c>
      <c r="X353" s="27" t="s">
        <v>1181</v>
      </c>
      <c r="Y353" s="27" t="s">
        <v>523</v>
      </c>
      <c r="Z353" s="27" t="s">
        <v>1962</v>
      </c>
      <c r="AA353" s="27" t="s">
        <v>1573</v>
      </c>
      <c r="AB353" s="27" t="s">
        <v>1755</v>
      </c>
      <c r="AC353" s="27" t="s">
        <v>1744</v>
      </c>
      <c r="AD353" s="27" t="s">
        <v>1744</v>
      </c>
      <c r="AE353" s="27" t="s">
        <v>1184</v>
      </c>
      <c r="AF353" s="27" t="s">
        <v>162</v>
      </c>
      <c r="AG353" s="27" t="s">
        <v>177</v>
      </c>
      <c r="AH353" s="27" t="s">
        <v>164</v>
      </c>
      <c r="AI353" s="179"/>
      <c r="AJ353" s="27" t="s">
        <v>164</v>
      </c>
      <c r="AK353" s="27" t="s">
        <v>214</v>
      </c>
      <c r="AL353" s="27" t="s">
        <v>214</v>
      </c>
      <c r="AM353" s="27" t="s">
        <v>164</v>
      </c>
      <c r="AN353" s="27" t="s">
        <v>214</v>
      </c>
      <c r="AO353" s="27" t="s">
        <v>164</v>
      </c>
      <c r="AP353" s="136"/>
      <c r="AT353" s="27" t="str">
        <f t="shared" si="10"/>
        <v>Activo</v>
      </c>
      <c r="AU353" s="27" cm="1">
        <f t="array" aca="1" ref="AU353" ca="1">_xlfn.IFS(AT353="","",AT353="Activo",TODAY()-H353,AT353="Inactivo",AP353-H353)</f>
        <v>382</v>
      </c>
      <c r="AV353" s="180">
        <f ca="1">IF(ISBLANK(Tabla1[[#This Row],[Fecha Nacimento (dd/mm/yyyy)]]),"",YEARFRAC(Tabla1[[#This Row],[Fecha Nacimento (dd/mm/yyyy)]],TODAY()))</f>
        <v>35.62777777777778</v>
      </c>
      <c r="AW353" s="141"/>
    </row>
    <row r="354" spans="1:49" s="27" customFormat="1" x14ac:dyDescent="0.25">
      <c r="A354" s="134">
        <v>355</v>
      </c>
      <c r="B354" s="27" t="s">
        <v>1963</v>
      </c>
      <c r="C354" s="27" t="s">
        <v>1964</v>
      </c>
      <c r="D354" s="27" t="s">
        <v>141</v>
      </c>
      <c r="E354" s="400">
        <v>59822408</v>
      </c>
      <c r="F354" s="27" t="s">
        <v>142</v>
      </c>
      <c r="G354" s="27" t="s">
        <v>143</v>
      </c>
      <c r="H354" s="136">
        <v>26893</v>
      </c>
      <c r="I354" s="136"/>
      <c r="J354" s="27" t="s">
        <v>144</v>
      </c>
      <c r="K354" s="138">
        <v>1300000</v>
      </c>
      <c r="L354" s="27" t="s">
        <v>145</v>
      </c>
      <c r="M354" s="27" t="s">
        <v>355</v>
      </c>
      <c r="N354" s="27" t="s">
        <v>145</v>
      </c>
      <c r="O354" s="139" t="s">
        <v>1965</v>
      </c>
      <c r="Q354" s="27" t="s">
        <v>148</v>
      </c>
      <c r="R354" s="27" t="s">
        <v>149</v>
      </c>
      <c r="S354" s="27" t="s">
        <v>150</v>
      </c>
      <c r="T354" s="27">
        <v>7400005872</v>
      </c>
      <c r="U354" s="197">
        <v>26893</v>
      </c>
      <c r="V354" s="27" t="s">
        <v>1966</v>
      </c>
      <c r="W354" s="27">
        <v>3178888287</v>
      </c>
      <c r="X354" s="27" t="s">
        <v>1967</v>
      </c>
      <c r="Y354" s="27" t="s">
        <v>1075</v>
      </c>
      <c r="Z354" s="27" t="s">
        <v>1645</v>
      </c>
      <c r="AA354" s="27" t="s">
        <v>543</v>
      </c>
      <c r="AB354" s="27" t="s">
        <v>259</v>
      </c>
      <c r="AC354" s="27" t="s">
        <v>159</v>
      </c>
      <c r="AD354" s="27" t="s">
        <v>271</v>
      </c>
      <c r="AE354" s="27" t="s">
        <v>1184</v>
      </c>
      <c r="AF354" s="27" t="s">
        <v>162</v>
      </c>
      <c r="AG354" s="27" t="s">
        <v>177</v>
      </c>
      <c r="AH354" s="27" t="s">
        <v>145</v>
      </c>
      <c r="AI354" s="179">
        <v>182828</v>
      </c>
      <c r="AJ354" s="27" t="s">
        <v>164</v>
      </c>
      <c r="AK354" s="27" t="s">
        <v>214</v>
      </c>
      <c r="AL354" s="27" t="s">
        <v>214</v>
      </c>
      <c r="AM354" s="27" t="s">
        <v>164</v>
      </c>
      <c r="AN354" s="27" t="s">
        <v>214</v>
      </c>
      <c r="AO354" s="27" t="s">
        <v>164</v>
      </c>
      <c r="AP354" s="136"/>
      <c r="AT354" s="27" t="str">
        <f t="shared" si="10"/>
        <v>Activo</v>
      </c>
      <c r="AU354" s="27" cm="1">
        <f t="array" aca="1" ref="AU354" ca="1">_xlfn.IFS(AT354="","",AT354="Activo",TODAY()-H354,AT354="Inactivo",AP354-H354)</f>
        <v>18567</v>
      </c>
      <c r="AV354" s="180">
        <f ca="1">IF(ISBLANK(Tabla1[[#This Row],[Fecha Nacimento (dd/mm/yyyy)]]),"",YEARFRAC(Tabla1[[#This Row],[Fecha Nacimento (dd/mm/yyyy)]],TODAY()))</f>
        <v>50.833333333333336</v>
      </c>
      <c r="AW354" s="141"/>
    </row>
    <row r="355" spans="1:49" s="27" customFormat="1" x14ac:dyDescent="0.25">
      <c r="A355" s="134">
        <v>356</v>
      </c>
      <c r="B355" s="27" t="s">
        <v>739</v>
      </c>
      <c r="C355" s="27" t="s">
        <v>1968</v>
      </c>
      <c r="D355" s="27" t="s">
        <v>141</v>
      </c>
      <c r="E355" s="400">
        <v>1014282160</v>
      </c>
      <c r="F355" s="27" t="s">
        <v>142</v>
      </c>
      <c r="G355" s="27" t="s">
        <v>143</v>
      </c>
      <c r="H355" s="136">
        <v>35368</v>
      </c>
      <c r="I355" s="136"/>
      <c r="J355" s="27" t="s">
        <v>144</v>
      </c>
      <c r="K355" s="138">
        <v>1300000</v>
      </c>
      <c r="L355" s="27" t="s">
        <v>145</v>
      </c>
      <c r="M355" s="27" t="s">
        <v>355</v>
      </c>
      <c r="N355" s="27" t="s">
        <v>145</v>
      </c>
      <c r="O355" s="139" t="s">
        <v>1969</v>
      </c>
      <c r="Q355" s="27" t="s">
        <v>148</v>
      </c>
      <c r="R355" s="27" t="s">
        <v>149</v>
      </c>
      <c r="S355" s="27" t="s">
        <v>150</v>
      </c>
      <c r="T355" s="27">
        <v>74500002342</v>
      </c>
      <c r="U355" s="197">
        <v>35368</v>
      </c>
      <c r="V355" s="27" t="s">
        <v>1970</v>
      </c>
      <c r="W355" s="27">
        <v>3165615480</v>
      </c>
      <c r="X355" s="27" t="s">
        <v>1181</v>
      </c>
      <c r="Y355" s="27" t="s">
        <v>1826</v>
      </c>
      <c r="Z355" s="27" t="s">
        <v>1971</v>
      </c>
      <c r="AA355" s="27" t="s">
        <v>302</v>
      </c>
      <c r="AB355" s="27" t="s">
        <v>259</v>
      </c>
      <c r="AC355" s="27" t="s">
        <v>1744</v>
      </c>
      <c r="AD355" s="27" t="s">
        <v>1744</v>
      </c>
      <c r="AE355" s="27" t="s">
        <v>1184</v>
      </c>
      <c r="AF355" s="27" t="s">
        <v>162</v>
      </c>
      <c r="AG355" s="27" t="s">
        <v>177</v>
      </c>
      <c r="AH355" s="27" t="s">
        <v>164</v>
      </c>
      <c r="AI355" s="179"/>
      <c r="AJ355" s="27" t="s">
        <v>164</v>
      </c>
      <c r="AK355" s="27" t="s">
        <v>214</v>
      </c>
      <c r="AL355" s="27" t="s">
        <v>214</v>
      </c>
      <c r="AM355" s="27" t="s">
        <v>164</v>
      </c>
      <c r="AN355" s="27" t="s">
        <v>214</v>
      </c>
      <c r="AO355" s="27" t="s">
        <v>164</v>
      </c>
      <c r="AP355" s="136"/>
      <c r="AT355" s="27" t="str">
        <f t="shared" si="10"/>
        <v>Activo</v>
      </c>
      <c r="AU355" s="27" cm="1">
        <f t="array" aca="1" ref="AU355" ca="1">_xlfn.IFS(AT355="","",AT355="Activo",TODAY()-H355,AT355="Inactivo",AP355-H355)</f>
        <v>10092</v>
      </c>
      <c r="AV355" s="180">
        <f ca="1">IF(ISBLANK(Tabla1[[#This Row],[Fecha Nacimento (dd/mm/yyyy)]]),"",YEARFRAC(Tabla1[[#This Row],[Fecha Nacimento (dd/mm/yyyy)]],TODAY()))</f>
        <v>27.630555555555556</v>
      </c>
      <c r="AW355" s="141"/>
    </row>
    <row r="356" spans="1:49" s="27" customFormat="1" x14ac:dyDescent="0.25">
      <c r="A356" s="134">
        <v>357</v>
      </c>
      <c r="B356" s="27" t="s">
        <v>1972</v>
      </c>
      <c r="C356" s="27" t="s">
        <v>1973</v>
      </c>
      <c r="D356" s="27" t="s">
        <v>141</v>
      </c>
      <c r="E356" s="400">
        <v>1001297375</v>
      </c>
      <c r="F356" s="27" t="s">
        <v>142</v>
      </c>
      <c r="G356" s="27" t="s">
        <v>143</v>
      </c>
      <c r="H356" s="136">
        <v>45323</v>
      </c>
      <c r="I356" s="136"/>
      <c r="J356" s="27" t="s">
        <v>144</v>
      </c>
      <c r="K356" s="138">
        <v>1300000</v>
      </c>
      <c r="L356" s="27" t="s">
        <v>145</v>
      </c>
      <c r="M356" s="27" t="s">
        <v>262</v>
      </c>
      <c r="N356" s="27" t="s">
        <v>145</v>
      </c>
      <c r="O356" s="139" t="s">
        <v>1974</v>
      </c>
      <c r="Q356" s="27" t="s">
        <v>148</v>
      </c>
      <c r="U356" s="197"/>
      <c r="V356" s="27" t="s">
        <v>1975</v>
      </c>
      <c r="W356" s="27" t="s">
        <v>1976</v>
      </c>
      <c r="X356" s="27" t="s">
        <v>1977</v>
      </c>
      <c r="Y356" s="27" t="s">
        <v>1826</v>
      </c>
      <c r="Z356" s="27" t="s">
        <v>1978</v>
      </c>
      <c r="AA356" s="27" t="s">
        <v>302</v>
      </c>
      <c r="AB356" s="27" t="s">
        <v>259</v>
      </c>
      <c r="AE356" s="27" t="s">
        <v>1979</v>
      </c>
      <c r="AF356" s="27" t="s">
        <v>176</v>
      </c>
      <c r="AG356" s="27" t="s">
        <v>163</v>
      </c>
      <c r="AI356" s="179"/>
      <c r="AP356" s="136"/>
      <c r="AT356" s="27" t="str">
        <f t="shared" si="10"/>
        <v>Activo</v>
      </c>
      <c r="AU356" s="27" cm="1">
        <f t="array" aca="1" ref="AU356" ca="1">_xlfn.IFS(AT356="","",AT356="Activo",TODAY()-H356,AT356="Inactivo",AP356-H356)</f>
        <v>137</v>
      </c>
      <c r="AV356" s="180" t="str">
        <f ca="1">IF(ISBLANK(Tabla1[[#This Row],[Fecha Nacimento (dd/mm/yyyy)]]),"",YEARFRAC(Tabla1[[#This Row],[Fecha Nacimento (dd/mm/yyyy)]],TODAY()))</f>
        <v/>
      </c>
      <c r="AW356" s="141"/>
    </row>
    <row r="357" spans="1:49" s="27" customFormat="1" x14ac:dyDescent="0.25">
      <c r="A357" s="134">
        <v>358</v>
      </c>
      <c r="B357" s="27" t="s">
        <v>1980</v>
      </c>
      <c r="C357" s="27" t="s">
        <v>1981</v>
      </c>
      <c r="D357" s="27" t="s">
        <v>141</v>
      </c>
      <c r="E357" s="400">
        <v>1006427769</v>
      </c>
      <c r="F357" s="27" t="s">
        <v>142</v>
      </c>
      <c r="G357" s="27" t="s">
        <v>143</v>
      </c>
      <c r="H357" s="136">
        <v>45292</v>
      </c>
      <c r="I357" s="136"/>
      <c r="J357" s="27" t="s">
        <v>144</v>
      </c>
      <c r="K357" s="138">
        <v>1300000</v>
      </c>
      <c r="L357" s="27" t="s">
        <v>145</v>
      </c>
      <c r="M357" s="27" t="s">
        <v>355</v>
      </c>
      <c r="N357" s="27" t="s">
        <v>145</v>
      </c>
      <c r="O357" s="139" t="s">
        <v>1982</v>
      </c>
      <c r="Q357" s="27" t="s">
        <v>148</v>
      </c>
      <c r="R357" s="27" t="s">
        <v>168</v>
      </c>
      <c r="S357" s="27" t="s">
        <v>150</v>
      </c>
      <c r="T357" s="28" t="s">
        <v>1983</v>
      </c>
      <c r="U357" s="197">
        <v>37587</v>
      </c>
      <c r="V357" s="27" t="s">
        <v>1984</v>
      </c>
      <c r="W357" s="27">
        <v>3015170198</v>
      </c>
      <c r="X357" s="27" t="s">
        <v>1775</v>
      </c>
      <c r="Y357" s="27" t="s">
        <v>172</v>
      </c>
      <c r="Z357" s="27" t="s">
        <v>15</v>
      </c>
      <c r="AB357" s="27" t="s">
        <v>175</v>
      </c>
      <c r="AC357" s="27" t="s">
        <v>271</v>
      </c>
      <c r="AD357" s="27" t="s">
        <v>271</v>
      </c>
      <c r="AE357" s="27" t="s">
        <v>1985</v>
      </c>
      <c r="AF357" s="27" t="s">
        <v>176</v>
      </c>
      <c r="AG357" s="27" t="s">
        <v>177</v>
      </c>
      <c r="AH357" s="27" t="s">
        <v>164</v>
      </c>
      <c r="AI357" s="179"/>
      <c r="AJ357" s="27" t="s">
        <v>164</v>
      </c>
      <c r="AK357" s="27" t="s">
        <v>214</v>
      </c>
      <c r="AL357" s="27" t="s">
        <v>214</v>
      </c>
      <c r="AM357" s="27" t="s">
        <v>164</v>
      </c>
      <c r="AN357" s="27" t="s">
        <v>214</v>
      </c>
      <c r="AO357" s="27" t="s">
        <v>214</v>
      </c>
      <c r="AP357" s="136">
        <v>45351</v>
      </c>
      <c r="AQ357" s="27" t="s">
        <v>1190</v>
      </c>
      <c r="AT357" s="27" t="str">
        <f t="shared" si="10"/>
        <v>Inactivo</v>
      </c>
      <c r="AU357" s="27" cm="1">
        <f t="array" aca="1" ref="AU357" ca="1">_xlfn.IFS(AT357="","",AT357="Activo",TODAY()-H357,AT357="Inactivo",AP357-H357)</f>
        <v>59</v>
      </c>
      <c r="AV357" s="180">
        <f ca="1">IF(ISBLANK(Tabla1[[#This Row],[Fecha Nacimento (dd/mm/yyyy)]]),"",YEARFRAC(Tabla1[[#This Row],[Fecha Nacimento (dd/mm/yyyy)]],TODAY()))</f>
        <v>21.555555555555557</v>
      </c>
      <c r="AW357" s="141"/>
    </row>
    <row r="358" spans="1:49" s="27" customFormat="1" x14ac:dyDescent="0.25">
      <c r="A358" s="134">
        <v>359</v>
      </c>
      <c r="B358" s="27" t="s">
        <v>1986</v>
      </c>
      <c r="C358" s="27" t="s">
        <v>1987</v>
      </c>
      <c r="D358" s="27" t="s">
        <v>141</v>
      </c>
      <c r="E358" s="400">
        <v>1094941187</v>
      </c>
      <c r="F358" s="27" t="s">
        <v>142</v>
      </c>
      <c r="G358" s="27" t="s">
        <v>143</v>
      </c>
      <c r="H358" s="136">
        <v>45292</v>
      </c>
      <c r="I358" s="136"/>
      <c r="J358" s="27" t="s">
        <v>144</v>
      </c>
      <c r="K358" s="138">
        <v>1300000</v>
      </c>
      <c r="L358" s="27" t="s">
        <v>145</v>
      </c>
      <c r="M358" s="27" t="s">
        <v>355</v>
      </c>
      <c r="N358" s="27" t="s">
        <v>145</v>
      </c>
      <c r="O358" s="139" t="s">
        <v>1988</v>
      </c>
      <c r="Q358" s="27" t="s">
        <v>148</v>
      </c>
      <c r="R358" s="27" t="s">
        <v>168</v>
      </c>
      <c r="S358" s="27" t="s">
        <v>150</v>
      </c>
      <c r="T358" s="28" t="s">
        <v>1989</v>
      </c>
      <c r="U358" s="197">
        <v>34432</v>
      </c>
      <c r="V358" s="27" t="s">
        <v>1990</v>
      </c>
      <c r="W358" s="27">
        <v>3213434076</v>
      </c>
      <c r="X358" s="27" t="s">
        <v>1775</v>
      </c>
      <c r="Y358" s="27" t="s">
        <v>172</v>
      </c>
      <c r="Z358" s="27" t="s">
        <v>15</v>
      </c>
      <c r="AB358" s="27" t="s">
        <v>186</v>
      </c>
      <c r="AC358" s="27" t="s">
        <v>160</v>
      </c>
      <c r="AD358" s="27" t="s">
        <v>160</v>
      </c>
      <c r="AE358" s="27" t="s">
        <v>1985</v>
      </c>
      <c r="AF358" s="27" t="s">
        <v>176</v>
      </c>
      <c r="AG358" s="27" t="s">
        <v>177</v>
      </c>
      <c r="AH358" s="27" t="s">
        <v>164</v>
      </c>
      <c r="AI358" s="179"/>
      <c r="AJ358" s="27" t="s">
        <v>164</v>
      </c>
      <c r="AK358" s="27" t="s">
        <v>214</v>
      </c>
      <c r="AL358" s="27" t="s">
        <v>214</v>
      </c>
      <c r="AM358" s="27" t="s">
        <v>164</v>
      </c>
      <c r="AN358" s="27" t="s">
        <v>214</v>
      </c>
      <c r="AO358" s="27" t="s">
        <v>214</v>
      </c>
      <c r="AP358" s="136">
        <v>45351</v>
      </c>
      <c r="AQ358" s="27" t="s">
        <v>1190</v>
      </c>
      <c r="AT358" s="27" t="str">
        <f t="shared" si="10"/>
        <v>Inactivo</v>
      </c>
      <c r="AU358" s="27" cm="1">
        <f t="array" aca="1" ref="AU358" ca="1">_xlfn.IFS(AT358="","",AT358="Activo",TODAY()-H358,AT358="Inactivo",AP358-H358)</f>
        <v>59</v>
      </c>
      <c r="AV358" s="180">
        <f ca="1">IF(ISBLANK(Tabla1[[#This Row],[Fecha Nacimento (dd/mm/yyyy)]]),"",YEARFRAC(Tabla1[[#This Row],[Fecha Nacimento (dd/mm/yyyy)]],TODAY()))</f>
        <v>30.191666666666666</v>
      </c>
      <c r="AW358" s="141"/>
    </row>
    <row r="359" spans="1:49" s="27" customFormat="1" x14ac:dyDescent="0.25">
      <c r="A359" s="134">
        <v>360</v>
      </c>
      <c r="B359" s="27" t="s">
        <v>1991</v>
      </c>
      <c r="C359" s="27" t="s">
        <v>1992</v>
      </c>
      <c r="D359" s="27" t="s">
        <v>141</v>
      </c>
      <c r="E359" s="400">
        <v>52692217</v>
      </c>
      <c r="F359" s="27" t="s">
        <v>142</v>
      </c>
      <c r="G359" s="27" t="s">
        <v>143</v>
      </c>
      <c r="H359" s="136">
        <v>45292</v>
      </c>
      <c r="I359" s="136"/>
      <c r="J359" s="27" t="s">
        <v>144</v>
      </c>
      <c r="K359" s="138">
        <v>2500000</v>
      </c>
      <c r="L359" s="27" t="s">
        <v>145</v>
      </c>
      <c r="M359" s="27" t="s">
        <v>262</v>
      </c>
      <c r="N359" s="27" t="s">
        <v>145</v>
      </c>
      <c r="O359" s="139" t="s">
        <v>1993</v>
      </c>
      <c r="Q359" s="27" t="s">
        <v>205</v>
      </c>
      <c r="T359" s="28"/>
      <c r="U359" s="197">
        <v>28957</v>
      </c>
      <c r="V359" s="27" t="s">
        <v>1994</v>
      </c>
      <c r="W359" s="27">
        <v>3132080324</v>
      </c>
      <c r="X359" s="27" t="s">
        <v>1775</v>
      </c>
      <c r="Y359" s="27" t="s">
        <v>1826</v>
      </c>
      <c r="Z359" s="27" t="s">
        <v>1995</v>
      </c>
      <c r="AA359" s="27" t="s">
        <v>302</v>
      </c>
      <c r="AB359" s="27" t="s">
        <v>1996</v>
      </c>
      <c r="AC359" s="27" t="s">
        <v>160</v>
      </c>
      <c r="AD359" s="27" t="s">
        <v>160</v>
      </c>
      <c r="AE359" s="27" t="s">
        <v>1985</v>
      </c>
      <c r="AF359" s="27" t="s">
        <v>162</v>
      </c>
      <c r="AG359" s="27" t="s">
        <v>163</v>
      </c>
      <c r="AH359" s="27" t="s">
        <v>164</v>
      </c>
      <c r="AI359" s="179"/>
      <c r="AJ359" s="27" t="s">
        <v>164</v>
      </c>
      <c r="AK359" s="27" t="s">
        <v>214</v>
      </c>
      <c r="AL359" s="27" t="s">
        <v>214</v>
      </c>
      <c r="AM359" s="27" t="s">
        <v>164</v>
      </c>
      <c r="AN359" s="27" t="s">
        <v>214</v>
      </c>
      <c r="AO359" s="27" t="s">
        <v>214</v>
      </c>
      <c r="AP359" s="136"/>
      <c r="AT359" s="27" t="str">
        <f t="shared" si="10"/>
        <v>Activo</v>
      </c>
      <c r="AU359" s="27" cm="1">
        <f t="array" aca="1" ref="AU359" ca="1">_xlfn.IFS(AT359="","",AT359="Activo",TODAY()-H359,AT359="Inactivo",AP359-H359)</f>
        <v>168</v>
      </c>
      <c r="AV359" s="180">
        <f ca="1">IF(ISBLANK(Tabla1[[#This Row],[Fecha Nacimento (dd/mm/yyyy)]]),"",YEARFRAC(Tabla1[[#This Row],[Fecha Nacimento (dd/mm/yyyy)]],TODAY()))</f>
        <v>45.180555555555557</v>
      </c>
      <c r="AW359" s="141"/>
    </row>
    <row r="360" spans="1:49" s="27" customFormat="1" x14ac:dyDescent="0.25">
      <c r="A360" s="134">
        <v>361</v>
      </c>
      <c r="B360" s="27" t="s">
        <v>1997</v>
      </c>
      <c r="C360" s="27" t="s">
        <v>1998</v>
      </c>
      <c r="D360" s="27" t="s">
        <v>141</v>
      </c>
      <c r="E360" s="400">
        <v>1024479685</v>
      </c>
      <c r="F360" s="27" t="s">
        <v>142</v>
      </c>
      <c r="G360" s="27" t="s">
        <v>143</v>
      </c>
      <c r="H360" s="136">
        <v>45305</v>
      </c>
      <c r="I360" s="136"/>
      <c r="J360" s="27" t="s">
        <v>144</v>
      </c>
      <c r="K360" s="138">
        <v>1300000</v>
      </c>
      <c r="L360" s="27" t="s">
        <v>164</v>
      </c>
      <c r="M360" s="27" t="s">
        <v>355</v>
      </c>
      <c r="N360" s="27" t="s">
        <v>164</v>
      </c>
      <c r="O360" s="139" t="s">
        <v>1999</v>
      </c>
      <c r="Q360" s="27" t="s">
        <v>205</v>
      </c>
      <c r="U360" s="197">
        <v>31842</v>
      </c>
      <c r="V360" s="27" t="s">
        <v>2000</v>
      </c>
      <c r="W360" s="27">
        <v>3142867351</v>
      </c>
      <c r="X360" s="27" t="s">
        <v>2001</v>
      </c>
      <c r="Y360" s="27" t="s">
        <v>172</v>
      </c>
      <c r="Z360" s="27" t="s">
        <v>351</v>
      </c>
      <c r="AA360" s="27" t="s">
        <v>174</v>
      </c>
      <c r="AB360" s="27" t="s">
        <v>175</v>
      </c>
      <c r="AC360" s="27" t="s">
        <v>160</v>
      </c>
      <c r="AD360" s="27" t="s">
        <v>160</v>
      </c>
      <c r="AE360" s="27" t="s">
        <v>848</v>
      </c>
      <c r="AF360" s="27" t="s">
        <v>176</v>
      </c>
      <c r="AG360" s="27" t="s">
        <v>177</v>
      </c>
      <c r="AH360" s="27" t="s">
        <v>164</v>
      </c>
      <c r="AI360" s="179"/>
      <c r="AJ360" s="27" t="s">
        <v>145</v>
      </c>
      <c r="AK360" s="27" t="s">
        <v>1069</v>
      </c>
      <c r="AL360" s="27" t="s">
        <v>145</v>
      </c>
      <c r="AM360" s="27" t="s">
        <v>145</v>
      </c>
      <c r="AN360" s="27" t="s">
        <v>1069</v>
      </c>
      <c r="AO360" s="27" t="s">
        <v>145</v>
      </c>
      <c r="AP360" s="136"/>
      <c r="AT360" s="27" t="str">
        <f t="shared" si="10"/>
        <v>Activo</v>
      </c>
      <c r="AU360" s="27" cm="1">
        <f t="array" aca="1" ref="AU360" ca="1">_xlfn.IFS(AT360="","",AT360="Activo",TODAY()-H360,AT360="Inactivo",AP360-H360)</f>
        <v>155</v>
      </c>
      <c r="AV360" s="180">
        <f ca="1">IF(ISBLANK(Tabla1[[#This Row],[Fecha Nacimento (dd/mm/yyyy)]]),"",YEARFRAC(Tabla1[[#This Row],[Fecha Nacimento (dd/mm/yyyy)]],TODAY()))</f>
        <v>37.280555555555559</v>
      </c>
      <c r="AW360" s="141"/>
    </row>
    <row r="361" spans="1:49" s="27" customFormat="1" x14ac:dyDescent="0.25">
      <c r="A361" s="134">
        <v>362</v>
      </c>
      <c r="B361" s="27" t="s">
        <v>1604</v>
      </c>
      <c r="C361" s="27" t="s">
        <v>195</v>
      </c>
      <c r="D361" s="27" t="s">
        <v>141</v>
      </c>
      <c r="E361" s="400">
        <v>1092456055</v>
      </c>
      <c r="F361" s="27" t="s">
        <v>2002</v>
      </c>
      <c r="G361" s="27" t="s">
        <v>959</v>
      </c>
      <c r="H361" s="136">
        <v>45337</v>
      </c>
      <c r="I361" s="136">
        <v>45470</v>
      </c>
      <c r="J361" s="27" t="s">
        <v>144</v>
      </c>
      <c r="K361" s="138">
        <v>6500000</v>
      </c>
      <c r="L361" s="27" t="s">
        <v>164</v>
      </c>
      <c r="M361" s="27" t="s">
        <v>262</v>
      </c>
      <c r="O361" s="213" t="s">
        <v>2003</v>
      </c>
      <c r="Q361" s="27" t="s">
        <v>148</v>
      </c>
      <c r="R361" s="27" t="s">
        <v>168</v>
      </c>
      <c r="S361" s="27" t="s">
        <v>150</v>
      </c>
      <c r="T361" s="28" t="s">
        <v>2004</v>
      </c>
      <c r="U361" s="197">
        <v>38719</v>
      </c>
      <c r="V361" s="27" t="s">
        <v>1429</v>
      </c>
      <c r="W361" s="27">
        <v>3234254335</v>
      </c>
      <c r="X361" s="27" t="s">
        <v>154</v>
      </c>
      <c r="Y361" s="27" t="s">
        <v>155</v>
      </c>
      <c r="Z361" s="27" t="s">
        <v>1084</v>
      </c>
      <c r="AA361" s="27" t="s">
        <v>302</v>
      </c>
      <c r="AB361" s="27" t="s">
        <v>175</v>
      </c>
      <c r="AE361" s="27" t="s">
        <v>161</v>
      </c>
      <c r="AF361" s="27" t="s">
        <v>176</v>
      </c>
      <c r="AG361" s="27" t="s">
        <v>177</v>
      </c>
      <c r="AH361" s="27" t="s">
        <v>164</v>
      </c>
      <c r="AI361" s="179"/>
      <c r="AP361" s="136"/>
      <c r="AT361" s="27" t="str">
        <f t="shared" si="10"/>
        <v>Activo</v>
      </c>
      <c r="AU361" s="27" cm="1">
        <f t="array" aca="1" ref="AU361" ca="1">_xlfn.IFS(AT361="","",AT361="Activo",TODAY()-H361,AT361="Inactivo",AP361-H361)</f>
        <v>123</v>
      </c>
      <c r="AV361" s="180">
        <f ca="1">IF(ISBLANK(Tabla1[[#This Row],[Fecha Nacimento (dd/mm/yyyy)]]),"",YEARFRAC(Tabla1[[#This Row],[Fecha Nacimento (dd/mm/yyyy)]],TODAY()))</f>
        <v>18.458333333333332</v>
      </c>
      <c r="AW361" s="141"/>
    </row>
    <row r="362" spans="1:49" s="27" customFormat="1" x14ac:dyDescent="0.25">
      <c r="A362" s="134">
        <v>363</v>
      </c>
      <c r="B362" s="27" t="s">
        <v>2005</v>
      </c>
      <c r="C362" s="27" t="s">
        <v>2006</v>
      </c>
      <c r="D362" s="27" t="s">
        <v>141</v>
      </c>
      <c r="E362" s="400">
        <v>1115191430</v>
      </c>
      <c r="F362" s="27" t="s">
        <v>142</v>
      </c>
      <c r="G362" s="27" t="s">
        <v>143</v>
      </c>
      <c r="H362" s="136">
        <v>45320</v>
      </c>
      <c r="I362" s="136"/>
      <c r="J362" s="27" t="s">
        <v>1525</v>
      </c>
      <c r="K362" s="138">
        <v>942000</v>
      </c>
      <c r="L362" s="27" t="s">
        <v>145</v>
      </c>
      <c r="M362" s="27" t="s">
        <v>262</v>
      </c>
      <c r="N362" s="27" t="s">
        <v>145</v>
      </c>
      <c r="O362" s="139" t="s">
        <v>2007</v>
      </c>
      <c r="Q362" s="27" t="s">
        <v>148</v>
      </c>
      <c r="R362" s="27" t="s">
        <v>168</v>
      </c>
      <c r="S362" s="27" t="s">
        <v>150</v>
      </c>
      <c r="T362" s="28" t="s">
        <v>2008</v>
      </c>
      <c r="U362" s="197">
        <v>34646</v>
      </c>
      <c r="V362" s="27" t="s">
        <v>2009</v>
      </c>
      <c r="W362" s="27">
        <v>3232866504</v>
      </c>
      <c r="X362" s="27" t="s">
        <v>154</v>
      </c>
      <c r="Y362" s="27" t="s">
        <v>155</v>
      </c>
      <c r="Z362" s="27" t="s">
        <v>509</v>
      </c>
      <c r="AA362" s="27" t="s">
        <v>302</v>
      </c>
      <c r="AB362" s="27" t="s">
        <v>259</v>
      </c>
      <c r="AC362" s="27" t="s">
        <v>1744</v>
      </c>
      <c r="AD362" s="27" t="s">
        <v>1744</v>
      </c>
      <c r="AE362" s="27" t="s">
        <v>1369</v>
      </c>
      <c r="AF362" s="27" t="s">
        <v>162</v>
      </c>
      <c r="AG362" s="27" t="s">
        <v>177</v>
      </c>
      <c r="AH362" s="27" t="s">
        <v>164</v>
      </c>
      <c r="AI362" s="179"/>
      <c r="AJ362" s="27" t="s">
        <v>164</v>
      </c>
      <c r="AK362" s="27" t="s">
        <v>1069</v>
      </c>
      <c r="AL362" s="27" t="s">
        <v>164</v>
      </c>
      <c r="AM362" s="27" t="s">
        <v>145</v>
      </c>
      <c r="AN362" s="27" t="s">
        <v>1069</v>
      </c>
      <c r="AO362" s="27" t="s">
        <v>145</v>
      </c>
      <c r="AP362" s="136"/>
      <c r="AT362" s="27" t="str">
        <f t="shared" si="10"/>
        <v>Activo</v>
      </c>
      <c r="AU362" s="27" cm="1">
        <f t="array" aca="1" ref="AU362" ca="1">_xlfn.IFS(AT362="","",AT362="Activo",TODAY()-H362,AT362="Inactivo",AP362-H362)</f>
        <v>140</v>
      </c>
      <c r="AV362" s="180">
        <f ca="1">IF(ISBLANK(Tabla1[[#This Row],[Fecha Nacimento (dd/mm/yyyy)]]),"",YEARFRAC(Tabla1[[#This Row],[Fecha Nacimento (dd/mm/yyyy)]],TODAY()))</f>
        <v>29.608333333333334</v>
      </c>
      <c r="AW362" s="141"/>
    </row>
    <row r="363" spans="1:49" s="27" customFormat="1" x14ac:dyDescent="0.25">
      <c r="A363" s="134">
        <v>364</v>
      </c>
      <c r="B363" s="27" t="s">
        <v>2010</v>
      </c>
      <c r="C363" s="27" t="s">
        <v>2011</v>
      </c>
      <c r="D363" s="27" t="s">
        <v>141</v>
      </c>
      <c r="E363" s="400">
        <v>1004592848</v>
      </c>
      <c r="F363" s="27" t="s">
        <v>142</v>
      </c>
      <c r="G363" s="27" t="s">
        <v>143</v>
      </c>
      <c r="H363" s="136">
        <v>45323</v>
      </c>
      <c r="I363" s="136"/>
      <c r="J363" s="27" t="s">
        <v>144</v>
      </c>
      <c r="K363" s="138">
        <v>1456000</v>
      </c>
      <c r="L363" s="27" t="s">
        <v>145</v>
      </c>
      <c r="M363" s="27" t="s">
        <v>203</v>
      </c>
      <c r="N363" s="27" t="s">
        <v>145</v>
      </c>
      <c r="O363" s="139" t="s">
        <v>2012</v>
      </c>
      <c r="Q363" s="27" t="s">
        <v>148</v>
      </c>
      <c r="R363" s="27" t="s">
        <v>168</v>
      </c>
      <c r="S363" s="27" t="s">
        <v>150</v>
      </c>
      <c r="T363" s="28" t="s">
        <v>2013</v>
      </c>
      <c r="U363" s="197">
        <v>37726</v>
      </c>
      <c r="V363" s="27" t="s">
        <v>2014</v>
      </c>
      <c r="W363" s="27">
        <v>3175817396</v>
      </c>
      <c r="X363" s="27" t="s">
        <v>154</v>
      </c>
      <c r="Y363" s="27" t="s">
        <v>172</v>
      </c>
      <c r="Z363" s="27" t="s">
        <v>17</v>
      </c>
      <c r="AA363" s="27" t="s">
        <v>174</v>
      </c>
      <c r="AB363" s="27" t="s">
        <v>233</v>
      </c>
      <c r="AC363" s="27" t="s">
        <v>159</v>
      </c>
      <c r="AD363" s="27" t="s">
        <v>1744</v>
      </c>
      <c r="AE363" s="27" t="s">
        <v>1</v>
      </c>
      <c r="AF363" s="27" t="s">
        <v>162</v>
      </c>
      <c r="AG363" s="27" t="s">
        <v>177</v>
      </c>
      <c r="AH363" s="27" t="s">
        <v>164</v>
      </c>
      <c r="AI363" s="179"/>
      <c r="AJ363" s="27" t="s">
        <v>164</v>
      </c>
      <c r="AK363" s="27" t="s">
        <v>214</v>
      </c>
      <c r="AL363" s="27" t="s">
        <v>214</v>
      </c>
      <c r="AM363" s="27" t="s">
        <v>304</v>
      </c>
      <c r="AN363" s="27" t="s">
        <v>214</v>
      </c>
      <c r="AO363" s="27" t="s">
        <v>214</v>
      </c>
      <c r="AP363" s="136"/>
      <c r="AT363" s="27" t="str">
        <f t="shared" si="10"/>
        <v>Activo</v>
      </c>
      <c r="AU363" s="27" cm="1">
        <f t="array" aca="1" ref="AU363" ca="1">_xlfn.IFS(AT363="","",AT363="Activo",TODAY()-H363,AT363="Inactivo",AP363-H363)</f>
        <v>137</v>
      </c>
      <c r="AV363" s="180">
        <f ca="1">IF(ISBLANK(Tabla1[[#This Row],[Fecha Nacimento (dd/mm/yyyy)]]),"",YEARFRAC(Tabla1[[#This Row],[Fecha Nacimento (dd/mm/yyyy)]],TODAY()))</f>
        <v>21.172222222222221</v>
      </c>
      <c r="AW363" s="141"/>
    </row>
    <row r="364" spans="1:49" s="27" customFormat="1" x14ac:dyDescent="0.25">
      <c r="A364" s="134">
        <v>365</v>
      </c>
      <c r="B364" s="27" t="s">
        <v>2015</v>
      </c>
      <c r="C364" s="27" t="s">
        <v>1621</v>
      </c>
      <c r="D364" s="27" t="s">
        <v>141</v>
      </c>
      <c r="E364" s="400">
        <v>1005092826</v>
      </c>
      <c r="F364" s="27" t="s">
        <v>142</v>
      </c>
      <c r="G364" s="27" t="s">
        <v>143</v>
      </c>
      <c r="H364" s="136">
        <v>45323</v>
      </c>
      <c r="I364" s="136"/>
      <c r="J364" s="27" t="s">
        <v>144</v>
      </c>
      <c r="K364" s="138">
        <v>1300000</v>
      </c>
      <c r="L364" s="27" t="s">
        <v>145</v>
      </c>
      <c r="M364" s="27" t="s">
        <v>203</v>
      </c>
      <c r="N364" s="27" t="s">
        <v>145</v>
      </c>
      <c r="O364" s="213" t="s">
        <v>2016</v>
      </c>
      <c r="Q364" s="27" t="s">
        <v>148</v>
      </c>
      <c r="R364" s="27" t="s">
        <v>426</v>
      </c>
      <c r="S364" s="27" t="s">
        <v>150</v>
      </c>
      <c r="T364" s="27">
        <v>3217195771</v>
      </c>
      <c r="U364" s="197">
        <v>35415</v>
      </c>
      <c r="V364" s="27" t="s">
        <v>2017</v>
      </c>
      <c r="W364" s="27">
        <v>3217195771</v>
      </c>
      <c r="X364" s="27" t="s">
        <v>154</v>
      </c>
      <c r="Y364" s="27" t="s">
        <v>172</v>
      </c>
      <c r="Z364" s="27" t="s">
        <v>2018</v>
      </c>
      <c r="AA364" s="27" t="s">
        <v>174</v>
      </c>
      <c r="AB364" s="27" t="s">
        <v>2019</v>
      </c>
      <c r="AC364" s="27" t="s">
        <v>160</v>
      </c>
      <c r="AD364" s="27" t="s">
        <v>160</v>
      </c>
      <c r="AE364" s="27" t="s">
        <v>272</v>
      </c>
      <c r="AF364" s="27" t="s">
        <v>162</v>
      </c>
      <c r="AG364" s="27" t="s">
        <v>177</v>
      </c>
      <c r="AH364" s="27" t="s">
        <v>164</v>
      </c>
      <c r="AI364" s="179"/>
      <c r="AJ364" s="27" t="s">
        <v>145</v>
      </c>
      <c r="AK364" s="27" t="s">
        <v>1069</v>
      </c>
      <c r="AL364" s="27" t="s">
        <v>164</v>
      </c>
      <c r="AM364" s="27" t="s">
        <v>145</v>
      </c>
      <c r="AN364" s="27" t="s">
        <v>1069</v>
      </c>
      <c r="AO364" s="27" t="s">
        <v>164</v>
      </c>
      <c r="AP364" s="136"/>
      <c r="AT364" s="27" t="str">
        <f>IF(ISBLANK(B364),"",IF(AP365="","Activo","Inactivo"))</f>
        <v>Activo</v>
      </c>
      <c r="AU364" s="27" cm="1">
        <f t="array" aca="1" ref="AU364" ca="1">_xlfn.IFS(AT364="","",AT364="Activo",TODAY()-H364,AT364="Inactivo",AP364-H364)</f>
        <v>137</v>
      </c>
      <c r="AV364" s="180">
        <f ca="1">IF(ISBLANK(Tabla1[[#This Row],[Fecha Nacimento (dd/mm/yyyy)]]),"",YEARFRAC(Tabla1[[#This Row],[Fecha Nacimento (dd/mm/yyyy)]],TODAY()))</f>
        <v>27.502777777777776</v>
      </c>
      <c r="AW364" s="141"/>
    </row>
    <row r="365" spans="1:49" s="27" customFormat="1" x14ac:dyDescent="0.25">
      <c r="A365" s="134">
        <v>366</v>
      </c>
      <c r="B365" s="27" t="s">
        <v>2020</v>
      </c>
      <c r="C365" s="27" t="s">
        <v>2021</v>
      </c>
      <c r="D365" s="27" t="s">
        <v>141</v>
      </c>
      <c r="E365" s="400">
        <v>41934758</v>
      </c>
      <c r="F365" s="27" t="s">
        <v>142</v>
      </c>
      <c r="G365" s="27" t="s">
        <v>143</v>
      </c>
      <c r="H365" s="136">
        <v>45323</v>
      </c>
      <c r="I365" s="136"/>
      <c r="J365" s="27" t="s">
        <v>144</v>
      </c>
      <c r="K365" s="138">
        <v>1300000</v>
      </c>
      <c r="L365" s="27" t="s">
        <v>145</v>
      </c>
      <c r="M365" s="27" t="s">
        <v>355</v>
      </c>
      <c r="N365" s="27" t="s">
        <v>145</v>
      </c>
      <c r="O365" s="139" t="s">
        <v>2022</v>
      </c>
      <c r="Q365" s="27" t="s">
        <v>205</v>
      </c>
      <c r="U365" s="197">
        <v>27640</v>
      </c>
      <c r="V365" s="27" t="s">
        <v>2023</v>
      </c>
      <c r="W365" s="27">
        <v>3185460030</v>
      </c>
      <c r="X365" s="27" t="s">
        <v>655</v>
      </c>
      <c r="Y365" s="27" t="s">
        <v>613</v>
      </c>
      <c r="Z365" s="27" t="s">
        <v>656</v>
      </c>
      <c r="AA365" s="27" t="s">
        <v>2024</v>
      </c>
      <c r="AB365" s="27" t="s">
        <v>175</v>
      </c>
      <c r="AC365" s="27" t="s">
        <v>271</v>
      </c>
      <c r="AD365" s="27" t="s">
        <v>271</v>
      </c>
      <c r="AE365" s="27" t="s">
        <v>616</v>
      </c>
      <c r="AF365" s="27" t="s">
        <v>162</v>
      </c>
      <c r="AG365" s="27" t="s">
        <v>177</v>
      </c>
      <c r="AH365" s="27" t="s">
        <v>164</v>
      </c>
      <c r="AI365" s="179"/>
      <c r="AJ365" s="27" t="s">
        <v>304</v>
      </c>
      <c r="AK365" s="27" t="s">
        <v>214</v>
      </c>
      <c r="AL365" s="27" t="s">
        <v>214</v>
      </c>
      <c r="AM365" s="27" t="s">
        <v>145</v>
      </c>
      <c r="AN365" s="27" t="s">
        <v>1140</v>
      </c>
      <c r="AO365" s="27" t="s">
        <v>164</v>
      </c>
      <c r="AP365" s="136"/>
      <c r="AT365" s="27" t="str">
        <f t="shared" ref="AT365:AT396" si="11">IF(ISBLANK(B365),"",IF(AP365="","Activo","Inactivo"))</f>
        <v>Activo</v>
      </c>
      <c r="AU365" s="27" cm="1">
        <f t="array" aca="1" ref="AU365" ca="1">_xlfn.IFS(AT365="","",AT365="Activo",TODAY()-H365,AT365="Inactivo",AP365-H365)</f>
        <v>137</v>
      </c>
      <c r="AV365" s="180">
        <f ca="1">IF(ISBLANK(Tabla1[[#This Row],[Fecha Nacimento (dd/mm/yyyy)]]),"",YEARFRAC(Tabla1[[#This Row],[Fecha Nacimento (dd/mm/yyyy)]],TODAY()))</f>
        <v>48.788888888888891</v>
      </c>
      <c r="AW365" s="141"/>
    </row>
    <row r="366" spans="1:49" s="27" customFormat="1" x14ac:dyDescent="0.25">
      <c r="A366" s="134">
        <v>369</v>
      </c>
      <c r="B366" s="27" t="s">
        <v>2025</v>
      </c>
      <c r="C366" s="27" t="s">
        <v>2026</v>
      </c>
      <c r="D366" s="27" t="s">
        <v>141</v>
      </c>
      <c r="E366" s="400">
        <v>9857134</v>
      </c>
      <c r="F366" s="27" t="s">
        <v>142</v>
      </c>
      <c r="H366" s="136"/>
      <c r="I366" s="136"/>
      <c r="J366" s="27" t="s">
        <v>144</v>
      </c>
      <c r="K366" s="138"/>
      <c r="L366" s="27" t="s">
        <v>145</v>
      </c>
      <c r="M366" s="27" t="s">
        <v>262</v>
      </c>
      <c r="O366" s="139"/>
      <c r="U366" s="197"/>
      <c r="W366" s="27">
        <v>3116267150</v>
      </c>
      <c r="AF366" s="27" t="s">
        <v>176</v>
      </c>
      <c r="AG366" s="27" t="s">
        <v>177</v>
      </c>
      <c r="AI366" s="179"/>
      <c r="AP366" s="136"/>
      <c r="AT366" s="27" t="str">
        <f t="shared" si="11"/>
        <v>Activo</v>
      </c>
      <c r="AU366" s="27" cm="1">
        <f t="array" aca="1" ref="AU366" ca="1">_xlfn.IFS(AT366="","",AT366="Activo",TODAY()-H366,AT366="Inactivo",AP366-H366)</f>
        <v>45460</v>
      </c>
      <c r="AV366" s="180" t="str">
        <f ca="1">IF(ISBLANK(Tabla1[[#This Row],[Fecha Nacimento (dd/mm/yyyy)]]),"",YEARFRAC(Tabla1[[#This Row],[Fecha Nacimento (dd/mm/yyyy)]],TODAY()))</f>
        <v/>
      </c>
      <c r="AW366" s="141"/>
    </row>
    <row r="367" spans="1:49" s="27" customFormat="1" x14ac:dyDescent="0.25">
      <c r="A367" s="134">
        <v>370</v>
      </c>
      <c r="B367" s="27" t="s">
        <v>2027</v>
      </c>
      <c r="C367" s="27" t="s">
        <v>2028</v>
      </c>
      <c r="D367" s="27" t="s">
        <v>141</v>
      </c>
      <c r="E367" s="400">
        <v>89007344</v>
      </c>
      <c r="F367" s="27" t="s">
        <v>142</v>
      </c>
      <c r="G367" s="27" t="s">
        <v>959</v>
      </c>
      <c r="H367" s="136"/>
      <c r="I367" s="136"/>
      <c r="J367" s="27" t="s">
        <v>144</v>
      </c>
      <c r="K367" s="138"/>
      <c r="M367" s="27" t="s">
        <v>262</v>
      </c>
      <c r="N367" s="27" t="s">
        <v>145</v>
      </c>
      <c r="O367" s="139" t="s">
        <v>2029</v>
      </c>
      <c r="U367" s="197">
        <v>28100</v>
      </c>
      <c r="V367" s="27" t="s">
        <v>2030</v>
      </c>
      <c r="W367" s="27">
        <v>3116090579</v>
      </c>
      <c r="AB367" s="27" t="s">
        <v>158</v>
      </c>
      <c r="AC367" s="27" t="s">
        <v>271</v>
      </c>
      <c r="AD367" s="27" t="s">
        <v>271</v>
      </c>
      <c r="AF367" s="27" t="s">
        <v>176</v>
      </c>
      <c r="AG367" s="27" t="s">
        <v>177</v>
      </c>
      <c r="AI367" s="179"/>
      <c r="AP367" s="136"/>
      <c r="AT367" s="27" t="str">
        <f t="shared" si="11"/>
        <v>Activo</v>
      </c>
      <c r="AU367" s="27" cm="1">
        <f t="array" aca="1" ref="AU367" ca="1">_xlfn.IFS(AT367="","",AT367="Activo",TODAY()-H367,AT367="Inactivo",AP367-H367)</f>
        <v>45460</v>
      </c>
      <c r="AV367" s="180">
        <f ca="1">IF(ISBLANK(Tabla1[[#This Row],[Fecha Nacimento (dd/mm/yyyy)]]),"",YEARFRAC(Tabla1[[#This Row],[Fecha Nacimento (dd/mm/yyyy)]],TODAY()))</f>
        <v>47.530555555555559</v>
      </c>
      <c r="AW367" s="141"/>
    </row>
    <row r="368" spans="1:49" s="27" customFormat="1" x14ac:dyDescent="0.25">
      <c r="A368" s="134">
        <v>371</v>
      </c>
      <c r="B368" s="27" t="s">
        <v>532</v>
      </c>
      <c r="C368" s="27" t="s">
        <v>2031</v>
      </c>
      <c r="D368" s="27" t="s">
        <v>141</v>
      </c>
      <c r="E368" s="400">
        <v>9733492</v>
      </c>
      <c r="F368" s="27" t="s">
        <v>142</v>
      </c>
      <c r="G368" s="27" t="s">
        <v>959</v>
      </c>
      <c r="H368" s="136">
        <v>42185</v>
      </c>
      <c r="I368" s="136">
        <v>45473</v>
      </c>
      <c r="J368" s="27" t="s">
        <v>144</v>
      </c>
      <c r="K368" s="138">
        <v>1300000</v>
      </c>
      <c r="L368" s="27" t="s">
        <v>145</v>
      </c>
      <c r="M368" s="27" t="s">
        <v>262</v>
      </c>
      <c r="N368" s="27" t="s">
        <v>145</v>
      </c>
      <c r="O368" s="213" t="s">
        <v>2032</v>
      </c>
      <c r="Q368" s="27" t="s">
        <v>148</v>
      </c>
      <c r="R368" s="27" t="s">
        <v>371</v>
      </c>
      <c r="S368" s="27" t="s">
        <v>150</v>
      </c>
      <c r="T368" s="27">
        <v>3154487138</v>
      </c>
      <c r="U368" s="197">
        <v>29127</v>
      </c>
      <c r="V368" s="27" t="s">
        <v>2033</v>
      </c>
      <c r="W368" s="27">
        <v>3154487138</v>
      </c>
      <c r="X368" s="27" t="s">
        <v>154</v>
      </c>
      <c r="Y368" s="27" t="s">
        <v>155</v>
      </c>
      <c r="Z368" s="27" t="s">
        <v>2034</v>
      </c>
      <c r="AA368" s="27" t="s">
        <v>211</v>
      </c>
      <c r="AB368" s="27" t="s">
        <v>259</v>
      </c>
      <c r="AC368" s="27" t="s">
        <v>159</v>
      </c>
      <c r="AD368" s="27" t="s">
        <v>160</v>
      </c>
      <c r="AE368" s="27" t="s">
        <v>2035</v>
      </c>
      <c r="AF368" s="27" t="s">
        <v>176</v>
      </c>
      <c r="AG368" s="27" t="s">
        <v>177</v>
      </c>
      <c r="AH368" s="27" t="s">
        <v>164</v>
      </c>
      <c r="AI368" s="179"/>
      <c r="AP368" s="136"/>
      <c r="AT368" s="27" t="str">
        <f t="shared" si="11"/>
        <v>Activo</v>
      </c>
      <c r="AU368" s="27" cm="1">
        <f t="array" aca="1" ref="AU368" ca="1">_xlfn.IFS(AT368="","",AT368="Activo",TODAY()-H368,AT368="Inactivo",AP368-H368)</f>
        <v>3275</v>
      </c>
      <c r="AV368" s="180">
        <f ca="1">IF(ISBLANK(Tabla1[[#This Row],[Fecha Nacimento (dd/mm/yyyy)]]),"",YEARFRAC(Tabla1[[#This Row],[Fecha Nacimento (dd/mm/yyyy)]],TODAY()))</f>
        <v>44.716666666666669</v>
      </c>
      <c r="AW368" s="141"/>
    </row>
    <row r="369" spans="1:49" s="27" customFormat="1" x14ac:dyDescent="0.25">
      <c r="A369" s="134">
        <v>372</v>
      </c>
      <c r="B369" s="27" t="s">
        <v>2036</v>
      </c>
      <c r="C369" s="27" t="s">
        <v>2037</v>
      </c>
      <c r="D369" s="27" t="s">
        <v>141</v>
      </c>
      <c r="E369" s="400">
        <v>18468806</v>
      </c>
      <c r="F369" s="27" t="s">
        <v>142</v>
      </c>
      <c r="G369" s="27" t="s">
        <v>959</v>
      </c>
      <c r="H369" s="136"/>
      <c r="I369" s="136"/>
      <c r="J369" s="27" t="s">
        <v>144</v>
      </c>
      <c r="K369" s="138"/>
      <c r="L369" s="27" t="s">
        <v>145</v>
      </c>
      <c r="M369" s="27" t="s">
        <v>262</v>
      </c>
      <c r="N369" s="27" t="s">
        <v>145</v>
      </c>
      <c r="O369" s="139"/>
      <c r="U369" s="197">
        <v>27951</v>
      </c>
      <c r="V369" s="27" t="s">
        <v>2038</v>
      </c>
      <c r="AB369" s="27" t="s">
        <v>158</v>
      </c>
      <c r="AC369" s="27" t="s">
        <v>159</v>
      </c>
      <c r="AD369" s="27" t="s">
        <v>160</v>
      </c>
      <c r="AF369" s="27" t="s">
        <v>176</v>
      </c>
      <c r="AG369" s="27" t="s">
        <v>177</v>
      </c>
      <c r="AI369" s="179"/>
      <c r="AP369" s="136"/>
      <c r="AT369" s="27" t="str">
        <f t="shared" si="11"/>
        <v>Activo</v>
      </c>
      <c r="AU369" s="27" cm="1">
        <f t="array" aca="1" ref="AU369" ca="1">_xlfn.IFS(AT369="","",AT369="Activo",TODAY()-H369,AT369="Inactivo",AP369-H369)</f>
        <v>45460</v>
      </c>
      <c r="AV369" s="180">
        <f ca="1">IF(ISBLANK(Tabla1[[#This Row],[Fecha Nacimento (dd/mm/yyyy)]]),"",YEARFRAC(Tabla1[[#This Row],[Fecha Nacimento (dd/mm/yyyy)]],TODAY()))</f>
        <v>47.93611111111111</v>
      </c>
      <c r="AW369" s="141"/>
    </row>
    <row r="370" spans="1:49" s="27" customFormat="1" x14ac:dyDescent="0.25">
      <c r="A370" s="134">
        <v>373</v>
      </c>
      <c r="B370" s="27" t="s">
        <v>1172</v>
      </c>
      <c r="C370" s="27" t="s">
        <v>2039</v>
      </c>
      <c r="D370" s="27" t="s">
        <v>141</v>
      </c>
      <c r="E370" s="400">
        <v>9728449</v>
      </c>
      <c r="F370" s="27" t="s">
        <v>142</v>
      </c>
      <c r="G370" s="27" t="s">
        <v>959</v>
      </c>
      <c r="H370" s="136"/>
      <c r="I370" s="136"/>
      <c r="J370" s="27" t="s">
        <v>144</v>
      </c>
      <c r="K370" s="138"/>
      <c r="M370" s="27" t="s">
        <v>262</v>
      </c>
      <c r="O370" s="139" t="s">
        <v>2040</v>
      </c>
      <c r="U370" s="197">
        <v>29663</v>
      </c>
      <c r="V370" s="27" t="s">
        <v>2041</v>
      </c>
      <c r="W370" s="27">
        <v>3217916825</v>
      </c>
      <c r="AB370" s="27" t="s">
        <v>212</v>
      </c>
      <c r="AC370" s="27" t="s">
        <v>160</v>
      </c>
      <c r="AD370" s="27" t="s">
        <v>271</v>
      </c>
      <c r="AF370" s="27" t="s">
        <v>176</v>
      </c>
      <c r="AG370" s="27" t="s">
        <v>177</v>
      </c>
      <c r="AI370" s="179"/>
      <c r="AP370" s="136"/>
      <c r="AT370" s="27" t="str">
        <f t="shared" si="11"/>
        <v>Activo</v>
      </c>
      <c r="AU370" s="27" cm="1">
        <f t="array" aca="1" ref="AU370" ca="1">_xlfn.IFS(AT370="","",AT370="Activo",TODAY()-H370,AT370="Inactivo",AP370-H370)</f>
        <v>45460</v>
      </c>
      <c r="AV370" s="180">
        <f ca="1">IF(ISBLANK(Tabla1[[#This Row],[Fecha Nacimento (dd/mm/yyyy)]]),"",YEARFRAC(Tabla1[[#This Row],[Fecha Nacimento (dd/mm/yyyy)]],TODAY()))</f>
        <v>43.24722222222222</v>
      </c>
      <c r="AW370" s="141"/>
    </row>
    <row r="371" spans="1:49" s="27" customFormat="1" x14ac:dyDescent="0.25">
      <c r="A371" s="134">
        <v>374</v>
      </c>
      <c r="B371" s="27" t="s">
        <v>1798</v>
      </c>
      <c r="C371" s="27" t="s">
        <v>2042</v>
      </c>
      <c r="D371" s="27" t="s">
        <v>141</v>
      </c>
      <c r="E371" s="400">
        <v>9773298</v>
      </c>
      <c r="F371" s="27" t="s">
        <v>142</v>
      </c>
      <c r="G371" s="27" t="s">
        <v>959</v>
      </c>
      <c r="H371" s="136"/>
      <c r="I371" s="136"/>
      <c r="J371" s="27" t="s">
        <v>144</v>
      </c>
      <c r="K371" s="138"/>
      <c r="M371" s="27" t="s">
        <v>262</v>
      </c>
      <c r="O371" s="139"/>
      <c r="U371" s="197">
        <v>30999</v>
      </c>
      <c r="V371" s="27" t="s">
        <v>2043</v>
      </c>
      <c r="W371" s="27">
        <v>3226382447</v>
      </c>
      <c r="AB371" s="27" t="s">
        <v>158</v>
      </c>
      <c r="AC371" s="27" t="s">
        <v>2044</v>
      </c>
      <c r="AD371" s="27" t="s">
        <v>160</v>
      </c>
      <c r="AF371" s="27" t="s">
        <v>176</v>
      </c>
      <c r="AG371" s="27" t="s">
        <v>177</v>
      </c>
      <c r="AI371" s="179"/>
      <c r="AP371" s="136"/>
      <c r="AT371" s="27" t="str">
        <f t="shared" si="11"/>
        <v>Activo</v>
      </c>
      <c r="AU371" s="27" cm="1">
        <f t="array" aca="1" ref="AU371" ca="1">_xlfn.IFS(AT371="","",AT371="Activo",TODAY()-H371,AT371="Inactivo",AP371-H371)</f>
        <v>45460</v>
      </c>
      <c r="AV371" s="180">
        <f ca="1">IF(ISBLANK(Tabla1[[#This Row],[Fecha Nacimento (dd/mm/yyyy)]]),"",YEARFRAC(Tabla1[[#This Row],[Fecha Nacimento (dd/mm/yyyy)]],TODAY()))</f>
        <v>39.594444444444441</v>
      </c>
      <c r="AW371" s="141"/>
    </row>
    <row r="372" spans="1:49" s="27" customFormat="1" x14ac:dyDescent="0.25">
      <c r="A372" s="134">
        <v>375</v>
      </c>
      <c r="B372" s="27" t="s">
        <v>2045</v>
      </c>
      <c r="C372" s="27" t="s">
        <v>2046</v>
      </c>
      <c r="D372" s="27" t="s">
        <v>141</v>
      </c>
      <c r="E372" s="400">
        <v>24581913</v>
      </c>
      <c r="F372" s="27" t="s">
        <v>142</v>
      </c>
      <c r="G372" s="27" t="s">
        <v>959</v>
      </c>
      <c r="H372" s="136"/>
      <c r="I372" s="136"/>
      <c r="J372" s="27" t="s">
        <v>144</v>
      </c>
      <c r="K372" s="138"/>
      <c r="M372" s="27" t="s">
        <v>262</v>
      </c>
      <c r="O372" s="139" t="s">
        <v>2047</v>
      </c>
      <c r="Q372" s="27" t="s">
        <v>148</v>
      </c>
      <c r="R372" s="27" t="s">
        <v>371</v>
      </c>
      <c r="S372" s="27" t="s">
        <v>150</v>
      </c>
      <c r="U372" s="197">
        <v>25643</v>
      </c>
      <c r="V372" s="27" t="s">
        <v>2048</v>
      </c>
      <c r="AB372" s="27" t="s">
        <v>158</v>
      </c>
      <c r="AI372" s="179"/>
      <c r="AP372" s="136"/>
      <c r="AT372" s="27" t="str">
        <f t="shared" si="11"/>
        <v>Activo</v>
      </c>
      <c r="AU372" s="27" cm="1">
        <f t="array" aca="1" ref="AU372" ca="1">_xlfn.IFS(AT372="","",AT372="Activo",TODAY()-H372,AT372="Inactivo",AP372-H372)</f>
        <v>45460</v>
      </c>
      <c r="AV372" s="180">
        <f ca="1">IF(ISBLANK(Tabla1[[#This Row],[Fecha Nacimento (dd/mm/yyyy)]]),"",YEARFRAC(Tabla1[[#This Row],[Fecha Nacimento (dd/mm/yyyy)]],TODAY()))</f>
        <v>54.25277777777778</v>
      </c>
      <c r="AW372" s="141"/>
    </row>
    <row r="373" spans="1:49" s="27" customFormat="1" x14ac:dyDescent="0.25">
      <c r="A373" s="134">
        <v>376</v>
      </c>
      <c r="B373" s="27" t="s">
        <v>2049</v>
      </c>
      <c r="C373" s="27" t="s">
        <v>2050</v>
      </c>
      <c r="D373" s="27" t="s">
        <v>141</v>
      </c>
      <c r="E373" s="400">
        <v>453657090</v>
      </c>
      <c r="F373" s="27" t="s">
        <v>142</v>
      </c>
      <c r="G373" s="27" t="s">
        <v>143</v>
      </c>
      <c r="H373" s="136">
        <v>44682</v>
      </c>
      <c r="I373" s="136"/>
      <c r="J373" s="27" t="s">
        <v>144</v>
      </c>
      <c r="K373" s="138">
        <v>2400000</v>
      </c>
      <c r="L373" s="27" t="s">
        <v>164</v>
      </c>
      <c r="M373" s="27" t="s">
        <v>262</v>
      </c>
      <c r="N373" s="27" t="s">
        <v>145</v>
      </c>
      <c r="O373" s="139" t="s">
        <v>2051</v>
      </c>
      <c r="Q373" s="27" t="s">
        <v>205</v>
      </c>
      <c r="U373" s="197">
        <v>21470</v>
      </c>
      <c r="V373" s="27" t="s">
        <v>2052</v>
      </c>
      <c r="W373" s="27">
        <v>3167337125</v>
      </c>
      <c r="Z373" s="27" t="s">
        <v>927</v>
      </c>
      <c r="AE373" s="27" t="s">
        <v>1923</v>
      </c>
      <c r="AF373" s="27" t="s">
        <v>162</v>
      </c>
      <c r="AG373" s="27" t="s">
        <v>177</v>
      </c>
      <c r="AH373" s="27" t="s">
        <v>164</v>
      </c>
      <c r="AI373" s="179"/>
      <c r="AP373" s="136">
        <v>45303</v>
      </c>
      <c r="AQ373" s="27" t="s">
        <v>52</v>
      </c>
      <c r="AT373" s="27" t="str">
        <f t="shared" si="11"/>
        <v>Inactivo</v>
      </c>
      <c r="AU373" s="27" cm="1">
        <f t="array" aca="1" ref="AU373" ca="1">_xlfn.IFS(AT373="","",AT373="Activo",TODAY()-H373,AT373="Inactivo",AP373-H373)</f>
        <v>621</v>
      </c>
      <c r="AV373" s="180">
        <f ca="1">IF(ISBLANK(Tabla1[[#This Row],[Fecha Nacimento (dd/mm/yyyy)]]),"",YEARFRAC(Tabla1[[#This Row],[Fecha Nacimento (dd/mm/yyyy)]],TODAY()))</f>
        <v>65.680555555555557</v>
      </c>
      <c r="AW373" s="141"/>
    </row>
    <row r="374" spans="1:49" s="27" customFormat="1" x14ac:dyDescent="0.25">
      <c r="A374" s="134">
        <v>377</v>
      </c>
      <c r="B374" s="27" t="s">
        <v>2053</v>
      </c>
      <c r="C374" s="27" t="s">
        <v>2054</v>
      </c>
      <c r="D374" s="27" t="s">
        <v>141</v>
      </c>
      <c r="E374" s="400">
        <v>24947535</v>
      </c>
      <c r="F374" s="27" t="s">
        <v>142</v>
      </c>
      <c r="G374" s="27" t="s">
        <v>143</v>
      </c>
      <c r="H374" s="136">
        <v>45307</v>
      </c>
      <c r="I374" s="136"/>
      <c r="J374" s="27" t="s">
        <v>144</v>
      </c>
      <c r="K374" s="138">
        <v>130000</v>
      </c>
      <c r="L374" s="27" t="s">
        <v>164</v>
      </c>
      <c r="M374" s="27" t="s">
        <v>262</v>
      </c>
      <c r="N374" s="27" t="s">
        <v>145</v>
      </c>
      <c r="O374" s="139"/>
      <c r="Q374" s="27" t="s">
        <v>205</v>
      </c>
      <c r="U374" s="197">
        <v>18897</v>
      </c>
      <c r="X374" s="27" t="s">
        <v>2055</v>
      </c>
      <c r="Y374" s="27" t="s">
        <v>155</v>
      </c>
      <c r="Z374" s="27" t="s">
        <v>440</v>
      </c>
      <c r="AA374" s="27" t="s">
        <v>302</v>
      </c>
      <c r="AB374" s="27" t="s">
        <v>599</v>
      </c>
      <c r="AD374" s="27" t="s">
        <v>271</v>
      </c>
      <c r="AE374" s="27" t="s">
        <v>980</v>
      </c>
      <c r="AF374" s="27" t="s">
        <v>162</v>
      </c>
      <c r="AG374" s="27" t="s">
        <v>177</v>
      </c>
      <c r="AH374" s="27" t="s">
        <v>164</v>
      </c>
      <c r="AI374" s="179"/>
      <c r="AP374" s="136"/>
      <c r="AT374" s="27" t="str">
        <f t="shared" si="11"/>
        <v>Activo</v>
      </c>
      <c r="AU374" s="27" cm="1">
        <f t="array" aca="1" ref="AU374" ca="1">_xlfn.IFS(AT374="","",AT374="Activo",TODAY()-H374,AT374="Inactivo",AP374-H374)</f>
        <v>153</v>
      </c>
      <c r="AV374" s="180">
        <f ca="1">IF(ISBLANK(Tabla1[[#This Row],[Fecha Nacimento (dd/mm/yyyy)]]),"",YEARFRAC(Tabla1[[#This Row],[Fecha Nacimento (dd/mm/yyyy)]],TODAY()))</f>
        <v>72.724999999999994</v>
      </c>
      <c r="AW374" s="141"/>
    </row>
    <row r="375" spans="1:49" s="27" customFormat="1" x14ac:dyDescent="0.25">
      <c r="A375" s="134">
        <v>378</v>
      </c>
      <c r="B375" s="27" t="s">
        <v>2056</v>
      </c>
      <c r="C375" s="27" t="s">
        <v>2057</v>
      </c>
      <c r="D375" s="27" t="s">
        <v>141</v>
      </c>
      <c r="E375" s="400">
        <v>35115702</v>
      </c>
      <c r="F375" s="27" t="s">
        <v>142</v>
      </c>
      <c r="G375" s="27" t="s">
        <v>143</v>
      </c>
      <c r="H375" s="136">
        <v>45327</v>
      </c>
      <c r="I375" s="136"/>
      <c r="J375" s="27" t="s">
        <v>144</v>
      </c>
      <c r="K375" s="138">
        <v>1300000</v>
      </c>
      <c r="L375" s="27" t="s">
        <v>145</v>
      </c>
      <c r="M375" s="27" t="s">
        <v>355</v>
      </c>
      <c r="N375" s="27" t="s">
        <v>145</v>
      </c>
      <c r="O375" s="139" t="s">
        <v>2058</v>
      </c>
      <c r="Q375" s="27" t="s">
        <v>148</v>
      </c>
      <c r="R375" s="27" t="s">
        <v>149</v>
      </c>
      <c r="S375" s="27" t="s">
        <v>150</v>
      </c>
      <c r="T375" s="27">
        <v>68199552698</v>
      </c>
      <c r="U375" s="197">
        <v>28933</v>
      </c>
      <c r="V375" s="27" t="s">
        <v>2059</v>
      </c>
      <c r="W375" s="27">
        <v>3002613555</v>
      </c>
      <c r="X375" s="27" t="s">
        <v>2060</v>
      </c>
      <c r="Y375" s="27" t="s">
        <v>1075</v>
      </c>
      <c r="Z375" s="27" t="s">
        <v>1645</v>
      </c>
      <c r="AA375" s="27" t="s">
        <v>2061</v>
      </c>
      <c r="AB375" s="27" t="s">
        <v>175</v>
      </c>
      <c r="AC375" s="27" t="s">
        <v>160</v>
      </c>
      <c r="AD375" s="27" t="s">
        <v>160</v>
      </c>
      <c r="AE375" s="27" t="s">
        <v>1184</v>
      </c>
      <c r="AF375" s="27" t="s">
        <v>162</v>
      </c>
      <c r="AG375" s="27" t="s">
        <v>177</v>
      </c>
      <c r="AH375" s="27" t="s">
        <v>145</v>
      </c>
      <c r="AI375" s="179">
        <v>30000</v>
      </c>
      <c r="AJ375" s="27" t="s">
        <v>145</v>
      </c>
      <c r="AK375" s="27" t="s">
        <v>1069</v>
      </c>
      <c r="AL375" s="27" t="s">
        <v>164</v>
      </c>
      <c r="AM375" s="27" t="s">
        <v>145</v>
      </c>
      <c r="AN375" s="27" t="s">
        <v>1069</v>
      </c>
      <c r="AO375" s="27" t="s">
        <v>164</v>
      </c>
      <c r="AP375" s="136"/>
      <c r="AT375" s="27" t="str">
        <f t="shared" si="11"/>
        <v>Activo</v>
      </c>
      <c r="AU375" s="27" cm="1">
        <f t="array" aca="1" ref="AU375" ca="1">_xlfn.IFS(AT375="","",AT375="Activo",TODAY()-H375,AT375="Inactivo",AP375-H375)</f>
        <v>133</v>
      </c>
      <c r="AV375" s="180">
        <f ca="1">IF(ISBLANK(Tabla1[[#This Row],[Fecha Nacimento (dd/mm/yyyy)]]),"",YEARFRAC(Tabla1[[#This Row],[Fecha Nacimento (dd/mm/yyyy)]],TODAY()))</f>
        <v>45.244444444444447</v>
      </c>
      <c r="AW375" s="141"/>
    </row>
    <row r="376" spans="1:49" s="27" customFormat="1" x14ac:dyDescent="0.25">
      <c r="A376" s="134">
        <v>380</v>
      </c>
      <c r="B376" s="27" t="s">
        <v>2062</v>
      </c>
      <c r="C376" s="27" t="s">
        <v>2063</v>
      </c>
      <c r="D376" s="27" t="s">
        <v>141</v>
      </c>
      <c r="E376" s="400">
        <v>1094899622</v>
      </c>
      <c r="F376" s="27" t="s">
        <v>142</v>
      </c>
      <c r="G376" s="27" t="s">
        <v>143</v>
      </c>
      <c r="H376" s="136">
        <v>45327</v>
      </c>
      <c r="I376" s="136"/>
      <c r="J376" s="27" t="s">
        <v>144</v>
      </c>
      <c r="K376" s="138">
        <v>1300000</v>
      </c>
      <c r="L376" s="27" t="s">
        <v>145</v>
      </c>
      <c r="M376" s="27" t="s">
        <v>262</v>
      </c>
      <c r="N376" s="27" t="s">
        <v>145</v>
      </c>
      <c r="O376" s="139" t="s">
        <v>2064</v>
      </c>
      <c r="Q376" s="27" t="s">
        <v>148</v>
      </c>
      <c r="R376" s="27" t="s">
        <v>942</v>
      </c>
      <c r="S376" s="27" t="s">
        <v>150</v>
      </c>
      <c r="T376" s="27">
        <v>24055571135</v>
      </c>
      <c r="U376" s="197">
        <v>32332</v>
      </c>
      <c r="V376" s="27" t="s">
        <v>2065</v>
      </c>
      <c r="W376" s="27">
        <v>3178786229</v>
      </c>
      <c r="X376" s="27" t="s">
        <v>2066</v>
      </c>
      <c r="Y376" s="27" t="s">
        <v>155</v>
      </c>
      <c r="Z376" s="27" t="s">
        <v>2067</v>
      </c>
      <c r="AA376" s="27" t="s">
        <v>302</v>
      </c>
      <c r="AB376" s="27" t="s">
        <v>158</v>
      </c>
      <c r="AC376" s="27" t="s">
        <v>160</v>
      </c>
      <c r="AD376" s="27" t="s">
        <v>1744</v>
      </c>
      <c r="AE376" s="27" t="s">
        <v>2068</v>
      </c>
      <c r="AF376" s="27" t="s">
        <v>162</v>
      </c>
      <c r="AG376" s="27" t="s">
        <v>177</v>
      </c>
      <c r="AH376" s="27" t="s">
        <v>164</v>
      </c>
      <c r="AI376" s="179"/>
      <c r="AP376" s="136"/>
      <c r="AT376" s="27" t="str">
        <f t="shared" si="11"/>
        <v>Activo</v>
      </c>
      <c r="AU376" s="27" cm="1">
        <f t="array" aca="1" ref="AU376" ca="1">_xlfn.IFS(AT376="","",AT376="Activo",TODAY()-H376,AT376="Inactivo",AP376-H376)</f>
        <v>133</v>
      </c>
      <c r="AV376" s="180">
        <f ca="1">IF(ISBLANK(Tabla1[[#This Row],[Fecha Nacimento (dd/mm/yyyy)]]),"",YEARFRAC(Tabla1[[#This Row],[Fecha Nacimento (dd/mm/yyyy)]],TODAY()))</f>
        <v>35.94166666666667</v>
      </c>
      <c r="AW376" s="141"/>
    </row>
    <row r="377" spans="1:49" s="27" customFormat="1" x14ac:dyDescent="0.25">
      <c r="A377" s="134">
        <v>381</v>
      </c>
      <c r="B377" s="27" t="s">
        <v>2069</v>
      </c>
      <c r="C377" s="27" t="s">
        <v>2070</v>
      </c>
      <c r="D377" s="27" t="s">
        <v>141</v>
      </c>
      <c r="E377" s="400">
        <v>1112105397</v>
      </c>
      <c r="F377" s="27" t="s">
        <v>142</v>
      </c>
      <c r="G377" s="27" t="s">
        <v>143</v>
      </c>
      <c r="H377" s="136">
        <v>45323</v>
      </c>
      <c r="I377" s="136"/>
      <c r="J377" s="27" t="s">
        <v>144</v>
      </c>
      <c r="K377" s="138">
        <v>2400000</v>
      </c>
      <c r="L377" s="27" t="s">
        <v>145</v>
      </c>
      <c r="M377" s="27" t="s">
        <v>262</v>
      </c>
      <c r="N377" s="27" t="s">
        <v>145</v>
      </c>
      <c r="O377" s="139" t="s">
        <v>2071</v>
      </c>
      <c r="Q377" s="27" t="s">
        <v>148</v>
      </c>
      <c r="R377" s="27" t="s">
        <v>168</v>
      </c>
      <c r="S377" s="27" t="s">
        <v>150</v>
      </c>
      <c r="T377" s="27">
        <v>488400675952</v>
      </c>
      <c r="U377" s="197">
        <v>34738</v>
      </c>
      <c r="V377" s="27" t="s">
        <v>2072</v>
      </c>
      <c r="W377" s="27">
        <v>3232292937</v>
      </c>
      <c r="X377" s="27" t="s">
        <v>154</v>
      </c>
      <c r="Y377" s="27" t="s">
        <v>172</v>
      </c>
      <c r="Z377" s="27" t="s">
        <v>2073</v>
      </c>
      <c r="AA377" s="27" t="s">
        <v>174</v>
      </c>
      <c r="AB377" s="27" t="s">
        <v>158</v>
      </c>
      <c r="AC377" s="27" t="s">
        <v>160</v>
      </c>
      <c r="AD377" s="27" t="s">
        <v>160</v>
      </c>
      <c r="AE377" s="27" t="s">
        <v>1027</v>
      </c>
      <c r="AF377" s="27" t="s">
        <v>162</v>
      </c>
      <c r="AG377" s="27" t="s">
        <v>177</v>
      </c>
      <c r="AH377" s="27" t="s">
        <v>145</v>
      </c>
      <c r="AI377" s="179">
        <v>100000</v>
      </c>
      <c r="AJ377" s="27" t="s">
        <v>164</v>
      </c>
      <c r="AK377" s="27" t="s">
        <v>214</v>
      </c>
      <c r="AL377" s="27" t="s">
        <v>214</v>
      </c>
      <c r="AM377" s="27" t="s">
        <v>164</v>
      </c>
      <c r="AN377" s="27" t="s">
        <v>214</v>
      </c>
      <c r="AO377" s="27" t="s">
        <v>214</v>
      </c>
      <c r="AP377" s="136"/>
      <c r="AT377" s="27" t="str">
        <f t="shared" si="11"/>
        <v>Activo</v>
      </c>
      <c r="AU377" s="27" cm="1">
        <f t="array" aca="1" ref="AU377" ca="1">_xlfn.IFS(AT377="","",AT377="Activo",TODAY()-H377,AT377="Inactivo",AP377-H377)</f>
        <v>137</v>
      </c>
      <c r="AV377" s="180">
        <f ca="1">IF(ISBLANK(Tabla1[[#This Row],[Fecha Nacimento (dd/mm/yyyy)]]),"",YEARFRAC(Tabla1[[#This Row],[Fecha Nacimento (dd/mm/yyyy)]],TODAY()))</f>
        <v>29.358333333333334</v>
      </c>
      <c r="AW377" s="141"/>
    </row>
    <row r="378" spans="1:49" s="27" customFormat="1" x14ac:dyDescent="0.25">
      <c r="A378" s="134">
        <v>382</v>
      </c>
      <c r="B378" s="27" t="s">
        <v>2074</v>
      </c>
      <c r="C378" s="27" t="s">
        <v>2075</v>
      </c>
      <c r="D378" s="27" t="s">
        <v>141</v>
      </c>
      <c r="E378" s="400">
        <v>25483089</v>
      </c>
      <c r="F378" s="27" t="s">
        <v>142</v>
      </c>
      <c r="G378" s="27" t="s">
        <v>143</v>
      </c>
      <c r="H378" s="136">
        <v>44348</v>
      </c>
      <c r="I378" s="136"/>
      <c r="J378" s="27" t="s">
        <v>144</v>
      </c>
      <c r="K378" s="138">
        <v>1300000</v>
      </c>
      <c r="L378" s="27" t="s">
        <v>145</v>
      </c>
      <c r="M378" s="27" t="s">
        <v>262</v>
      </c>
      <c r="N378" s="27" t="s">
        <v>145</v>
      </c>
      <c r="O378" s="139" t="s">
        <v>1506</v>
      </c>
      <c r="Q378" s="27" t="s">
        <v>205</v>
      </c>
      <c r="U378" s="197">
        <v>28604</v>
      </c>
      <c r="V378" s="27" t="s">
        <v>2076</v>
      </c>
      <c r="W378" s="27">
        <v>3134519824</v>
      </c>
      <c r="X378" s="27" t="s">
        <v>1181</v>
      </c>
      <c r="Y378" s="27" t="s">
        <v>1817</v>
      </c>
      <c r="Z378" s="27" t="s">
        <v>2077</v>
      </c>
      <c r="AA378" s="27" t="s">
        <v>1077</v>
      </c>
      <c r="AB378" s="27" t="s">
        <v>233</v>
      </c>
      <c r="AC378" s="27" t="s">
        <v>271</v>
      </c>
      <c r="AD378" s="27" t="s">
        <v>271</v>
      </c>
      <c r="AE378" s="27" t="s">
        <v>2078</v>
      </c>
      <c r="AF378" s="27" t="s">
        <v>162</v>
      </c>
      <c r="AG378" s="27" t="s">
        <v>177</v>
      </c>
      <c r="AH378" s="27" t="s">
        <v>164</v>
      </c>
      <c r="AI378" s="179"/>
      <c r="AJ378" s="27" t="s">
        <v>2079</v>
      </c>
      <c r="AK378" s="27" t="s">
        <v>214</v>
      </c>
      <c r="AL378" s="27" t="s">
        <v>214</v>
      </c>
      <c r="AM378" s="27" t="s">
        <v>164</v>
      </c>
      <c r="AN378" s="27" t="s">
        <v>214</v>
      </c>
      <c r="AO378" s="27" t="s">
        <v>214</v>
      </c>
      <c r="AP378" s="136"/>
      <c r="AT378" s="27" t="str">
        <f t="shared" si="11"/>
        <v>Activo</v>
      </c>
      <c r="AU378" s="27" cm="1">
        <f t="array" aca="1" ref="AU378" ca="1">_xlfn.IFS(AT378="","",AT378="Activo",TODAY()-H378,AT378="Inactivo",AP378-H378)</f>
        <v>1112</v>
      </c>
      <c r="AV378" s="180">
        <f ca="1">IF(ISBLANK(Tabla1[[#This Row],[Fecha Nacimento (dd/mm/yyyy)]]),"",YEARFRAC(Tabla1[[#This Row],[Fecha Nacimento (dd/mm/yyyy)]],TODAY()))</f>
        <v>46.147222222222226</v>
      </c>
      <c r="AW378" s="141"/>
    </row>
    <row r="379" spans="1:49" s="27" customFormat="1" x14ac:dyDescent="0.25">
      <c r="A379" s="134">
        <v>383</v>
      </c>
      <c r="B379" s="27" t="s">
        <v>2080</v>
      </c>
      <c r="C379" s="27" t="s">
        <v>2081</v>
      </c>
      <c r="D379" s="27" t="s">
        <v>141</v>
      </c>
      <c r="E379" s="400">
        <v>24574803</v>
      </c>
      <c r="F379" s="27" t="s">
        <v>142</v>
      </c>
      <c r="G379" s="27" t="s">
        <v>143</v>
      </c>
      <c r="H379" s="136">
        <v>45327</v>
      </c>
      <c r="I379" s="136"/>
      <c r="J379" s="27" t="s">
        <v>144</v>
      </c>
      <c r="K379" s="138">
        <v>1300000</v>
      </c>
      <c r="L379" s="27" t="s">
        <v>145</v>
      </c>
      <c r="M379" s="27" t="s">
        <v>262</v>
      </c>
      <c r="N379" s="27" t="s">
        <v>145</v>
      </c>
      <c r="O379" s="139"/>
      <c r="Q379" s="27" t="s">
        <v>205</v>
      </c>
      <c r="U379" s="197">
        <v>20961</v>
      </c>
      <c r="V379" s="27" t="s">
        <v>2082</v>
      </c>
      <c r="W379" s="27">
        <v>3118763841</v>
      </c>
      <c r="X379" s="27" t="s">
        <v>2083</v>
      </c>
      <c r="Y379" s="27" t="s">
        <v>172</v>
      </c>
      <c r="Z379" s="27" t="s">
        <v>2084</v>
      </c>
      <c r="AA379" s="27" t="s">
        <v>1077</v>
      </c>
      <c r="AB379" s="27" t="s">
        <v>1743</v>
      </c>
      <c r="AD379" s="27" t="s">
        <v>160</v>
      </c>
      <c r="AE379" s="27" t="s">
        <v>2085</v>
      </c>
      <c r="AF379" s="27" t="s">
        <v>162</v>
      </c>
      <c r="AG379" s="27" t="s">
        <v>177</v>
      </c>
      <c r="AH379" s="27" t="s">
        <v>164</v>
      </c>
      <c r="AI379" s="179"/>
      <c r="AJ379" s="27" t="s">
        <v>304</v>
      </c>
      <c r="AK379" s="27" t="s">
        <v>214</v>
      </c>
      <c r="AL379" s="27" t="s">
        <v>214</v>
      </c>
      <c r="AM379" s="27" t="s">
        <v>164</v>
      </c>
      <c r="AN379" s="27" t="s">
        <v>214</v>
      </c>
      <c r="AO379" s="27" t="s">
        <v>214</v>
      </c>
      <c r="AP379" s="136"/>
      <c r="AT379" s="27" t="str">
        <f t="shared" si="11"/>
        <v>Activo</v>
      </c>
      <c r="AU379" s="27" cm="1">
        <f t="array" aca="1" ref="AU379" ca="1">_xlfn.IFS(AT379="","",AT379="Activo",TODAY()-H379,AT379="Inactivo",AP379-H379)</f>
        <v>133</v>
      </c>
      <c r="AV379" s="180">
        <f ca="1">IF(ISBLANK(Tabla1[[#This Row],[Fecha Nacimento (dd/mm/yyyy)]]),"",YEARFRAC(Tabla1[[#This Row],[Fecha Nacimento (dd/mm/yyyy)]],TODAY()))</f>
        <v>67.072222222222223</v>
      </c>
      <c r="AW379" s="141"/>
    </row>
    <row r="380" spans="1:49" s="27" customFormat="1" x14ac:dyDescent="0.25">
      <c r="A380" s="134">
        <v>384</v>
      </c>
      <c r="B380" s="27" t="s">
        <v>2086</v>
      </c>
      <c r="C380" s="27" t="s">
        <v>2087</v>
      </c>
      <c r="D380" s="27" t="s">
        <v>141</v>
      </c>
      <c r="E380" s="400">
        <v>41917072</v>
      </c>
      <c r="F380" s="27" t="s">
        <v>142</v>
      </c>
      <c r="G380" s="27" t="s">
        <v>143</v>
      </c>
      <c r="H380" s="136">
        <v>45338</v>
      </c>
      <c r="I380" s="136"/>
      <c r="J380" s="27" t="s">
        <v>144</v>
      </c>
      <c r="K380" s="138">
        <v>5000000</v>
      </c>
      <c r="L380" s="27" t="s">
        <v>164</v>
      </c>
      <c r="M380" s="27" t="s">
        <v>262</v>
      </c>
      <c r="N380" s="27" t="s">
        <v>145</v>
      </c>
      <c r="O380" s="139" t="s">
        <v>2088</v>
      </c>
      <c r="Q380" s="27" t="s">
        <v>148</v>
      </c>
      <c r="R380" s="27" t="s">
        <v>168</v>
      </c>
      <c r="S380" s="27" t="s">
        <v>150</v>
      </c>
      <c r="T380" s="180">
        <v>136770036608</v>
      </c>
      <c r="U380" s="197">
        <v>24831</v>
      </c>
      <c r="V380" s="27" t="s">
        <v>2089</v>
      </c>
      <c r="W380" s="27">
        <v>3152889780</v>
      </c>
      <c r="X380" s="27" t="s">
        <v>154</v>
      </c>
      <c r="Y380" s="27" t="s">
        <v>155</v>
      </c>
      <c r="Z380" s="27" t="s">
        <v>2090</v>
      </c>
      <c r="AA380" s="27" t="s">
        <v>1077</v>
      </c>
      <c r="AB380" s="27" t="s">
        <v>158</v>
      </c>
      <c r="AC380" s="27" t="s">
        <v>159</v>
      </c>
      <c r="AD380" s="27" t="s">
        <v>271</v>
      </c>
      <c r="AE380" s="27" t="s">
        <v>1027</v>
      </c>
      <c r="AF380" s="27" t="s">
        <v>162</v>
      </c>
      <c r="AG380" s="27" t="s">
        <v>177</v>
      </c>
      <c r="AH380" s="27" t="s">
        <v>145</v>
      </c>
      <c r="AI380" s="179">
        <v>3000000</v>
      </c>
      <c r="AJ380" s="27" t="s">
        <v>164</v>
      </c>
      <c r="AK380" s="27" t="s">
        <v>214</v>
      </c>
      <c r="AL380" s="27" t="s">
        <v>214</v>
      </c>
      <c r="AM380" s="27" t="s">
        <v>164</v>
      </c>
      <c r="AN380" s="27" t="s">
        <v>214</v>
      </c>
      <c r="AO380" s="27" t="s">
        <v>214</v>
      </c>
      <c r="AP380" s="136"/>
      <c r="AT380" s="27" t="str">
        <f t="shared" si="11"/>
        <v>Activo</v>
      </c>
      <c r="AU380" s="27" cm="1">
        <f t="array" aca="1" ref="AU380" ca="1">_xlfn.IFS(AT380="","",AT380="Activo",TODAY()-H380,AT380="Inactivo",AP380-H380)</f>
        <v>122</v>
      </c>
      <c r="AV380" s="180">
        <f ca="1">IF(ISBLANK(Tabla1[[#This Row],[Fecha Nacimento (dd/mm/yyyy)]]),"",YEARFRAC(Tabla1[[#This Row],[Fecha Nacimento (dd/mm/yyyy)]],TODAY()))</f>
        <v>56.477777777777774</v>
      </c>
      <c r="AW380" s="141"/>
    </row>
    <row r="381" spans="1:49" s="27" customFormat="1" x14ac:dyDescent="0.25">
      <c r="A381" s="134">
        <v>385</v>
      </c>
      <c r="B381" s="27" t="s">
        <v>2091</v>
      </c>
      <c r="C381" s="27" t="s">
        <v>2092</v>
      </c>
      <c r="D381" s="27" t="s">
        <v>141</v>
      </c>
      <c r="E381" s="400">
        <v>67028217</v>
      </c>
      <c r="F381" s="27" t="s">
        <v>142</v>
      </c>
      <c r="G381" s="27" t="s">
        <v>143</v>
      </c>
      <c r="H381" s="136">
        <v>45323</v>
      </c>
      <c r="I381" s="136"/>
      <c r="J381" s="27" t="s">
        <v>144</v>
      </c>
      <c r="K381" s="138">
        <v>1300000</v>
      </c>
      <c r="L381" s="27" t="s">
        <v>145</v>
      </c>
      <c r="M381" s="27" t="s">
        <v>203</v>
      </c>
      <c r="N381" s="27" t="s">
        <v>145</v>
      </c>
      <c r="O381" s="213" t="s">
        <v>2093</v>
      </c>
      <c r="Q381" s="27" t="s">
        <v>148</v>
      </c>
      <c r="R381" s="27" t="s">
        <v>426</v>
      </c>
      <c r="S381" s="27" t="s">
        <v>150</v>
      </c>
      <c r="T381" s="27">
        <v>3117543184</v>
      </c>
      <c r="U381" s="197">
        <v>31219</v>
      </c>
      <c r="V381" s="27" t="s">
        <v>2094</v>
      </c>
      <c r="W381" s="27">
        <v>3117543184</v>
      </c>
      <c r="X381" s="27" t="s">
        <v>1181</v>
      </c>
      <c r="Y381" s="27" t="s">
        <v>1817</v>
      </c>
      <c r="Z381" s="27" t="s">
        <v>2095</v>
      </c>
      <c r="AA381" s="27" t="s">
        <v>1077</v>
      </c>
      <c r="AB381" s="27" t="s">
        <v>212</v>
      </c>
      <c r="AC381" s="27" t="s">
        <v>160</v>
      </c>
      <c r="AD381" s="27" t="s">
        <v>160</v>
      </c>
      <c r="AE381" s="27" t="s">
        <v>2078</v>
      </c>
      <c r="AF381" s="27" t="s">
        <v>162</v>
      </c>
      <c r="AG381" s="27" t="s">
        <v>177</v>
      </c>
      <c r="AH381" s="27" t="s">
        <v>164</v>
      </c>
      <c r="AI381" s="179" t="s">
        <v>2096</v>
      </c>
      <c r="AJ381" s="27" t="s">
        <v>145</v>
      </c>
      <c r="AK381" s="27" t="s">
        <v>1069</v>
      </c>
      <c r="AL381" s="27" t="s">
        <v>145</v>
      </c>
      <c r="AM381" s="27" t="s">
        <v>145</v>
      </c>
      <c r="AN381" s="27" t="s">
        <v>1069</v>
      </c>
      <c r="AO381" s="27" t="s">
        <v>145</v>
      </c>
      <c r="AP381" s="136"/>
      <c r="AT381" s="27" t="str">
        <f t="shared" si="11"/>
        <v>Activo</v>
      </c>
      <c r="AU381" s="27" cm="1">
        <f t="array" aca="1" ref="AU381" ca="1">_xlfn.IFS(AT381="","",AT381="Activo",TODAY()-H381,AT381="Inactivo",AP381-H381)</f>
        <v>137</v>
      </c>
      <c r="AV381" s="180">
        <f ca="1">IF(ISBLANK(Tabla1[[#This Row],[Fecha Nacimento (dd/mm/yyyy)]]),"",YEARFRAC(Tabla1[[#This Row],[Fecha Nacimento (dd/mm/yyyy)]],TODAY()))</f>
        <v>38.988888888888887</v>
      </c>
      <c r="AW381" s="141"/>
    </row>
    <row r="382" spans="1:49" s="27" customFormat="1" x14ac:dyDescent="0.25">
      <c r="A382" s="134">
        <v>386</v>
      </c>
      <c r="B382" s="27" t="s">
        <v>2097</v>
      </c>
      <c r="C382" s="27" t="s">
        <v>2098</v>
      </c>
      <c r="D382" s="27" t="s">
        <v>141</v>
      </c>
      <c r="E382" s="400">
        <v>67025489</v>
      </c>
      <c r="F382" s="27" t="s">
        <v>142</v>
      </c>
      <c r="G382" s="27" t="s">
        <v>143</v>
      </c>
      <c r="H382" s="136">
        <v>44138</v>
      </c>
      <c r="I382" s="136"/>
      <c r="J382" s="27" t="s">
        <v>144</v>
      </c>
      <c r="K382" s="138">
        <v>1300000</v>
      </c>
      <c r="L382" s="27" t="s">
        <v>145</v>
      </c>
      <c r="M382" s="27" t="s">
        <v>262</v>
      </c>
      <c r="N382" s="27" t="s">
        <v>145</v>
      </c>
      <c r="O382" s="213" t="s">
        <v>2099</v>
      </c>
      <c r="Q382" s="27" t="s">
        <v>148</v>
      </c>
      <c r="R382" s="27" t="s">
        <v>426</v>
      </c>
      <c r="S382" s="27" t="s">
        <v>150</v>
      </c>
      <c r="T382" s="27">
        <v>3027166132</v>
      </c>
      <c r="U382" s="197">
        <v>31011</v>
      </c>
      <c r="V382" s="27" t="s">
        <v>2100</v>
      </c>
      <c r="W382" s="27">
        <v>3027166132</v>
      </c>
      <c r="X382" s="27" t="s">
        <v>1181</v>
      </c>
      <c r="Y382" s="27" t="s">
        <v>302</v>
      </c>
      <c r="Z382" s="27" t="s">
        <v>2101</v>
      </c>
      <c r="AA382" s="27" t="s">
        <v>302</v>
      </c>
      <c r="AB382" s="27" t="s">
        <v>1947</v>
      </c>
      <c r="AC382" s="27" t="s">
        <v>159</v>
      </c>
      <c r="AD382" s="27" t="s">
        <v>271</v>
      </c>
      <c r="AE382" s="27" t="s">
        <v>2078</v>
      </c>
      <c r="AF382" s="27" t="s">
        <v>162</v>
      </c>
      <c r="AG382" s="27" t="s">
        <v>177</v>
      </c>
      <c r="AH382" s="27" t="s">
        <v>164</v>
      </c>
      <c r="AI382" s="179"/>
      <c r="AP382" s="136"/>
      <c r="AT382" s="27" t="str">
        <f t="shared" si="11"/>
        <v>Activo</v>
      </c>
      <c r="AU382" s="27" cm="1">
        <f t="array" aca="1" ref="AU382" ca="1">_xlfn.IFS(AT382="","",AT382="Activo",TODAY()-H382,AT382="Inactivo",AP382-H382)</f>
        <v>1322</v>
      </c>
      <c r="AV382" s="180">
        <f ca="1">IF(ISBLANK(Tabla1[[#This Row],[Fecha Nacimento (dd/mm/yyyy)]]),"",YEARFRAC(Tabla1[[#This Row],[Fecha Nacimento (dd/mm/yyyy)]],TODAY()))</f>
        <v>39.56111111111111</v>
      </c>
      <c r="AW382" s="141"/>
    </row>
    <row r="383" spans="1:49" s="27" customFormat="1" x14ac:dyDescent="0.25">
      <c r="A383" s="134">
        <v>387</v>
      </c>
      <c r="B383" s="27" t="s">
        <v>2102</v>
      </c>
      <c r="C383" s="27" t="s">
        <v>2103</v>
      </c>
      <c r="D383" s="27" t="s">
        <v>141</v>
      </c>
      <c r="E383" s="400">
        <v>25531788</v>
      </c>
      <c r="F383" s="27" t="s">
        <v>142</v>
      </c>
      <c r="G383" s="27" t="s">
        <v>143</v>
      </c>
      <c r="H383" s="136">
        <v>45323</v>
      </c>
      <c r="I383" s="136"/>
      <c r="J383" s="27" t="s">
        <v>144</v>
      </c>
      <c r="K383" s="138">
        <v>1300000</v>
      </c>
      <c r="L383" s="27" t="s">
        <v>145</v>
      </c>
      <c r="M383" s="27" t="s">
        <v>262</v>
      </c>
      <c r="N383" s="27" t="s">
        <v>145</v>
      </c>
      <c r="O383" s="213" t="s">
        <v>2104</v>
      </c>
      <c r="Q383" s="27" t="s">
        <v>148</v>
      </c>
      <c r="R383" s="27" t="s">
        <v>149</v>
      </c>
      <c r="S383" s="27" t="s">
        <v>150</v>
      </c>
      <c r="T383" s="28" t="s">
        <v>2105</v>
      </c>
      <c r="U383" s="197">
        <v>31171</v>
      </c>
      <c r="V383" s="27" t="s">
        <v>2106</v>
      </c>
      <c r="W383" s="27">
        <v>3158951986</v>
      </c>
      <c r="X383" s="27" t="s">
        <v>1181</v>
      </c>
      <c r="Y383" s="27" t="s">
        <v>1817</v>
      </c>
      <c r="Z383" s="27" t="s">
        <v>2107</v>
      </c>
      <c r="AA383" s="27" t="s">
        <v>1077</v>
      </c>
      <c r="AB383" s="27" t="s">
        <v>599</v>
      </c>
      <c r="AC383" s="27" t="s">
        <v>160</v>
      </c>
      <c r="AD383" s="27" t="s">
        <v>160</v>
      </c>
      <c r="AE383" s="27" t="s">
        <v>2078</v>
      </c>
      <c r="AF383" s="27" t="s">
        <v>162</v>
      </c>
      <c r="AG383" s="27" t="s">
        <v>177</v>
      </c>
      <c r="AH383" s="27" t="s">
        <v>164</v>
      </c>
      <c r="AI383" s="179"/>
      <c r="AJ383" s="27" t="s">
        <v>164</v>
      </c>
      <c r="AK383" s="27" t="s">
        <v>214</v>
      </c>
      <c r="AL383" s="27" t="s">
        <v>214</v>
      </c>
      <c r="AM383" s="27" t="s">
        <v>164</v>
      </c>
      <c r="AN383" s="27" t="s">
        <v>214</v>
      </c>
      <c r="AO383" s="27" t="s">
        <v>214</v>
      </c>
      <c r="AP383" s="136">
        <v>45351</v>
      </c>
      <c r="AQ383" s="27" t="s">
        <v>52</v>
      </c>
      <c r="AT383" s="27" t="str">
        <f t="shared" si="11"/>
        <v>Inactivo</v>
      </c>
      <c r="AU383" s="27" cm="1">
        <f t="array" aca="1" ref="AU383" ca="1">_xlfn.IFS(AT383="","",AT383="Activo",TODAY()-H383,AT383="Inactivo",AP383-H383)</f>
        <v>28</v>
      </c>
      <c r="AV383" s="180">
        <f ca="1">IF(ISBLANK(Tabla1[[#This Row],[Fecha Nacimento (dd/mm/yyyy)]]),"",YEARFRAC(Tabla1[[#This Row],[Fecha Nacimento (dd/mm/yyyy)]],TODAY()))</f>
        <v>39.119444444444447</v>
      </c>
      <c r="AW383" s="141"/>
    </row>
    <row r="384" spans="1:49" s="27" customFormat="1" x14ac:dyDescent="0.25">
      <c r="A384" s="134">
        <v>388</v>
      </c>
      <c r="B384" s="27" t="s">
        <v>1146</v>
      </c>
      <c r="C384" s="27" t="s">
        <v>2108</v>
      </c>
      <c r="D384" s="27" t="s">
        <v>141</v>
      </c>
      <c r="E384" s="400">
        <v>1094915912</v>
      </c>
      <c r="F384" s="27" t="s">
        <v>142</v>
      </c>
      <c r="G384" s="27" t="s">
        <v>143</v>
      </c>
      <c r="H384" s="136">
        <v>45323</v>
      </c>
      <c r="I384" s="136"/>
      <c r="J384" s="27" t="s">
        <v>144</v>
      </c>
      <c r="K384" s="138">
        <v>2000000</v>
      </c>
      <c r="L384" s="27" t="s">
        <v>145</v>
      </c>
      <c r="M384" s="27" t="s">
        <v>262</v>
      </c>
      <c r="N384" s="27" t="s">
        <v>145</v>
      </c>
      <c r="O384" s="213" t="s">
        <v>2109</v>
      </c>
      <c r="Q384" s="27" t="s">
        <v>148</v>
      </c>
      <c r="R384" s="27" t="s">
        <v>1287</v>
      </c>
      <c r="S384" s="27" t="s">
        <v>150</v>
      </c>
      <c r="T384" s="27">
        <v>845355403</v>
      </c>
      <c r="U384" s="197">
        <v>33162</v>
      </c>
      <c r="V384" s="27" t="s">
        <v>2110</v>
      </c>
      <c r="W384" s="27">
        <v>3212326550</v>
      </c>
      <c r="X384" s="27" t="s">
        <v>154</v>
      </c>
      <c r="Y384" s="27" t="s">
        <v>155</v>
      </c>
      <c r="Z384" s="27" t="s">
        <v>282</v>
      </c>
      <c r="AA384" s="27" t="s">
        <v>302</v>
      </c>
      <c r="AB384" s="27" t="s">
        <v>259</v>
      </c>
      <c r="AC384" s="27" t="s">
        <v>159</v>
      </c>
      <c r="AD384" s="27" t="s">
        <v>160</v>
      </c>
      <c r="AE384" s="27" t="s">
        <v>1048</v>
      </c>
      <c r="AF384" s="27" t="s">
        <v>162</v>
      </c>
      <c r="AG384" s="27" t="s">
        <v>177</v>
      </c>
      <c r="AH384" s="27" t="s">
        <v>145</v>
      </c>
      <c r="AI384" s="179">
        <v>1500000</v>
      </c>
      <c r="AJ384" s="27" t="s">
        <v>164</v>
      </c>
      <c r="AK384" s="27" t="s">
        <v>214</v>
      </c>
      <c r="AL384" s="27" t="s">
        <v>214</v>
      </c>
      <c r="AM384" s="27" t="s">
        <v>164</v>
      </c>
      <c r="AN384" s="27" t="s">
        <v>214</v>
      </c>
      <c r="AO384" s="27" t="s">
        <v>214</v>
      </c>
      <c r="AP384" s="136"/>
      <c r="AT384" s="27" t="str">
        <f t="shared" si="11"/>
        <v>Activo</v>
      </c>
      <c r="AU384" s="27" cm="1">
        <f t="array" aca="1" ref="AU384" ca="1">_xlfn.IFS(AT384="","",AT384="Activo",TODAY()-H384,AT384="Inactivo",AP384-H384)</f>
        <v>137</v>
      </c>
      <c r="AV384" s="180">
        <f ca="1">IF(ISBLANK(Tabla1[[#This Row],[Fecha Nacimento (dd/mm/yyyy)]]),"",YEARFRAC(Tabla1[[#This Row],[Fecha Nacimento (dd/mm/yyyy)]],TODAY()))</f>
        <v>33.669444444444444</v>
      </c>
      <c r="AW384" s="141"/>
    </row>
    <row r="385" spans="1:49" s="27" customFormat="1" x14ac:dyDescent="0.25">
      <c r="A385" s="134">
        <v>389</v>
      </c>
      <c r="B385" s="27" t="s">
        <v>2111</v>
      </c>
      <c r="C385" s="27" t="s">
        <v>2112</v>
      </c>
      <c r="D385" s="27" t="s">
        <v>141</v>
      </c>
      <c r="E385" s="400">
        <v>1094885241</v>
      </c>
      <c r="F385" s="27" t="s">
        <v>142</v>
      </c>
      <c r="G385" s="27" t="s">
        <v>143</v>
      </c>
      <c r="H385" s="136">
        <v>45323</v>
      </c>
      <c r="I385" s="136"/>
      <c r="J385" s="27" t="s">
        <v>144</v>
      </c>
      <c r="K385" s="138">
        <v>1300000</v>
      </c>
      <c r="L385" s="27" t="s">
        <v>145</v>
      </c>
      <c r="M385" s="27" t="s">
        <v>262</v>
      </c>
      <c r="N385" s="27" t="s">
        <v>145</v>
      </c>
      <c r="O385" s="213" t="s">
        <v>2113</v>
      </c>
      <c r="Q385" s="27" t="s">
        <v>148</v>
      </c>
      <c r="R385" s="27" t="s">
        <v>149</v>
      </c>
      <c r="S385" s="27" t="s">
        <v>150</v>
      </c>
      <c r="T385" s="27">
        <v>3104478917</v>
      </c>
      <c r="U385" s="197">
        <v>31742</v>
      </c>
      <c r="V385" s="27" t="s">
        <v>2114</v>
      </c>
      <c r="W385" s="27">
        <v>3104478917</v>
      </c>
      <c r="X385" s="27" t="s">
        <v>154</v>
      </c>
      <c r="Y385" s="27" t="s">
        <v>155</v>
      </c>
      <c r="Z385" s="27" t="s">
        <v>2115</v>
      </c>
      <c r="AA385" s="27" t="s">
        <v>302</v>
      </c>
      <c r="AB385" s="27" t="s">
        <v>175</v>
      </c>
      <c r="AC385" s="27" t="s">
        <v>160</v>
      </c>
      <c r="AD385" s="27" t="s">
        <v>160</v>
      </c>
      <c r="AE385" s="27" t="s">
        <v>1048</v>
      </c>
      <c r="AF385" s="27" t="s">
        <v>162</v>
      </c>
      <c r="AG385" s="27" t="s">
        <v>177</v>
      </c>
      <c r="AH385" s="27" t="s">
        <v>145</v>
      </c>
      <c r="AI385" s="179">
        <v>150000</v>
      </c>
      <c r="AJ385" s="27" t="s">
        <v>145</v>
      </c>
      <c r="AK385" s="27" t="s">
        <v>1140</v>
      </c>
      <c r="AL385" s="27" t="s">
        <v>214</v>
      </c>
      <c r="AM385" s="27" t="s">
        <v>145</v>
      </c>
      <c r="AN385" s="27" t="s">
        <v>1140</v>
      </c>
      <c r="AO385" s="27" t="s">
        <v>164</v>
      </c>
      <c r="AP385" s="136"/>
      <c r="AT385" s="27" t="str">
        <f t="shared" si="11"/>
        <v>Activo</v>
      </c>
      <c r="AU385" s="27" cm="1">
        <f t="array" aca="1" ref="AU385" ca="1">_xlfn.IFS(AT385="","",AT385="Activo",TODAY()-H385,AT385="Inactivo",AP385-H385)</f>
        <v>137</v>
      </c>
      <c r="AV385" s="180">
        <f ca="1">IF(ISBLANK(Tabla1[[#This Row],[Fecha Nacimento (dd/mm/yyyy)]]),"",YEARFRAC(Tabla1[[#This Row],[Fecha Nacimento (dd/mm/yyyy)]],TODAY()))</f>
        <v>37.55833333333333</v>
      </c>
      <c r="AW385" s="141"/>
    </row>
    <row r="386" spans="1:49" s="27" customFormat="1" x14ac:dyDescent="0.25">
      <c r="A386" s="134">
        <v>390</v>
      </c>
      <c r="B386" s="27" t="s">
        <v>2116</v>
      </c>
      <c r="C386" s="27" t="s">
        <v>2117</v>
      </c>
      <c r="D386" s="27" t="s">
        <v>141</v>
      </c>
      <c r="E386" s="400">
        <v>1094939511</v>
      </c>
      <c r="F386" s="27" t="s">
        <v>142</v>
      </c>
      <c r="G386" s="27" t="s">
        <v>143</v>
      </c>
      <c r="H386" s="136">
        <v>44046</v>
      </c>
      <c r="I386" s="136"/>
      <c r="J386" s="27" t="s">
        <v>144</v>
      </c>
      <c r="K386" s="138">
        <v>1550000</v>
      </c>
      <c r="L386" s="27" t="s">
        <v>145</v>
      </c>
      <c r="M386" s="27" t="s">
        <v>203</v>
      </c>
      <c r="N386" s="27" t="s">
        <v>145</v>
      </c>
      <c r="O386" s="215" t="s">
        <v>2118</v>
      </c>
      <c r="Q386" s="27" t="s">
        <v>148</v>
      </c>
      <c r="R386" s="27" t="s">
        <v>149</v>
      </c>
      <c r="S386" s="27" t="s">
        <v>150</v>
      </c>
      <c r="T386" s="214">
        <v>86771637401</v>
      </c>
      <c r="U386" s="197">
        <v>34341</v>
      </c>
      <c r="V386" s="27" t="s">
        <v>2119</v>
      </c>
      <c r="W386" s="27">
        <v>3217798240</v>
      </c>
      <c r="X386" s="27" t="s">
        <v>154</v>
      </c>
      <c r="Y386" s="27" t="s">
        <v>155</v>
      </c>
      <c r="Z386" s="27" t="s">
        <v>2120</v>
      </c>
      <c r="AA386" s="27" t="s">
        <v>302</v>
      </c>
      <c r="AB386" s="27" t="s">
        <v>158</v>
      </c>
      <c r="AC386" s="27" t="s">
        <v>160</v>
      </c>
      <c r="AD386" s="27" t="s">
        <v>160</v>
      </c>
      <c r="AE386" s="27" t="s">
        <v>2068</v>
      </c>
      <c r="AF386" s="27" t="s">
        <v>176</v>
      </c>
      <c r="AG386" s="27" t="s">
        <v>177</v>
      </c>
      <c r="AH386" s="27" t="s">
        <v>164</v>
      </c>
      <c r="AI386" s="179"/>
      <c r="AJ386" s="27" t="s">
        <v>164</v>
      </c>
      <c r="AK386" s="27" t="s">
        <v>214</v>
      </c>
      <c r="AL386" s="27" t="s">
        <v>214</v>
      </c>
      <c r="AM386" s="27" t="s">
        <v>164</v>
      </c>
      <c r="AN386" s="27" t="s">
        <v>214</v>
      </c>
      <c r="AO386" s="27" t="s">
        <v>214</v>
      </c>
      <c r="AP386" s="136"/>
      <c r="AT386" s="27" t="str">
        <f t="shared" si="11"/>
        <v>Activo</v>
      </c>
      <c r="AU386" s="27" cm="1">
        <f t="array" aca="1" ref="AU386" ca="1">_xlfn.IFS(AT386="","",AT386="Activo",TODAY()-H386,AT386="Inactivo",AP386-H386)</f>
        <v>1414</v>
      </c>
      <c r="AV386" s="180">
        <f ca="1">IF(ISBLANK(Tabla1[[#This Row],[Fecha Nacimento (dd/mm/yyyy)]]),"",YEARFRAC(Tabla1[[#This Row],[Fecha Nacimento (dd/mm/yyyy)]],TODAY()))</f>
        <v>30.444444444444443</v>
      </c>
      <c r="AW386" s="141"/>
    </row>
    <row r="387" spans="1:49" s="27" customFormat="1" x14ac:dyDescent="0.25">
      <c r="A387" s="134">
        <v>391</v>
      </c>
      <c r="B387" s="27" t="s">
        <v>2121</v>
      </c>
      <c r="C387" s="27" t="s">
        <v>2122</v>
      </c>
      <c r="D387" s="27" t="s">
        <v>141</v>
      </c>
      <c r="E387" s="400">
        <v>1097721777</v>
      </c>
      <c r="F387" s="27" t="s">
        <v>142</v>
      </c>
      <c r="G387" s="27" t="s">
        <v>143</v>
      </c>
      <c r="H387" s="136">
        <v>44844</v>
      </c>
      <c r="I387" s="136"/>
      <c r="J387" s="27" t="s">
        <v>144</v>
      </c>
      <c r="K387" s="138">
        <v>1300000</v>
      </c>
      <c r="L387" s="27" t="s">
        <v>145</v>
      </c>
      <c r="M387" s="27" t="s">
        <v>203</v>
      </c>
      <c r="N387" s="27" t="s">
        <v>145</v>
      </c>
      <c r="O387" s="139" t="s">
        <v>2123</v>
      </c>
      <c r="Q387" s="27" t="s">
        <v>148</v>
      </c>
      <c r="R387" s="27" t="s">
        <v>149</v>
      </c>
      <c r="S387" s="27" t="s">
        <v>150</v>
      </c>
      <c r="T387" s="27">
        <v>76100001066</v>
      </c>
      <c r="U387" s="197">
        <v>35768</v>
      </c>
      <c r="V387" s="27" t="s">
        <v>2124</v>
      </c>
      <c r="W387" s="27">
        <v>3215875433</v>
      </c>
      <c r="X387" s="27" t="s">
        <v>154</v>
      </c>
      <c r="Y387" s="27" t="s">
        <v>1817</v>
      </c>
      <c r="Z387" s="27" t="s">
        <v>2125</v>
      </c>
      <c r="AA387" s="27" t="s">
        <v>1077</v>
      </c>
      <c r="AB387" s="27" t="s">
        <v>158</v>
      </c>
      <c r="AC387" s="27" t="s">
        <v>271</v>
      </c>
      <c r="AD387" s="27" t="s">
        <v>271</v>
      </c>
      <c r="AE387" s="27" t="s">
        <v>2068</v>
      </c>
      <c r="AF387" s="27" t="s">
        <v>162</v>
      </c>
      <c r="AG387" s="27" t="s">
        <v>177</v>
      </c>
      <c r="AH387" s="27" t="s">
        <v>164</v>
      </c>
      <c r="AI387" s="179"/>
      <c r="AJ387" s="27" t="s">
        <v>164</v>
      </c>
      <c r="AK387" s="27" t="s">
        <v>214</v>
      </c>
      <c r="AL387" s="27" t="s">
        <v>214</v>
      </c>
      <c r="AM387" s="27" t="s">
        <v>164</v>
      </c>
      <c r="AN387" s="27" t="s">
        <v>214</v>
      </c>
      <c r="AO387" s="27" t="s">
        <v>214</v>
      </c>
      <c r="AP387" s="136"/>
      <c r="AT387" s="27" t="str">
        <f t="shared" si="11"/>
        <v>Activo</v>
      </c>
      <c r="AU387" s="27" cm="1">
        <f t="array" aca="1" ref="AU387" ca="1">_xlfn.IFS(AT387="","",AT387="Activo",TODAY()-H387,AT387="Inactivo",AP387-H387)</f>
        <v>616</v>
      </c>
      <c r="AV387" s="180">
        <f ca="1">IF(ISBLANK(Tabla1[[#This Row],[Fecha Nacimento (dd/mm/yyyy)]]),"",YEARFRAC(Tabla1[[#This Row],[Fecha Nacimento (dd/mm/yyyy)]],TODAY()))</f>
        <v>26.536111111111111</v>
      </c>
      <c r="AW387" s="141"/>
    </row>
    <row r="388" spans="1:49" s="27" customFormat="1" x14ac:dyDescent="0.25">
      <c r="A388" s="134">
        <v>392</v>
      </c>
      <c r="B388" s="27" t="s">
        <v>2126</v>
      </c>
      <c r="C388" s="27" t="s">
        <v>2127</v>
      </c>
      <c r="D388" s="27" t="s">
        <v>141</v>
      </c>
      <c r="E388" s="400">
        <v>1220463745</v>
      </c>
      <c r="F388" s="27" t="s">
        <v>142</v>
      </c>
      <c r="G388" s="27" t="s">
        <v>143</v>
      </c>
      <c r="H388" s="136">
        <v>44236</v>
      </c>
      <c r="I388" s="136"/>
      <c r="J388" s="27" t="s">
        <v>144</v>
      </c>
      <c r="K388" s="138">
        <v>1300000</v>
      </c>
      <c r="L388" s="27" t="s">
        <v>145</v>
      </c>
      <c r="M388" s="27" t="s">
        <v>262</v>
      </c>
      <c r="N388" s="27" t="s">
        <v>145</v>
      </c>
      <c r="O388" s="213" t="s">
        <v>2128</v>
      </c>
      <c r="Q388" s="27" t="s">
        <v>148</v>
      </c>
      <c r="R388" s="27" t="s">
        <v>149</v>
      </c>
      <c r="S388" s="27" t="s">
        <v>150</v>
      </c>
      <c r="T388" s="27">
        <v>68202305125</v>
      </c>
      <c r="U388" s="197">
        <v>34506</v>
      </c>
      <c r="V388" s="27" t="s">
        <v>2129</v>
      </c>
      <c r="W388" s="27">
        <v>3013336832</v>
      </c>
      <c r="X388" s="27" t="s">
        <v>154</v>
      </c>
      <c r="Y388" s="27" t="s">
        <v>302</v>
      </c>
      <c r="Z388" s="27" t="s">
        <v>2130</v>
      </c>
      <c r="AA388" s="27" t="s">
        <v>302</v>
      </c>
      <c r="AB388" s="27" t="s">
        <v>259</v>
      </c>
      <c r="AC388" s="27" t="s">
        <v>271</v>
      </c>
      <c r="AD388" s="27" t="s">
        <v>271</v>
      </c>
      <c r="AE388" s="27" t="s">
        <v>2068</v>
      </c>
      <c r="AF388" s="27" t="s">
        <v>176</v>
      </c>
      <c r="AG388" s="27" t="s">
        <v>177</v>
      </c>
      <c r="AH388" s="27" t="s">
        <v>164</v>
      </c>
      <c r="AI388" s="179"/>
      <c r="AJ388" s="27" t="s">
        <v>164</v>
      </c>
      <c r="AK388" s="27" t="s">
        <v>214</v>
      </c>
      <c r="AL388" s="27" t="s">
        <v>214</v>
      </c>
      <c r="AM388" s="27" t="s">
        <v>164</v>
      </c>
      <c r="AN388" s="27" t="s">
        <v>214</v>
      </c>
      <c r="AO388" s="27" t="s">
        <v>214</v>
      </c>
      <c r="AP388" s="136"/>
      <c r="AT388" s="27" t="str">
        <f t="shared" si="11"/>
        <v>Activo</v>
      </c>
      <c r="AU388" s="27" cm="1">
        <f t="array" aca="1" ref="AU388" ca="1">_xlfn.IFS(AT388="","",AT388="Activo",TODAY()-H388,AT388="Inactivo",AP388-H388)</f>
        <v>1224</v>
      </c>
      <c r="AV388" s="180">
        <f ca="1">IF(ISBLANK(Tabla1[[#This Row],[Fecha Nacimento (dd/mm/yyyy)]]),"",YEARFRAC(Tabla1[[#This Row],[Fecha Nacimento (dd/mm/yyyy)]],TODAY()))</f>
        <v>29.988888888888887</v>
      </c>
      <c r="AW388" s="141"/>
    </row>
    <row r="389" spans="1:49" s="27" customFormat="1" x14ac:dyDescent="0.25">
      <c r="A389" s="134">
        <v>393</v>
      </c>
      <c r="B389" s="27" t="s">
        <v>2131</v>
      </c>
      <c r="C389" s="27" t="s">
        <v>2132</v>
      </c>
      <c r="D389" s="27" t="s">
        <v>141</v>
      </c>
      <c r="E389" s="400">
        <v>1094933909</v>
      </c>
      <c r="F389" s="27" t="s">
        <v>142</v>
      </c>
      <c r="G389" s="27" t="s">
        <v>143</v>
      </c>
      <c r="H389" s="136">
        <v>43512</v>
      </c>
      <c r="I389" s="136"/>
      <c r="J389" s="27" t="s">
        <v>144</v>
      </c>
      <c r="K389" s="138">
        <v>1700000</v>
      </c>
      <c r="L389" s="27" t="s">
        <v>164</v>
      </c>
      <c r="M389" s="27" t="s">
        <v>262</v>
      </c>
      <c r="N389" s="27" t="s">
        <v>145</v>
      </c>
      <c r="O389" s="139" t="s">
        <v>2133</v>
      </c>
      <c r="Q389" s="27" t="s">
        <v>148</v>
      </c>
      <c r="R389" s="27" t="s">
        <v>149</v>
      </c>
      <c r="S389" s="27" t="s">
        <v>150</v>
      </c>
      <c r="T389" s="27">
        <v>75655452435</v>
      </c>
      <c r="U389" s="197">
        <v>34054</v>
      </c>
      <c r="V389" s="27" t="s">
        <v>2134</v>
      </c>
      <c r="W389" s="27">
        <v>3003151020</v>
      </c>
      <c r="X389" s="27" t="s">
        <v>154</v>
      </c>
      <c r="Y389" s="27" t="s">
        <v>302</v>
      </c>
      <c r="Z389" s="27" t="s">
        <v>25</v>
      </c>
      <c r="AA389" s="27" t="s">
        <v>302</v>
      </c>
      <c r="AB389" s="27" t="s">
        <v>259</v>
      </c>
      <c r="AC389" s="27" t="s">
        <v>271</v>
      </c>
      <c r="AD389" s="27" t="s">
        <v>271</v>
      </c>
      <c r="AE389" s="27" t="s">
        <v>2068</v>
      </c>
      <c r="AF389" s="27" t="s">
        <v>176</v>
      </c>
      <c r="AG389" s="27" t="s">
        <v>163</v>
      </c>
      <c r="AH389" s="27" t="s">
        <v>164</v>
      </c>
      <c r="AI389" s="179"/>
      <c r="AJ389" s="27" t="s">
        <v>164</v>
      </c>
      <c r="AK389" s="27" t="s">
        <v>214</v>
      </c>
      <c r="AL389" s="27" t="s">
        <v>214</v>
      </c>
      <c r="AM389" s="27" t="s">
        <v>164</v>
      </c>
      <c r="AN389" s="27" t="s">
        <v>214</v>
      </c>
      <c r="AO389" s="27" t="s">
        <v>214</v>
      </c>
      <c r="AP389" s="136"/>
      <c r="AT389" s="27" t="str">
        <f t="shared" si="11"/>
        <v>Activo</v>
      </c>
      <c r="AU389" s="27" cm="1">
        <f t="array" aca="1" ref="AU389" ca="1">_xlfn.IFS(AT389="","",AT389="Activo",TODAY()-H389,AT389="Inactivo",AP389-H389)</f>
        <v>1948</v>
      </c>
      <c r="AV389" s="180">
        <f ca="1">IF(ISBLANK(Tabla1[[#This Row],[Fecha Nacimento (dd/mm/yyyy)]]),"",YEARFRAC(Tabla1[[#This Row],[Fecha Nacimento (dd/mm/yyyy)]],TODAY()))</f>
        <v>31.225000000000001</v>
      </c>
      <c r="AW389" s="141"/>
    </row>
    <row r="390" spans="1:49" s="27" customFormat="1" x14ac:dyDescent="0.25">
      <c r="A390" s="134">
        <v>394</v>
      </c>
      <c r="B390" s="27" t="s">
        <v>2135</v>
      </c>
      <c r="C390" s="27" t="s">
        <v>2136</v>
      </c>
      <c r="D390" s="27" t="s">
        <v>141</v>
      </c>
      <c r="E390" s="400">
        <v>1070011647</v>
      </c>
      <c r="F390" s="27" t="s">
        <v>142</v>
      </c>
      <c r="G390" s="27" t="s">
        <v>143</v>
      </c>
      <c r="H390" s="136">
        <v>44166</v>
      </c>
      <c r="I390" s="136"/>
      <c r="J390" s="27" t="s">
        <v>144</v>
      </c>
      <c r="K390" s="138">
        <v>1600000</v>
      </c>
      <c r="L390" s="27" t="s">
        <v>164</v>
      </c>
      <c r="M390" s="27" t="s">
        <v>262</v>
      </c>
      <c r="N390" s="27" t="s">
        <v>145</v>
      </c>
      <c r="O390" t="s">
        <v>2137</v>
      </c>
      <c r="Q390" s="27" t="s">
        <v>148</v>
      </c>
      <c r="R390" s="27" t="s">
        <v>149</v>
      </c>
      <c r="S390" s="27" t="s">
        <v>150</v>
      </c>
      <c r="T390" s="27">
        <v>68234264331</v>
      </c>
      <c r="U390" s="197">
        <v>33764</v>
      </c>
      <c r="V390" s="27" t="s">
        <v>2134</v>
      </c>
      <c r="W390" s="27">
        <v>3013338287</v>
      </c>
      <c r="X390" s="27" t="s">
        <v>154</v>
      </c>
      <c r="Y390" s="27" t="s">
        <v>302</v>
      </c>
      <c r="Z390" s="27" t="s">
        <v>2138</v>
      </c>
      <c r="AA390" s="27" t="s">
        <v>302</v>
      </c>
      <c r="AB390" s="27" t="s">
        <v>259</v>
      </c>
      <c r="AC390" s="27" t="s">
        <v>271</v>
      </c>
      <c r="AD390" s="27" t="s">
        <v>271</v>
      </c>
      <c r="AE390" s="27" t="s">
        <v>2068</v>
      </c>
      <c r="AF390" s="27" t="s">
        <v>176</v>
      </c>
      <c r="AG390" s="27" t="s">
        <v>163</v>
      </c>
      <c r="AH390" s="27" t="s">
        <v>164</v>
      </c>
      <c r="AI390" s="179"/>
      <c r="AJ390" s="27" t="s">
        <v>164</v>
      </c>
      <c r="AK390" s="27" t="s">
        <v>214</v>
      </c>
      <c r="AL390" s="27" t="s">
        <v>214</v>
      </c>
      <c r="AM390" s="27" t="s">
        <v>164</v>
      </c>
      <c r="AN390" s="27" t="s">
        <v>214</v>
      </c>
      <c r="AO390" s="27" t="s">
        <v>214</v>
      </c>
      <c r="AP390" s="136"/>
      <c r="AT390" s="27" t="str">
        <f t="shared" si="11"/>
        <v>Activo</v>
      </c>
      <c r="AU390" s="27" cm="1">
        <f t="array" aca="1" ref="AU390" ca="1">_xlfn.IFS(AT390="","",AT390="Activo",TODAY()-H390,AT390="Inactivo",AP390-H390)</f>
        <v>1294</v>
      </c>
      <c r="AV390" s="180">
        <f ca="1">IF(ISBLANK(Tabla1[[#This Row],[Fecha Nacimento (dd/mm/yyyy)]]),"",YEARFRAC(Tabla1[[#This Row],[Fecha Nacimento (dd/mm/yyyy)]],TODAY()))</f>
        <v>32.022222222222226</v>
      </c>
      <c r="AW390" s="141"/>
    </row>
    <row r="391" spans="1:49" s="27" customFormat="1" x14ac:dyDescent="0.25">
      <c r="A391" s="134">
        <v>395</v>
      </c>
      <c r="B391" s="27" t="s">
        <v>2139</v>
      </c>
      <c r="C391" s="27" t="s">
        <v>1086</v>
      </c>
      <c r="D391" s="27" t="s">
        <v>141</v>
      </c>
      <c r="E391" s="400">
        <v>33991990</v>
      </c>
      <c r="F391" s="27" t="s">
        <v>142</v>
      </c>
      <c r="G391" s="27" t="s">
        <v>143</v>
      </c>
      <c r="H391" s="136">
        <v>45048</v>
      </c>
      <c r="I391" s="136"/>
      <c r="J391" s="27" t="s">
        <v>144</v>
      </c>
      <c r="K391" s="138">
        <v>1300000</v>
      </c>
      <c r="L391" s="27" t="s">
        <v>145</v>
      </c>
      <c r="M391" s="27" t="s">
        <v>203</v>
      </c>
      <c r="N391" s="27" t="s">
        <v>145</v>
      </c>
      <c r="O391" s="139" t="s">
        <v>2140</v>
      </c>
      <c r="Q391" s="27" t="s">
        <v>148</v>
      </c>
      <c r="R391" s="27" t="s">
        <v>149</v>
      </c>
      <c r="S391" s="27" t="s">
        <v>150</v>
      </c>
      <c r="T391" s="27">
        <v>75619009029</v>
      </c>
      <c r="U391" s="197">
        <v>26788</v>
      </c>
      <c r="V391" s="27" t="s">
        <v>2141</v>
      </c>
      <c r="W391" s="27">
        <v>3103949307</v>
      </c>
      <c r="X391" s="27" t="s">
        <v>154</v>
      </c>
      <c r="Y391" s="27" t="s">
        <v>1817</v>
      </c>
      <c r="Z391" s="27" t="s">
        <v>2107</v>
      </c>
      <c r="AA391" s="27" t="s">
        <v>1077</v>
      </c>
      <c r="AB391" s="27" t="s">
        <v>158</v>
      </c>
      <c r="AC391" s="27" t="s">
        <v>271</v>
      </c>
      <c r="AD391" s="27" t="s">
        <v>271</v>
      </c>
      <c r="AE391" s="27" t="s">
        <v>2068</v>
      </c>
      <c r="AF391" s="27" t="s">
        <v>162</v>
      </c>
      <c r="AG391" s="27" t="s">
        <v>177</v>
      </c>
      <c r="AH391" s="27" t="s">
        <v>164</v>
      </c>
      <c r="AI391" s="179"/>
      <c r="AJ391" s="27" t="s">
        <v>164</v>
      </c>
      <c r="AK391" s="27" t="s">
        <v>214</v>
      </c>
      <c r="AL391" s="27" t="s">
        <v>214</v>
      </c>
      <c r="AM391" s="27" t="s">
        <v>164</v>
      </c>
      <c r="AN391" s="27" t="s">
        <v>214</v>
      </c>
      <c r="AO391" s="27" t="s">
        <v>214</v>
      </c>
      <c r="AP391" s="136"/>
      <c r="AT391" s="27" t="str">
        <f t="shared" si="11"/>
        <v>Activo</v>
      </c>
      <c r="AU391" s="27" cm="1">
        <f t="array" aca="1" ref="AU391" ca="1">_xlfn.IFS(AT391="","",AT391="Activo",TODAY()-H391,AT391="Inactivo",AP391-H391)</f>
        <v>412</v>
      </c>
      <c r="AV391" s="180">
        <f ca="1">IF(ISBLANK(Tabla1[[#This Row],[Fecha Nacimento (dd/mm/yyyy)]]),"",YEARFRAC(Tabla1[[#This Row],[Fecha Nacimento (dd/mm/yyyy)]],TODAY()))</f>
        <v>51.119444444444447</v>
      </c>
      <c r="AW391" s="141"/>
    </row>
    <row r="392" spans="1:49" s="27" customFormat="1" x14ac:dyDescent="0.25">
      <c r="A392" s="134">
        <v>396</v>
      </c>
      <c r="B392" s="27" t="s">
        <v>2142</v>
      </c>
      <c r="C392" s="27" t="s">
        <v>2143</v>
      </c>
      <c r="D392" s="27" t="s">
        <v>141</v>
      </c>
      <c r="E392" s="400">
        <v>9809811</v>
      </c>
      <c r="F392" s="27" t="s">
        <v>142</v>
      </c>
      <c r="G392" s="27" t="s">
        <v>143</v>
      </c>
      <c r="H392" s="136">
        <v>45323</v>
      </c>
      <c r="I392" s="136"/>
      <c r="J392" s="27" t="s">
        <v>144</v>
      </c>
      <c r="K392" s="138">
        <v>1300000</v>
      </c>
      <c r="L392" s="27" t="s">
        <v>145</v>
      </c>
      <c r="M392" s="27" t="s">
        <v>355</v>
      </c>
      <c r="N392" s="27" t="s">
        <v>145</v>
      </c>
      <c r="O392" s="139" t="s">
        <v>2144</v>
      </c>
      <c r="Q392" s="27" t="s">
        <v>148</v>
      </c>
      <c r="R392" s="27" t="s">
        <v>149</v>
      </c>
      <c r="S392" s="27" t="s">
        <v>150</v>
      </c>
      <c r="T392" s="28" t="s">
        <v>2145</v>
      </c>
      <c r="U392" s="197">
        <v>28635</v>
      </c>
      <c r="V392" s="27" t="s">
        <v>2146</v>
      </c>
      <c r="W392" s="27">
        <v>3136301918</v>
      </c>
      <c r="X392" s="27" t="s">
        <v>154</v>
      </c>
      <c r="Y392" s="27" t="s">
        <v>302</v>
      </c>
      <c r="Z392" s="27" t="s">
        <v>2147</v>
      </c>
      <c r="AA392" s="27" t="s">
        <v>302</v>
      </c>
      <c r="AB392" s="27" t="s">
        <v>175</v>
      </c>
      <c r="AC392" s="27" t="s">
        <v>271</v>
      </c>
      <c r="AD392" s="27" t="s">
        <v>271</v>
      </c>
      <c r="AE392" s="27" t="s">
        <v>2068</v>
      </c>
      <c r="AF392" s="27" t="s">
        <v>176</v>
      </c>
      <c r="AG392" s="27" t="s">
        <v>177</v>
      </c>
      <c r="AH392" s="27" t="s">
        <v>164</v>
      </c>
      <c r="AI392" s="179"/>
      <c r="AJ392" s="27" t="s">
        <v>164</v>
      </c>
      <c r="AK392" s="27" t="s">
        <v>214</v>
      </c>
      <c r="AL392" s="27" t="s">
        <v>214</v>
      </c>
      <c r="AM392" s="27" t="s">
        <v>164</v>
      </c>
      <c r="AN392" s="27" t="s">
        <v>214</v>
      </c>
      <c r="AO392" s="27" t="s">
        <v>214</v>
      </c>
      <c r="AP392" s="136"/>
      <c r="AT392" s="27" t="str">
        <f t="shared" si="11"/>
        <v>Activo</v>
      </c>
      <c r="AU392" s="27" cm="1">
        <f t="array" aca="1" ref="AU392" ca="1">_xlfn.IFS(AT392="","",AT392="Activo",TODAY()-H392,AT392="Inactivo",AP392-H392)</f>
        <v>137</v>
      </c>
      <c r="AV392" s="180">
        <f ca="1">IF(ISBLANK(Tabla1[[#This Row],[Fecha Nacimento (dd/mm/yyyy)]]),"",YEARFRAC(Tabla1[[#This Row],[Fecha Nacimento (dd/mm/yyyy)]],TODAY()))</f>
        <v>46.06111111111111</v>
      </c>
      <c r="AW392" s="141"/>
    </row>
    <row r="393" spans="1:49" s="27" customFormat="1" x14ac:dyDescent="0.25">
      <c r="A393" s="134">
        <v>397</v>
      </c>
      <c r="B393" s="27" t="s">
        <v>2148</v>
      </c>
      <c r="C393" s="27" t="s">
        <v>2149</v>
      </c>
      <c r="D393" s="27" t="s">
        <v>141</v>
      </c>
      <c r="E393" s="400">
        <v>31941796</v>
      </c>
      <c r="F393" s="27" t="s">
        <v>142</v>
      </c>
      <c r="G393" s="27" t="s">
        <v>143</v>
      </c>
      <c r="H393" s="136">
        <v>45231</v>
      </c>
      <c r="I393" s="136"/>
      <c r="J393" s="27" t="s">
        <v>144</v>
      </c>
      <c r="K393" s="138">
        <v>1300000</v>
      </c>
      <c r="L393" s="27" t="s">
        <v>145</v>
      </c>
      <c r="M393" s="27" t="s">
        <v>262</v>
      </c>
      <c r="N393" s="27" t="s">
        <v>145</v>
      </c>
      <c r="O393" s="213" t="s">
        <v>2150</v>
      </c>
      <c r="Q393" s="27" t="s">
        <v>148</v>
      </c>
      <c r="R393" s="27" t="s">
        <v>168</v>
      </c>
      <c r="S393" s="27" t="s">
        <v>150</v>
      </c>
      <c r="T393" s="180">
        <v>550488442408438</v>
      </c>
      <c r="U393" s="197"/>
      <c r="V393" s="27" t="s">
        <v>2151</v>
      </c>
      <c r="W393" s="27">
        <v>3214495328</v>
      </c>
      <c r="X393" s="27" t="s">
        <v>1466</v>
      </c>
      <c r="Y393" s="27" t="s">
        <v>2152</v>
      </c>
      <c r="Z393" s="27" t="s">
        <v>19</v>
      </c>
      <c r="AA393" s="27" t="s">
        <v>174</v>
      </c>
      <c r="AB393" s="27" t="s">
        <v>158</v>
      </c>
      <c r="AC393" s="27" t="s">
        <v>159</v>
      </c>
      <c r="AD393" s="27" t="s">
        <v>160</v>
      </c>
      <c r="AE393" s="27" t="s">
        <v>161</v>
      </c>
      <c r="AF393" s="27" t="s">
        <v>162</v>
      </c>
      <c r="AI393" s="179"/>
      <c r="AP393" s="136"/>
      <c r="AT393" s="27" t="str">
        <f t="shared" si="11"/>
        <v>Activo</v>
      </c>
      <c r="AU393" s="27" cm="1">
        <f t="array" aca="1" ref="AU393" ca="1">_xlfn.IFS(AT393="","",AT393="Activo",TODAY()-H393,AT393="Inactivo",AP393-H393)</f>
        <v>229</v>
      </c>
      <c r="AV393" s="180" t="str">
        <f ca="1">IF(ISBLANK(Tabla1[[#This Row],[Fecha Nacimento (dd/mm/yyyy)]]),"",YEARFRAC(Tabla1[[#This Row],[Fecha Nacimento (dd/mm/yyyy)]],TODAY()))</f>
        <v/>
      </c>
      <c r="AW393" s="141"/>
    </row>
    <row r="394" spans="1:49" s="27" customFormat="1" x14ac:dyDescent="0.25">
      <c r="A394" s="134">
        <v>398</v>
      </c>
      <c r="B394" s="27" t="s">
        <v>2153</v>
      </c>
      <c r="C394" s="27" t="s">
        <v>2154</v>
      </c>
      <c r="D394" s="27" t="s">
        <v>141</v>
      </c>
      <c r="E394" s="400">
        <v>80237821</v>
      </c>
      <c r="F394" s="27" t="s">
        <v>142</v>
      </c>
      <c r="G394" s="27" t="s">
        <v>143</v>
      </c>
      <c r="H394" s="136">
        <v>45307</v>
      </c>
      <c r="I394" s="136"/>
      <c r="J394" s="27" t="s">
        <v>144</v>
      </c>
      <c r="K394" s="138">
        <v>1300000</v>
      </c>
      <c r="L394" s="27" t="s">
        <v>145</v>
      </c>
      <c r="M394" s="27" t="s">
        <v>262</v>
      </c>
      <c r="N394" s="27" t="s">
        <v>145</v>
      </c>
      <c r="O394" s="147" t="s">
        <v>1506</v>
      </c>
      <c r="Q394" s="27" t="s">
        <v>148</v>
      </c>
      <c r="R394" s="27" t="s">
        <v>168</v>
      </c>
      <c r="S394" s="27" t="s">
        <v>150</v>
      </c>
      <c r="T394" s="28" t="s">
        <v>2155</v>
      </c>
      <c r="U394" s="197">
        <v>29439</v>
      </c>
      <c r="V394" s="27" t="s">
        <v>2156</v>
      </c>
      <c r="W394" s="27">
        <v>3142782456</v>
      </c>
      <c r="X394" s="27" t="s">
        <v>231</v>
      </c>
      <c r="Y394" s="27" t="s">
        <v>172</v>
      </c>
      <c r="Z394" s="27" t="s">
        <v>223</v>
      </c>
      <c r="AA394" s="27" t="s">
        <v>1077</v>
      </c>
      <c r="AB394" s="27" t="s">
        <v>493</v>
      </c>
      <c r="AC394" s="27" t="s">
        <v>2157</v>
      </c>
      <c r="AD394" s="27" t="s">
        <v>2157</v>
      </c>
      <c r="AE394" s="27" t="s">
        <v>1369</v>
      </c>
      <c r="AF394" s="27" t="s">
        <v>176</v>
      </c>
      <c r="AG394" s="27" t="s">
        <v>177</v>
      </c>
      <c r="AH394" s="27" t="s">
        <v>164</v>
      </c>
      <c r="AI394" s="179"/>
      <c r="AJ394" s="27" t="s">
        <v>164</v>
      </c>
      <c r="AK394" s="27" t="s">
        <v>214</v>
      </c>
      <c r="AL394" s="27" t="s">
        <v>214</v>
      </c>
      <c r="AM394" s="27" t="s">
        <v>164</v>
      </c>
      <c r="AN394" s="27" t="s">
        <v>214</v>
      </c>
      <c r="AO394" s="27" t="s">
        <v>214</v>
      </c>
      <c r="AP394" s="136"/>
      <c r="AT394" s="27" t="str">
        <f t="shared" si="11"/>
        <v>Activo</v>
      </c>
      <c r="AU394" s="27" cm="1">
        <f t="array" aca="1" ref="AU394" ca="1">_xlfn.IFS(AT394="","",AT394="Activo",TODAY()-H394,AT394="Inactivo",AP394-H394)</f>
        <v>153</v>
      </c>
      <c r="AV394" s="180">
        <f ca="1">IF(ISBLANK(Tabla1[[#This Row],[Fecha Nacimento (dd/mm/yyyy)]]),"",YEARFRAC(Tabla1[[#This Row],[Fecha Nacimento (dd/mm/yyyy)]],TODAY()))</f>
        <v>43.863888888888887</v>
      </c>
      <c r="AW394" s="141"/>
    </row>
    <row r="395" spans="1:49" s="27" customFormat="1" x14ac:dyDescent="0.25">
      <c r="A395" s="134">
        <v>399</v>
      </c>
      <c r="B395" s="27" t="s">
        <v>2158</v>
      </c>
      <c r="C395" s="27" t="s">
        <v>2159</v>
      </c>
      <c r="D395" s="27" t="s">
        <v>141</v>
      </c>
      <c r="E395" s="400" t="s">
        <v>2160</v>
      </c>
      <c r="F395" s="27" t="s">
        <v>142</v>
      </c>
      <c r="G395" s="27" t="s">
        <v>143</v>
      </c>
      <c r="H395" s="136">
        <v>45336</v>
      </c>
      <c r="I395" s="136"/>
      <c r="J395" s="27" t="s">
        <v>144</v>
      </c>
      <c r="K395" s="138">
        <v>1300000</v>
      </c>
      <c r="L395" s="27" t="s">
        <v>145</v>
      </c>
      <c r="M395" s="27" t="s">
        <v>262</v>
      </c>
      <c r="N395" s="27" t="s">
        <v>145</v>
      </c>
      <c r="O395" s="139" t="s">
        <v>2161</v>
      </c>
      <c r="R395" s="27" t="s">
        <v>168</v>
      </c>
      <c r="S395" s="27" t="s">
        <v>150</v>
      </c>
      <c r="T395" s="27" t="s">
        <v>2162</v>
      </c>
      <c r="U395" s="197">
        <v>21775</v>
      </c>
      <c r="V395" s="27" t="s">
        <v>2163</v>
      </c>
      <c r="W395" s="27" t="s">
        <v>2164</v>
      </c>
      <c r="X395" s="27" t="s">
        <v>2165</v>
      </c>
      <c r="Y395" s="27" t="s">
        <v>172</v>
      </c>
      <c r="Z395" s="27" t="s">
        <v>2166</v>
      </c>
      <c r="AA395" s="27" t="s">
        <v>211</v>
      </c>
      <c r="AB395" s="27" t="s">
        <v>259</v>
      </c>
      <c r="AC395" s="27" t="s">
        <v>159</v>
      </c>
      <c r="AD395" s="27" t="s">
        <v>271</v>
      </c>
      <c r="AE395" s="27" t="s">
        <v>2167</v>
      </c>
      <c r="AF395" s="27" t="s">
        <v>162</v>
      </c>
      <c r="AG395" s="27" t="s">
        <v>177</v>
      </c>
      <c r="AH395" s="27" t="s">
        <v>164</v>
      </c>
      <c r="AI395" s="179"/>
      <c r="AP395" s="136"/>
      <c r="AT395" s="27" t="str">
        <f t="shared" si="11"/>
        <v>Activo</v>
      </c>
      <c r="AU395" s="27" cm="1">
        <f t="array" aca="1" ref="AU395" ca="1">_xlfn.IFS(AT395="","",AT395="Activo",TODAY()-H395,AT395="Inactivo",AP395-H395)</f>
        <v>124</v>
      </c>
      <c r="AV395" s="180">
        <f ca="1">IF(ISBLANK(Tabla1[[#This Row],[Fecha Nacimento (dd/mm/yyyy)]]),"",YEARFRAC(Tabla1[[#This Row],[Fecha Nacimento (dd/mm/yyyy)]],TODAY()))</f>
        <v>64.844444444444449</v>
      </c>
      <c r="AW395" s="141"/>
    </row>
    <row r="396" spans="1:49" s="27" customFormat="1" x14ac:dyDescent="0.25">
      <c r="A396" s="134">
        <v>400</v>
      </c>
      <c r="B396" s="27" t="s">
        <v>2168</v>
      </c>
      <c r="C396" s="27" t="s">
        <v>2169</v>
      </c>
      <c r="D396" s="27" t="s">
        <v>141</v>
      </c>
      <c r="E396" s="400" t="s">
        <v>2170</v>
      </c>
      <c r="F396" s="27" t="s">
        <v>142</v>
      </c>
      <c r="G396" s="27" t="s">
        <v>143</v>
      </c>
      <c r="H396" s="136">
        <v>45336</v>
      </c>
      <c r="I396" s="136"/>
      <c r="J396" s="27" t="s">
        <v>144</v>
      </c>
      <c r="K396" s="138">
        <v>3248000</v>
      </c>
      <c r="M396" s="27" t="s">
        <v>262</v>
      </c>
      <c r="N396" s="27" t="s">
        <v>145</v>
      </c>
      <c r="O396" s="139" t="s">
        <v>2171</v>
      </c>
      <c r="Q396" s="27" t="s">
        <v>148</v>
      </c>
      <c r="R396" s="27" t="s">
        <v>168</v>
      </c>
      <c r="S396" s="27" t="s">
        <v>150</v>
      </c>
      <c r="T396" s="27" t="s">
        <v>2172</v>
      </c>
      <c r="U396" s="197">
        <v>23445</v>
      </c>
      <c r="V396" s="27" t="s">
        <v>2173</v>
      </c>
      <c r="W396" s="27" t="s">
        <v>2174</v>
      </c>
      <c r="X396" s="27" t="s">
        <v>2165</v>
      </c>
      <c r="Y396" s="27" t="s">
        <v>155</v>
      </c>
      <c r="Z396" s="27" t="s">
        <v>2175</v>
      </c>
      <c r="AA396" s="27" t="s">
        <v>302</v>
      </c>
      <c r="AB396" s="27" t="s">
        <v>158</v>
      </c>
      <c r="AC396" s="27" t="s">
        <v>271</v>
      </c>
      <c r="AD396" s="27" t="s">
        <v>271</v>
      </c>
      <c r="AE396" s="27" t="s">
        <v>2167</v>
      </c>
      <c r="AF396" s="27" t="s">
        <v>162</v>
      </c>
      <c r="AG396" s="27" t="s">
        <v>163</v>
      </c>
      <c r="AH396" s="27" t="s">
        <v>164</v>
      </c>
      <c r="AI396" s="179"/>
      <c r="AP396" s="136"/>
      <c r="AT396" s="27" t="str">
        <f t="shared" si="11"/>
        <v>Activo</v>
      </c>
      <c r="AU396" s="27" cm="1">
        <f t="array" aca="1" ref="AU396" ca="1">_xlfn.IFS(AT396="","",AT396="Activo",TODAY()-H396,AT396="Inactivo",AP396-H396)</f>
        <v>124</v>
      </c>
      <c r="AV396" s="180">
        <f ca="1">IF(ISBLANK(Tabla1[[#This Row],[Fecha Nacimento (dd/mm/yyyy)]]),"",YEARFRAC(Tabla1[[#This Row],[Fecha Nacimento (dd/mm/yyyy)]],TODAY()))</f>
        <v>60.272222222222226</v>
      </c>
      <c r="AW396" s="141"/>
    </row>
    <row r="397" spans="1:49" s="27" customFormat="1" x14ac:dyDescent="0.25">
      <c r="A397" s="134">
        <v>401</v>
      </c>
      <c r="B397" s="27" t="s">
        <v>1108</v>
      </c>
      <c r="C397" s="27" t="s">
        <v>2176</v>
      </c>
      <c r="D397" s="27" t="s">
        <v>141</v>
      </c>
      <c r="E397" s="400" t="s">
        <v>2177</v>
      </c>
      <c r="F397" s="27" t="s">
        <v>142</v>
      </c>
      <c r="G397" s="27" t="s">
        <v>143</v>
      </c>
      <c r="H397" s="136">
        <v>45336</v>
      </c>
      <c r="I397" s="136"/>
      <c r="J397" s="27" t="s">
        <v>144</v>
      </c>
      <c r="K397" s="138">
        <v>1300000</v>
      </c>
      <c r="L397" s="27" t="s">
        <v>145</v>
      </c>
      <c r="M397" s="27" t="s">
        <v>262</v>
      </c>
      <c r="N397" s="27" t="s">
        <v>145</v>
      </c>
      <c r="O397" s="139" t="s">
        <v>2178</v>
      </c>
      <c r="Q397" s="27" t="s">
        <v>148</v>
      </c>
      <c r="R397" s="27" t="s">
        <v>377</v>
      </c>
      <c r="S397" s="27" t="s">
        <v>150</v>
      </c>
      <c r="T397" s="27" t="s">
        <v>2179</v>
      </c>
      <c r="U397" s="197">
        <v>23774</v>
      </c>
      <c r="V397" s="27" t="s">
        <v>2180</v>
      </c>
      <c r="W397" s="27" t="s">
        <v>2181</v>
      </c>
      <c r="X397" s="27" t="s">
        <v>2165</v>
      </c>
      <c r="Y397" s="27" t="s">
        <v>172</v>
      </c>
      <c r="Z397" s="27" t="s">
        <v>2182</v>
      </c>
      <c r="AA397" s="27" t="s">
        <v>211</v>
      </c>
      <c r="AB397" s="27" t="s">
        <v>158</v>
      </c>
      <c r="AC397" s="27" t="s">
        <v>159</v>
      </c>
      <c r="AD397" s="27" t="s">
        <v>1183</v>
      </c>
      <c r="AE397" s="27" t="s">
        <v>2167</v>
      </c>
      <c r="AF397" s="27" t="s">
        <v>176</v>
      </c>
      <c r="AG397" s="27" t="s">
        <v>177</v>
      </c>
      <c r="AH397" s="27" t="s">
        <v>164</v>
      </c>
      <c r="AI397" s="179"/>
      <c r="AP397" s="136"/>
      <c r="AT397" s="27" t="str">
        <f t="shared" ref="AT397:AT428" si="12">IF(ISBLANK(B397),"",IF(AP397="","Activo","Inactivo"))</f>
        <v>Activo</v>
      </c>
      <c r="AU397" s="27" cm="1">
        <f t="array" aca="1" ref="AU397" ca="1">_xlfn.IFS(AT397="","",AT397="Activo",TODAY()-H397,AT397="Inactivo",AP397-H397)</f>
        <v>124</v>
      </c>
      <c r="AV397" s="180">
        <f ca="1">IF(ISBLANK(Tabla1[[#This Row],[Fecha Nacimento (dd/mm/yyyy)]]),"",YEARFRAC(Tabla1[[#This Row],[Fecha Nacimento (dd/mm/yyyy)]],TODAY()))</f>
        <v>59.37777777777778</v>
      </c>
      <c r="AW397" s="141"/>
    </row>
    <row r="398" spans="1:49" s="27" customFormat="1" x14ac:dyDescent="0.25">
      <c r="A398" s="134">
        <v>402</v>
      </c>
      <c r="B398" s="27" t="s">
        <v>2183</v>
      </c>
      <c r="C398" s="27" t="s">
        <v>2184</v>
      </c>
      <c r="D398" s="27" t="s">
        <v>141</v>
      </c>
      <c r="E398" s="400" t="s">
        <v>2185</v>
      </c>
      <c r="F398" s="27" t="s">
        <v>142</v>
      </c>
      <c r="G398" s="27" t="s">
        <v>143</v>
      </c>
      <c r="H398" s="136">
        <v>45336</v>
      </c>
      <c r="I398" s="136"/>
      <c r="J398" s="27" t="s">
        <v>144</v>
      </c>
      <c r="K398" s="138">
        <v>1372126</v>
      </c>
      <c r="L398" s="27" t="s">
        <v>145</v>
      </c>
      <c r="M398" s="27" t="s">
        <v>262</v>
      </c>
      <c r="N398" s="27" t="s">
        <v>145</v>
      </c>
      <c r="O398" s="139" t="s">
        <v>2186</v>
      </c>
      <c r="Q398" s="27" t="s">
        <v>148</v>
      </c>
      <c r="R398" s="27" t="s">
        <v>377</v>
      </c>
      <c r="S398" s="27" t="s">
        <v>150</v>
      </c>
      <c r="T398" s="27" t="s">
        <v>2187</v>
      </c>
      <c r="U398" s="197">
        <v>27534</v>
      </c>
      <c r="V398" s="27" t="s">
        <v>2188</v>
      </c>
      <c r="W398" s="27" t="s">
        <v>2189</v>
      </c>
      <c r="X398" s="27" t="s">
        <v>2165</v>
      </c>
      <c r="Y398" s="27" t="s">
        <v>172</v>
      </c>
      <c r="Z398" s="27" t="s">
        <v>2190</v>
      </c>
      <c r="AA398" s="27" t="s">
        <v>211</v>
      </c>
      <c r="AB398" s="27" t="s">
        <v>212</v>
      </c>
      <c r="AC398" s="27" t="s">
        <v>160</v>
      </c>
      <c r="AD398" s="27" t="s">
        <v>160</v>
      </c>
      <c r="AE398" s="27" t="s">
        <v>2167</v>
      </c>
      <c r="AF398" s="27" t="s">
        <v>176</v>
      </c>
      <c r="AG398" s="27" t="s">
        <v>177</v>
      </c>
      <c r="AH398" s="27" t="s">
        <v>164</v>
      </c>
      <c r="AI398" s="179"/>
      <c r="AP398" s="136"/>
      <c r="AT398" s="27" t="str">
        <f t="shared" si="12"/>
        <v>Activo</v>
      </c>
      <c r="AU398" s="27" cm="1">
        <f t="array" aca="1" ref="AU398" ca="1">_xlfn.IFS(AT398="","",AT398="Activo",TODAY()-H398,AT398="Inactivo",AP398-H398)</f>
        <v>124</v>
      </c>
      <c r="AV398" s="180">
        <f ca="1">IF(ISBLANK(Tabla1[[#This Row],[Fecha Nacimento (dd/mm/yyyy)]]),"",YEARFRAC(Tabla1[[#This Row],[Fecha Nacimento (dd/mm/yyyy)]],TODAY()))</f>
        <v>49.075000000000003</v>
      </c>
      <c r="AW398" s="141"/>
    </row>
    <row r="399" spans="1:49" s="27" customFormat="1" x14ac:dyDescent="0.25">
      <c r="A399" s="134">
        <v>403</v>
      </c>
      <c r="B399" s="27" t="s">
        <v>2191</v>
      </c>
      <c r="C399" s="27" t="s">
        <v>2192</v>
      </c>
      <c r="D399" s="27" t="s">
        <v>141</v>
      </c>
      <c r="E399" s="400" t="s">
        <v>2193</v>
      </c>
      <c r="F399" s="27" t="s">
        <v>142</v>
      </c>
      <c r="G399" s="27" t="s">
        <v>143</v>
      </c>
      <c r="H399" s="136">
        <v>45336</v>
      </c>
      <c r="I399" s="136"/>
      <c r="J399" s="27" t="s">
        <v>144</v>
      </c>
      <c r="K399" s="138">
        <v>1300000</v>
      </c>
      <c r="L399" s="27" t="s">
        <v>145</v>
      </c>
      <c r="M399" s="27" t="s">
        <v>262</v>
      </c>
      <c r="N399" s="27" t="s">
        <v>145</v>
      </c>
      <c r="O399" s="139" t="s">
        <v>2194</v>
      </c>
      <c r="Q399" s="27" t="s">
        <v>148</v>
      </c>
      <c r="R399" s="27" t="s">
        <v>217</v>
      </c>
      <c r="T399" s="27" t="s">
        <v>217</v>
      </c>
      <c r="U399" s="197">
        <v>26972</v>
      </c>
      <c r="V399" s="27" t="s">
        <v>2195</v>
      </c>
      <c r="W399" s="27" t="s">
        <v>2196</v>
      </c>
      <c r="X399" s="27" t="s">
        <v>2165</v>
      </c>
      <c r="Y399" s="27" t="s">
        <v>172</v>
      </c>
      <c r="Z399" s="27" t="s">
        <v>402</v>
      </c>
      <c r="AA399" s="27" t="s">
        <v>211</v>
      </c>
      <c r="AB399" s="27" t="s">
        <v>186</v>
      </c>
      <c r="AC399" s="27" t="s">
        <v>271</v>
      </c>
      <c r="AD399" s="27" t="s">
        <v>271</v>
      </c>
      <c r="AE399" s="27" t="s">
        <v>2167</v>
      </c>
      <c r="AF399" s="27" t="s">
        <v>176</v>
      </c>
      <c r="AG399" s="27" t="s">
        <v>177</v>
      </c>
      <c r="AH399" s="27" t="s">
        <v>164</v>
      </c>
      <c r="AI399" s="179"/>
      <c r="AP399" s="136"/>
      <c r="AT399" s="27" t="str">
        <f t="shared" si="12"/>
        <v>Activo</v>
      </c>
      <c r="AU399" s="27" cm="1">
        <f t="array" aca="1" ref="AU399" ca="1">_xlfn.IFS(AT399="","",AT399="Activo",TODAY()-H399,AT399="Inactivo",AP399-H399)</f>
        <v>124</v>
      </c>
      <c r="AV399" s="180">
        <f ca="1">IF(ISBLANK(Tabla1[[#This Row],[Fecha Nacimento (dd/mm/yyyy)]]),"",YEARFRAC(Tabla1[[#This Row],[Fecha Nacimento (dd/mm/yyyy)]],TODAY()))</f>
        <v>50.619444444444447</v>
      </c>
      <c r="AW399" s="141"/>
    </row>
    <row r="400" spans="1:49" s="27" customFormat="1" x14ac:dyDescent="0.25">
      <c r="A400" s="134">
        <v>404</v>
      </c>
      <c r="B400" s="27" t="s">
        <v>2197</v>
      </c>
      <c r="C400" s="27" t="s">
        <v>2198</v>
      </c>
      <c r="D400" s="27" t="s">
        <v>141</v>
      </c>
      <c r="E400" s="400" t="s">
        <v>2199</v>
      </c>
      <c r="F400" s="27" t="s">
        <v>142</v>
      </c>
      <c r="G400" s="27" t="s">
        <v>143</v>
      </c>
      <c r="H400" s="136">
        <v>45336</v>
      </c>
      <c r="I400" s="136"/>
      <c r="J400" s="27" t="s">
        <v>144</v>
      </c>
      <c r="K400" s="138">
        <v>1450000</v>
      </c>
      <c r="L400" s="27" t="s">
        <v>145</v>
      </c>
      <c r="M400" s="27" t="s">
        <v>262</v>
      </c>
      <c r="N400" s="27" t="s">
        <v>145</v>
      </c>
      <c r="O400" s="139" t="s">
        <v>2200</v>
      </c>
      <c r="Q400" s="27" t="s">
        <v>148</v>
      </c>
      <c r="R400" s="27" t="s">
        <v>168</v>
      </c>
      <c r="S400" s="27" t="s">
        <v>150</v>
      </c>
      <c r="T400" s="27" t="s">
        <v>2201</v>
      </c>
      <c r="U400" s="197">
        <v>31522</v>
      </c>
      <c r="V400" s="27" t="s">
        <v>2202</v>
      </c>
      <c r="W400" s="27" t="s">
        <v>2203</v>
      </c>
      <c r="X400" s="27" t="s">
        <v>2165</v>
      </c>
      <c r="Y400" s="27" t="s">
        <v>172</v>
      </c>
      <c r="Z400" s="27" t="s">
        <v>223</v>
      </c>
      <c r="AA400" s="27" t="s">
        <v>302</v>
      </c>
      <c r="AB400" s="27" t="s">
        <v>259</v>
      </c>
      <c r="AC400" s="27" t="s">
        <v>271</v>
      </c>
      <c r="AD400" s="27" t="s">
        <v>2204</v>
      </c>
      <c r="AE400" s="27" t="s">
        <v>2167</v>
      </c>
      <c r="AF400" s="27" t="s">
        <v>176</v>
      </c>
      <c r="AG400" s="27" t="s">
        <v>177</v>
      </c>
      <c r="AH400" s="27" t="s">
        <v>164</v>
      </c>
      <c r="AI400" s="179"/>
      <c r="AP400" s="136"/>
      <c r="AT400" s="27" t="str">
        <f t="shared" si="12"/>
        <v>Activo</v>
      </c>
      <c r="AU400" s="27" cm="1">
        <f t="array" aca="1" ref="AU400" ca="1">_xlfn.IFS(AT400="","",AT400="Activo",TODAY()-H400,AT400="Inactivo",AP400-H400)</f>
        <v>124</v>
      </c>
      <c r="AV400" s="180">
        <f ca="1">IF(ISBLANK(Tabla1[[#This Row],[Fecha Nacimento (dd/mm/yyyy)]]),"",YEARFRAC(Tabla1[[#This Row],[Fecha Nacimento (dd/mm/yyyy)]],TODAY()))</f>
        <v>38.158333333333331</v>
      </c>
      <c r="AW400" s="141"/>
    </row>
    <row r="401" spans="1:49" s="27" customFormat="1" x14ac:dyDescent="0.25">
      <c r="A401" s="134">
        <v>405</v>
      </c>
      <c r="B401" s="27" t="s">
        <v>2205</v>
      </c>
      <c r="C401" s="27" t="s">
        <v>2206</v>
      </c>
      <c r="D401" s="27" t="s">
        <v>141</v>
      </c>
      <c r="E401" s="400" t="s">
        <v>2207</v>
      </c>
      <c r="F401" s="27" t="s">
        <v>142</v>
      </c>
      <c r="G401" s="27" t="s">
        <v>143</v>
      </c>
      <c r="H401" s="136">
        <v>45336</v>
      </c>
      <c r="I401" s="136"/>
      <c r="J401" s="27" t="s">
        <v>144</v>
      </c>
      <c r="K401" s="138">
        <v>1300000</v>
      </c>
      <c r="L401" s="27" t="s">
        <v>145</v>
      </c>
      <c r="M401" s="27" t="s">
        <v>262</v>
      </c>
      <c r="N401" s="27" t="s">
        <v>145</v>
      </c>
      <c r="O401" s="139" t="s">
        <v>2208</v>
      </c>
      <c r="Q401" s="27" t="s">
        <v>148</v>
      </c>
      <c r="R401" s="27" t="s">
        <v>168</v>
      </c>
      <c r="S401" s="27" t="s">
        <v>150</v>
      </c>
      <c r="T401" s="27" t="s">
        <v>217</v>
      </c>
      <c r="U401" s="197">
        <v>31731</v>
      </c>
      <c r="V401" s="27" t="s">
        <v>2209</v>
      </c>
      <c r="W401" s="27" t="s">
        <v>2210</v>
      </c>
      <c r="X401" s="27" t="s">
        <v>2165</v>
      </c>
      <c r="Y401" s="27" t="s">
        <v>172</v>
      </c>
      <c r="Z401" s="27" t="s">
        <v>2166</v>
      </c>
      <c r="AA401" s="27" t="s">
        <v>211</v>
      </c>
      <c r="AB401" s="27" t="s">
        <v>186</v>
      </c>
      <c r="AC401" s="27" t="s">
        <v>160</v>
      </c>
      <c r="AD401" s="27" t="s">
        <v>271</v>
      </c>
      <c r="AE401" s="27" t="s">
        <v>2167</v>
      </c>
      <c r="AF401" s="27" t="s">
        <v>162</v>
      </c>
      <c r="AG401" s="27" t="s">
        <v>177</v>
      </c>
      <c r="AH401" s="27" t="s">
        <v>164</v>
      </c>
      <c r="AI401" s="179"/>
      <c r="AP401" s="136"/>
      <c r="AT401" s="27" t="str">
        <f t="shared" si="12"/>
        <v>Activo</v>
      </c>
      <c r="AU401" s="27" cm="1">
        <f t="array" aca="1" ref="AU401" ca="1">_xlfn.IFS(AT401="","",AT401="Activo",TODAY()-H401,AT401="Inactivo",AP401-H401)</f>
        <v>124</v>
      </c>
      <c r="AV401" s="180">
        <f ca="1">IF(ISBLANK(Tabla1[[#This Row],[Fecha Nacimento (dd/mm/yyyy)]]),"",YEARFRAC(Tabla1[[#This Row],[Fecha Nacimento (dd/mm/yyyy)]],TODAY()))</f>
        <v>37.588888888888889</v>
      </c>
      <c r="AW401" s="141"/>
    </row>
    <row r="402" spans="1:49" s="27" customFormat="1" x14ac:dyDescent="0.25">
      <c r="A402" s="134">
        <v>406</v>
      </c>
      <c r="B402" s="27" t="s">
        <v>2211</v>
      </c>
      <c r="C402" s="27" t="s">
        <v>2212</v>
      </c>
      <c r="D402" s="27" t="s">
        <v>141</v>
      </c>
      <c r="E402" s="400" t="s">
        <v>2213</v>
      </c>
      <c r="F402" s="27" t="s">
        <v>142</v>
      </c>
      <c r="G402" s="27" t="s">
        <v>143</v>
      </c>
      <c r="H402" s="136">
        <v>45336</v>
      </c>
      <c r="I402" s="136"/>
      <c r="J402" s="27" t="s">
        <v>144</v>
      </c>
      <c r="K402" s="138">
        <v>1300000</v>
      </c>
      <c r="L402" s="27" t="s">
        <v>145</v>
      </c>
      <c r="M402" s="27" t="s">
        <v>262</v>
      </c>
      <c r="N402" s="27" t="s">
        <v>145</v>
      </c>
      <c r="O402" s="139" t="s">
        <v>2214</v>
      </c>
      <c r="Q402" s="27" t="s">
        <v>148</v>
      </c>
      <c r="R402" s="27" t="s">
        <v>217</v>
      </c>
      <c r="T402" s="27" t="s">
        <v>217</v>
      </c>
      <c r="U402" s="197"/>
      <c r="V402" s="27" t="s">
        <v>217</v>
      </c>
      <c r="Z402" s="27" t="s">
        <v>2166</v>
      </c>
      <c r="AA402" s="27" t="s">
        <v>302</v>
      </c>
      <c r="AB402" s="27" t="s">
        <v>493</v>
      </c>
      <c r="AC402" s="27" t="s">
        <v>160</v>
      </c>
      <c r="AD402" s="27" t="s">
        <v>271</v>
      </c>
      <c r="AE402" s="27" t="s">
        <v>2167</v>
      </c>
      <c r="AF402" s="27" t="s">
        <v>162</v>
      </c>
      <c r="AG402" s="27" t="s">
        <v>177</v>
      </c>
      <c r="AH402" s="27" t="s">
        <v>164</v>
      </c>
      <c r="AI402" s="179"/>
      <c r="AP402" s="136"/>
      <c r="AT402" s="27" t="str">
        <f t="shared" si="12"/>
        <v>Activo</v>
      </c>
      <c r="AU402" s="27" cm="1">
        <f t="array" aca="1" ref="AU402" ca="1">_xlfn.IFS(AT402="","",AT402="Activo",TODAY()-H402,AT402="Inactivo",AP402-H402)</f>
        <v>124</v>
      </c>
      <c r="AV402" s="180" t="str">
        <f ca="1">IF(ISBLANK(Tabla1[[#This Row],[Fecha Nacimento (dd/mm/yyyy)]]),"",YEARFRAC(Tabla1[[#This Row],[Fecha Nacimento (dd/mm/yyyy)]],TODAY()))</f>
        <v/>
      </c>
      <c r="AW402" s="141"/>
    </row>
    <row r="403" spans="1:49" s="27" customFormat="1" x14ac:dyDescent="0.25">
      <c r="A403" s="134">
        <v>407</v>
      </c>
      <c r="B403" s="27" t="s">
        <v>2215</v>
      </c>
      <c r="C403" s="27" t="s">
        <v>2216</v>
      </c>
      <c r="D403" s="27" t="s">
        <v>141</v>
      </c>
      <c r="E403" s="400">
        <v>52367872</v>
      </c>
      <c r="F403" s="27" t="s">
        <v>142</v>
      </c>
      <c r="G403" s="27" t="s">
        <v>143</v>
      </c>
      <c r="H403" s="136">
        <v>45337</v>
      </c>
      <c r="I403" s="136"/>
      <c r="J403" s="27" t="s">
        <v>144</v>
      </c>
      <c r="K403" s="138">
        <v>2004000</v>
      </c>
      <c r="L403" s="27" t="s">
        <v>145</v>
      </c>
      <c r="M403" s="27" t="s">
        <v>203</v>
      </c>
      <c r="N403" s="27" t="s">
        <v>145</v>
      </c>
      <c r="O403" s="213" t="s">
        <v>2217</v>
      </c>
      <c r="Q403" s="27" t="s">
        <v>148</v>
      </c>
      <c r="R403" s="27" t="s">
        <v>149</v>
      </c>
      <c r="S403" s="27" t="s">
        <v>150</v>
      </c>
      <c r="T403" s="27">
        <v>77238439542</v>
      </c>
      <c r="U403" s="197">
        <v>27984</v>
      </c>
      <c r="V403" s="27" t="s">
        <v>2218</v>
      </c>
      <c r="W403" s="27">
        <v>3117523949</v>
      </c>
      <c r="X403" s="27" t="s">
        <v>2219</v>
      </c>
      <c r="Y403" s="27" t="s">
        <v>172</v>
      </c>
      <c r="Z403" s="27" t="s">
        <v>2220</v>
      </c>
      <c r="AA403" s="27" t="s">
        <v>174</v>
      </c>
      <c r="AB403" s="27" t="s">
        <v>158</v>
      </c>
      <c r="AC403" s="27" t="s">
        <v>159</v>
      </c>
      <c r="AD403" s="27" t="s">
        <v>271</v>
      </c>
      <c r="AE403" s="27" t="s">
        <v>431</v>
      </c>
      <c r="AF403" s="27" t="s">
        <v>162</v>
      </c>
      <c r="AG403" s="27" t="s">
        <v>177</v>
      </c>
      <c r="AH403" s="27" t="s">
        <v>145</v>
      </c>
      <c r="AI403" s="179">
        <v>100000</v>
      </c>
      <c r="AJ403" s="27" t="s">
        <v>145</v>
      </c>
      <c r="AK403" s="27" t="s">
        <v>1069</v>
      </c>
      <c r="AL403" s="27" t="s">
        <v>164</v>
      </c>
      <c r="AM403" s="27" t="s">
        <v>145</v>
      </c>
      <c r="AN403" s="27" t="s">
        <v>1069</v>
      </c>
      <c r="AO403" s="27" t="s">
        <v>164</v>
      </c>
      <c r="AP403" s="136"/>
      <c r="AT403" s="27" t="str">
        <f t="shared" si="12"/>
        <v>Activo</v>
      </c>
      <c r="AU403" s="27" cm="1">
        <f t="array" aca="1" ref="AU403" ca="1">_xlfn.IFS(AT403="","",AT403="Activo",TODAY()-H403,AT403="Inactivo",AP403-H403)</f>
        <v>123</v>
      </c>
      <c r="AV403" s="180">
        <f ca="1">IF(ISBLANK(Tabla1[[#This Row],[Fecha Nacimento (dd/mm/yyyy)]]),"",YEARFRAC(Tabla1[[#This Row],[Fecha Nacimento (dd/mm/yyyy)]],TODAY()))</f>
        <v>47.847222222222221</v>
      </c>
      <c r="AW403" s="141"/>
    </row>
    <row r="404" spans="1:49" s="27" customFormat="1" x14ac:dyDescent="0.25">
      <c r="A404" s="134">
        <v>408</v>
      </c>
      <c r="B404" s="27" t="s">
        <v>2221</v>
      </c>
      <c r="C404" s="27" t="s">
        <v>2222</v>
      </c>
      <c r="D404" s="27" t="s">
        <v>141</v>
      </c>
      <c r="E404" s="400">
        <v>4408183</v>
      </c>
      <c r="F404" s="27" t="s">
        <v>142</v>
      </c>
      <c r="G404" s="27" t="s">
        <v>143</v>
      </c>
      <c r="H404" s="136">
        <v>45342</v>
      </c>
      <c r="I404" s="136"/>
      <c r="J404" s="27" t="s">
        <v>144</v>
      </c>
      <c r="K404" s="138">
        <v>1300000</v>
      </c>
      <c r="L404" s="27" t="s">
        <v>145</v>
      </c>
      <c r="M404" s="27" t="s">
        <v>355</v>
      </c>
      <c r="N404" s="27" t="s">
        <v>145</v>
      </c>
      <c r="O404" s="139" t="s">
        <v>2223</v>
      </c>
      <c r="Q404" s="27" t="s">
        <v>148</v>
      </c>
      <c r="R404" s="27" t="s">
        <v>168</v>
      </c>
      <c r="S404" s="27" t="s">
        <v>150</v>
      </c>
      <c r="U404" s="197">
        <v>22980</v>
      </c>
      <c r="V404" s="27" t="s">
        <v>2224</v>
      </c>
      <c r="W404" s="27">
        <v>3218672341</v>
      </c>
      <c r="X404" s="27" t="s">
        <v>154</v>
      </c>
      <c r="Y404" s="27" t="s">
        <v>2152</v>
      </c>
      <c r="Z404" s="27" t="s">
        <v>19</v>
      </c>
      <c r="AA404" s="27" t="s">
        <v>174</v>
      </c>
      <c r="AB404" s="27" t="s">
        <v>175</v>
      </c>
      <c r="AC404" s="27" t="s">
        <v>271</v>
      </c>
      <c r="AD404" s="27" t="s">
        <v>160</v>
      </c>
      <c r="AE404" s="27" t="s">
        <v>161</v>
      </c>
      <c r="AF404" s="27" t="s">
        <v>176</v>
      </c>
      <c r="AG404" s="27" t="s">
        <v>177</v>
      </c>
      <c r="AH404" s="27" t="s">
        <v>164</v>
      </c>
      <c r="AI404" s="179"/>
      <c r="AJ404" s="27" t="s">
        <v>1382</v>
      </c>
      <c r="AK404" s="27" t="s">
        <v>2225</v>
      </c>
      <c r="AL404" s="27" t="s">
        <v>145</v>
      </c>
      <c r="AM404" s="27" t="s">
        <v>145</v>
      </c>
      <c r="AN404" s="27" t="s">
        <v>2225</v>
      </c>
      <c r="AO404" s="27" t="s">
        <v>145</v>
      </c>
      <c r="AP404" s="136"/>
      <c r="AT404" s="27" t="str">
        <f t="shared" si="12"/>
        <v>Activo</v>
      </c>
      <c r="AU404" s="27" cm="1">
        <f t="array" aca="1" ref="AU404" ca="1">_xlfn.IFS(AT404="","",AT404="Activo",TODAY()-H404,AT404="Inactivo",AP404-H404)</f>
        <v>118</v>
      </c>
      <c r="AV404" s="180">
        <f ca="1">IF(ISBLANK(Tabla1[[#This Row],[Fecha Nacimento (dd/mm/yyyy)]]),"",YEARFRAC(Tabla1[[#This Row],[Fecha Nacimento (dd/mm/yyyy)]],TODAY()))</f>
        <v>61.547222222222224</v>
      </c>
      <c r="AW404" s="141"/>
    </row>
    <row r="405" spans="1:49" s="27" customFormat="1" x14ac:dyDescent="0.25">
      <c r="A405" s="134">
        <v>409</v>
      </c>
      <c r="B405" s="27" t="s">
        <v>2226</v>
      </c>
      <c r="C405" s="27" t="s">
        <v>2227</v>
      </c>
      <c r="D405" s="27" t="s">
        <v>141</v>
      </c>
      <c r="E405" s="400">
        <v>1092851928</v>
      </c>
      <c r="F405" s="27" t="s">
        <v>142</v>
      </c>
      <c r="G405" s="27" t="s">
        <v>143</v>
      </c>
      <c r="H405" s="136">
        <v>45342</v>
      </c>
      <c r="I405" s="136"/>
      <c r="J405" s="27" t="s">
        <v>144</v>
      </c>
      <c r="K405" s="138">
        <v>4000000</v>
      </c>
      <c r="L405" s="27" t="s">
        <v>164</v>
      </c>
      <c r="M405" s="27" t="s">
        <v>262</v>
      </c>
      <c r="N405" s="27" t="s">
        <v>145</v>
      </c>
      <c r="O405" s="213" t="s">
        <v>2228</v>
      </c>
      <c r="Q405" s="27" t="s">
        <v>205</v>
      </c>
      <c r="U405" s="197">
        <v>38765</v>
      </c>
      <c r="V405" s="27" t="s">
        <v>2229</v>
      </c>
      <c r="W405" s="27">
        <v>3232895304</v>
      </c>
      <c r="X405" s="27" t="s">
        <v>154</v>
      </c>
      <c r="Y405" s="27" t="s">
        <v>1075</v>
      </c>
      <c r="Z405" s="27" t="s">
        <v>2230</v>
      </c>
      <c r="AA405" s="27" t="s">
        <v>1077</v>
      </c>
      <c r="AB405" s="27" t="s">
        <v>158</v>
      </c>
      <c r="AC405" s="27" t="s">
        <v>1744</v>
      </c>
      <c r="AD405" s="27" t="s">
        <v>160</v>
      </c>
      <c r="AE405" s="27" t="s">
        <v>1369</v>
      </c>
      <c r="AF405" s="27" t="s">
        <v>162</v>
      </c>
      <c r="AG405" s="27" t="s">
        <v>163</v>
      </c>
      <c r="AH405" s="27" t="s">
        <v>164</v>
      </c>
      <c r="AI405" s="179"/>
      <c r="AJ405" s="27" t="s">
        <v>164</v>
      </c>
      <c r="AP405" s="136"/>
      <c r="AT405" s="27" t="str">
        <f t="shared" si="12"/>
        <v>Activo</v>
      </c>
      <c r="AU405" s="27" cm="1">
        <f t="array" aca="1" ref="AU405" ca="1">_xlfn.IFS(AT405="","",AT405="Activo",TODAY()-H405,AT405="Inactivo",AP405-H405)</f>
        <v>118</v>
      </c>
      <c r="AV405" s="180">
        <f ca="1">IF(ISBLANK(Tabla1[[#This Row],[Fecha Nacimento (dd/mm/yyyy)]]),"",YEARFRAC(Tabla1[[#This Row],[Fecha Nacimento (dd/mm/yyyy)]],TODAY()))</f>
        <v>18.333333333333332</v>
      </c>
      <c r="AW405" s="141"/>
    </row>
    <row r="406" spans="1:49" s="27" customFormat="1" x14ac:dyDescent="0.25">
      <c r="A406" s="134">
        <v>410</v>
      </c>
      <c r="B406" s="27" t="s">
        <v>2231</v>
      </c>
      <c r="C406" s="27" t="s">
        <v>2232</v>
      </c>
      <c r="D406" s="27" t="s">
        <v>141</v>
      </c>
      <c r="E406" s="400">
        <v>24604910</v>
      </c>
      <c r="F406" s="27" t="s">
        <v>142</v>
      </c>
      <c r="G406" s="27" t="s">
        <v>143</v>
      </c>
      <c r="H406" s="136">
        <v>45343</v>
      </c>
      <c r="I406" s="136"/>
      <c r="J406" s="27" t="s">
        <v>144</v>
      </c>
      <c r="K406" s="138">
        <v>1300000</v>
      </c>
      <c r="L406" s="27" t="s">
        <v>145</v>
      </c>
      <c r="M406" s="27" t="s">
        <v>355</v>
      </c>
      <c r="N406" s="27" t="s">
        <v>145</v>
      </c>
      <c r="O406" s="213" t="s">
        <v>2233</v>
      </c>
      <c r="Q406" s="27" t="s">
        <v>148</v>
      </c>
      <c r="R406" s="27" t="s">
        <v>149</v>
      </c>
      <c r="S406" s="27" t="s">
        <v>150</v>
      </c>
      <c r="T406" s="28" t="s">
        <v>2234</v>
      </c>
      <c r="U406" s="197">
        <v>27189</v>
      </c>
      <c r="V406" s="27" t="s">
        <v>2235</v>
      </c>
      <c r="W406" s="27">
        <v>3013092174</v>
      </c>
      <c r="X406" s="27" t="s">
        <v>268</v>
      </c>
      <c r="Y406" s="27" t="s">
        <v>2152</v>
      </c>
      <c r="Z406" s="27" t="s">
        <v>2236</v>
      </c>
      <c r="AA406" s="27" t="s">
        <v>174</v>
      </c>
      <c r="AB406" s="27" t="s">
        <v>2237</v>
      </c>
      <c r="AC406" s="27" t="s">
        <v>271</v>
      </c>
      <c r="AD406" s="27" t="s">
        <v>271</v>
      </c>
      <c r="AE406" s="27" t="s">
        <v>272</v>
      </c>
      <c r="AF406" s="27" t="s">
        <v>162</v>
      </c>
      <c r="AG406" s="27" t="s">
        <v>177</v>
      </c>
      <c r="AH406" s="27" t="s">
        <v>145</v>
      </c>
      <c r="AI406" s="179">
        <v>400000</v>
      </c>
      <c r="AJ406" s="27" t="s">
        <v>304</v>
      </c>
      <c r="AP406" s="136"/>
      <c r="AT406" s="27" t="str">
        <f t="shared" si="12"/>
        <v>Activo</v>
      </c>
      <c r="AU406" s="27" cm="1">
        <f t="array" aca="1" ref="AU406" ca="1">_xlfn.IFS(AT406="","",AT406="Activo",TODAY()-H406,AT406="Inactivo",AP406-H406)</f>
        <v>117</v>
      </c>
      <c r="AV406" s="180">
        <f ca="1">IF(ISBLANK(Tabla1[[#This Row],[Fecha Nacimento (dd/mm/yyyy)]]),"",YEARFRAC(Tabla1[[#This Row],[Fecha Nacimento (dd/mm/yyyy)]],TODAY()))</f>
        <v>50.022222222222226</v>
      </c>
      <c r="AW406" s="141"/>
    </row>
    <row r="407" spans="1:49" s="27" customFormat="1" x14ac:dyDescent="0.25">
      <c r="A407" s="134">
        <v>411</v>
      </c>
      <c r="B407" s="27" t="s">
        <v>537</v>
      </c>
      <c r="C407" s="27" t="s">
        <v>2238</v>
      </c>
      <c r="D407" s="27" t="s">
        <v>141</v>
      </c>
      <c r="E407" s="400">
        <v>1094936875</v>
      </c>
      <c r="F407" s="27" t="s">
        <v>142</v>
      </c>
      <c r="G407" s="27" t="s">
        <v>143</v>
      </c>
      <c r="H407" s="136">
        <v>45344</v>
      </c>
      <c r="I407" s="136"/>
      <c r="J407" s="27" t="s">
        <v>144</v>
      </c>
      <c r="K407" s="321">
        <v>1300000</v>
      </c>
      <c r="L407" s="27" t="s">
        <v>145</v>
      </c>
      <c r="M407" s="27" t="s">
        <v>262</v>
      </c>
      <c r="N407" s="27" t="s">
        <v>145</v>
      </c>
      <c r="O407" s="213" t="s">
        <v>2239</v>
      </c>
      <c r="Q407" s="27" t="s">
        <v>148</v>
      </c>
      <c r="R407" s="27" t="s">
        <v>149</v>
      </c>
      <c r="S407" s="27" t="s">
        <v>150</v>
      </c>
      <c r="T407" s="27">
        <v>86700042377</v>
      </c>
      <c r="U407" s="197">
        <v>34206</v>
      </c>
      <c r="V407" s="27" t="s">
        <v>2240</v>
      </c>
      <c r="W407" s="27">
        <v>3114289447</v>
      </c>
      <c r="X407" s="27" t="s">
        <v>154</v>
      </c>
      <c r="Y407" s="27" t="s">
        <v>155</v>
      </c>
      <c r="Z407" s="27" t="s">
        <v>2241</v>
      </c>
      <c r="AA407" s="27" t="s">
        <v>1077</v>
      </c>
      <c r="AB407" s="27" t="s">
        <v>158</v>
      </c>
      <c r="AC407" s="27" t="s">
        <v>160</v>
      </c>
      <c r="AD407" s="27" t="s">
        <v>160</v>
      </c>
      <c r="AE407" s="27" t="s">
        <v>494</v>
      </c>
      <c r="AF407" s="27" t="s">
        <v>162</v>
      </c>
      <c r="AG407" s="27" t="s">
        <v>177</v>
      </c>
      <c r="AH407" s="27" t="s">
        <v>145</v>
      </c>
      <c r="AI407" s="179">
        <v>200000</v>
      </c>
      <c r="AJ407" s="27" t="s">
        <v>164</v>
      </c>
      <c r="AP407" s="136">
        <v>45398</v>
      </c>
      <c r="AQ407" s="27" t="s">
        <v>1190</v>
      </c>
      <c r="AT407" s="27" t="str">
        <f t="shared" si="12"/>
        <v>Inactivo</v>
      </c>
      <c r="AU407" s="27" cm="1">
        <f t="array" aca="1" ref="AU407" ca="1">_xlfn.IFS(AT407="","",AT407="Activo",TODAY()-H407,AT407="Inactivo",AP407-H407)</f>
        <v>54</v>
      </c>
      <c r="AV407" s="180">
        <f ca="1">IF(ISBLANK(Tabla1[[#This Row],[Fecha Nacimento (dd/mm/yyyy)]]),"",YEARFRAC(Tabla1[[#This Row],[Fecha Nacimento (dd/mm/yyyy)]],TODAY()))</f>
        <v>30.81111111111111</v>
      </c>
      <c r="AW407" s="141"/>
    </row>
    <row r="408" spans="1:49" s="27" customFormat="1" x14ac:dyDescent="0.25">
      <c r="A408" s="134">
        <v>412</v>
      </c>
      <c r="B408" s="27" t="s">
        <v>1070</v>
      </c>
      <c r="C408" s="27" t="s">
        <v>2242</v>
      </c>
      <c r="D408" s="27" t="s">
        <v>141</v>
      </c>
      <c r="E408" s="400">
        <v>1094973865</v>
      </c>
      <c r="F408" s="27" t="s">
        <v>142</v>
      </c>
      <c r="G408" s="27" t="s">
        <v>143</v>
      </c>
      <c r="H408" s="136">
        <v>45344</v>
      </c>
      <c r="I408" s="136"/>
      <c r="J408" s="27" t="s">
        <v>144</v>
      </c>
      <c r="K408" s="138">
        <v>1650000</v>
      </c>
      <c r="L408" s="27" t="s">
        <v>145</v>
      </c>
      <c r="M408" s="27" t="s">
        <v>262</v>
      </c>
      <c r="N408" s="27" t="s">
        <v>145</v>
      </c>
      <c r="O408" s="213" t="s">
        <v>2243</v>
      </c>
      <c r="Q408" s="27" t="s">
        <v>148</v>
      </c>
      <c r="R408" s="27" t="s">
        <v>1024</v>
      </c>
      <c r="S408" s="27" t="s">
        <v>150</v>
      </c>
      <c r="T408" s="28" t="s">
        <v>2244</v>
      </c>
      <c r="U408" s="197">
        <v>36253</v>
      </c>
      <c r="V408" s="27" t="s">
        <v>2245</v>
      </c>
      <c r="W408" s="27">
        <v>3218798890</v>
      </c>
      <c r="X408" s="27" t="s">
        <v>154</v>
      </c>
      <c r="Y408" s="27" t="s">
        <v>1046</v>
      </c>
      <c r="Z408" s="27" t="s">
        <v>1107</v>
      </c>
      <c r="AA408" s="27" t="s">
        <v>302</v>
      </c>
      <c r="AB408" s="27" t="s">
        <v>175</v>
      </c>
      <c r="AC408" s="27" t="s">
        <v>160</v>
      </c>
      <c r="AD408" s="27" t="s">
        <v>338</v>
      </c>
      <c r="AE408" s="27" t="s">
        <v>1048</v>
      </c>
      <c r="AF408" s="27" t="s">
        <v>162</v>
      </c>
      <c r="AG408" s="27" t="s">
        <v>177</v>
      </c>
      <c r="AH408" s="27" t="s">
        <v>145</v>
      </c>
      <c r="AI408" s="179">
        <v>550000</v>
      </c>
      <c r="AJ408" s="27" t="s">
        <v>164</v>
      </c>
      <c r="AL408" s="27" t="s">
        <v>214</v>
      </c>
      <c r="AP408" s="136">
        <v>45356</v>
      </c>
      <c r="AQ408" s="27" t="s">
        <v>52</v>
      </c>
      <c r="AT408" s="27" t="str">
        <f t="shared" si="12"/>
        <v>Inactivo</v>
      </c>
      <c r="AU408" s="27" cm="1">
        <f t="array" aca="1" ref="AU408" ca="1">_xlfn.IFS(AT408="","",AT408="Activo",TODAY()-H408,AT408="Inactivo",AP408-H408)</f>
        <v>12</v>
      </c>
      <c r="AV408" s="180">
        <f ca="1">IF(ISBLANK(Tabla1[[#This Row],[Fecha Nacimento (dd/mm/yyyy)]]),"",YEARFRAC(Tabla1[[#This Row],[Fecha Nacimento (dd/mm/yyyy)]],TODAY()))</f>
        <v>25.205555555555556</v>
      </c>
      <c r="AW408" s="141"/>
    </row>
    <row r="409" spans="1:49" s="27" customFormat="1" x14ac:dyDescent="0.25">
      <c r="A409" s="134">
        <v>413</v>
      </c>
      <c r="B409" s="27" t="s">
        <v>2246</v>
      </c>
      <c r="C409" s="27" t="s">
        <v>2247</v>
      </c>
      <c r="D409" s="27" t="s">
        <v>363</v>
      </c>
      <c r="E409" s="400">
        <v>996679</v>
      </c>
      <c r="F409" s="27" t="s">
        <v>142</v>
      </c>
      <c r="G409" s="27" t="s">
        <v>143</v>
      </c>
      <c r="H409" s="136">
        <v>45345</v>
      </c>
      <c r="I409" s="136"/>
      <c r="J409" s="27" t="s">
        <v>144</v>
      </c>
      <c r="K409" s="138">
        <v>1300000</v>
      </c>
      <c r="L409" s="27" t="s">
        <v>145</v>
      </c>
      <c r="M409" s="27" t="s">
        <v>355</v>
      </c>
      <c r="N409" s="27" t="s">
        <v>145</v>
      </c>
      <c r="O409" s="213" t="s">
        <v>2248</v>
      </c>
      <c r="Q409" s="27" t="s">
        <v>148</v>
      </c>
      <c r="R409" s="27" t="s">
        <v>168</v>
      </c>
      <c r="S409" s="27" t="s">
        <v>150</v>
      </c>
      <c r="T409" s="180">
        <v>550136200141283</v>
      </c>
      <c r="U409" s="197">
        <v>30641</v>
      </c>
      <c r="V409" s="27" t="s">
        <v>2249</v>
      </c>
      <c r="W409" s="27">
        <v>3148191505</v>
      </c>
      <c r="X409" s="27" t="s">
        <v>154</v>
      </c>
      <c r="Y409" s="27" t="s">
        <v>2152</v>
      </c>
      <c r="Z409" s="27" t="s">
        <v>552</v>
      </c>
      <c r="AA409" s="27" t="s">
        <v>174</v>
      </c>
      <c r="AB409" s="27" t="s">
        <v>186</v>
      </c>
      <c r="AC409" s="27" t="s">
        <v>159</v>
      </c>
      <c r="AD409" s="27" t="s">
        <v>160</v>
      </c>
      <c r="AE409" s="27" t="s">
        <v>161</v>
      </c>
      <c r="AF409" s="27" t="s">
        <v>176</v>
      </c>
      <c r="AG409" s="27" t="s">
        <v>177</v>
      </c>
      <c r="AH409" s="27" t="s">
        <v>164</v>
      </c>
      <c r="AI409" s="179"/>
      <c r="AJ409" s="27" t="s">
        <v>145</v>
      </c>
      <c r="AK409" s="27" t="s">
        <v>1069</v>
      </c>
      <c r="AL409" s="27" t="s">
        <v>164</v>
      </c>
      <c r="AM409" s="27" t="s">
        <v>145</v>
      </c>
      <c r="AN409" s="27" t="s">
        <v>1069</v>
      </c>
      <c r="AO409" s="27" t="s">
        <v>164</v>
      </c>
      <c r="AP409" s="136"/>
      <c r="AT409" s="27" t="str">
        <f t="shared" si="12"/>
        <v>Activo</v>
      </c>
      <c r="AU409" s="27" cm="1">
        <f t="array" aca="1" ref="AU409" ca="1">_xlfn.IFS(AT409="","",AT409="Activo",TODAY()-H409,AT409="Inactivo",AP409-H409)</f>
        <v>115</v>
      </c>
      <c r="AV409" s="180">
        <f ca="1">IF(ISBLANK(Tabla1[[#This Row],[Fecha Nacimento (dd/mm/yyyy)]]),"",YEARFRAC(Tabla1[[#This Row],[Fecha Nacimento (dd/mm/yyyy)]],TODAY()))</f>
        <v>40.572222222222223</v>
      </c>
      <c r="AW409" s="141"/>
    </row>
    <row r="410" spans="1:49" s="27" customFormat="1" x14ac:dyDescent="0.25">
      <c r="A410" s="134">
        <v>414</v>
      </c>
      <c r="B410" s="27" t="s">
        <v>2250</v>
      </c>
      <c r="C410" s="27" t="s">
        <v>2251</v>
      </c>
      <c r="D410" s="27" t="s">
        <v>141</v>
      </c>
      <c r="E410" s="400">
        <v>1097399495</v>
      </c>
      <c r="F410" s="27" t="s">
        <v>142</v>
      </c>
      <c r="G410" s="27" t="s">
        <v>143</v>
      </c>
      <c r="H410" s="136">
        <v>45350</v>
      </c>
      <c r="I410" s="136"/>
      <c r="J410" s="27" t="s">
        <v>144</v>
      </c>
      <c r="K410" s="138">
        <v>1300000</v>
      </c>
      <c r="L410" s="27" t="s">
        <v>145</v>
      </c>
      <c r="M410" s="27" t="s">
        <v>355</v>
      </c>
      <c r="N410" s="27" t="s">
        <v>145</v>
      </c>
      <c r="O410" s="213" t="s">
        <v>2252</v>
      </c>
      <c r="Q410" s="27" t="s">
        <v>148</v>
      </c>
      <c r="R410" s="27" t="s">
        <v>168</v>
      </c>
      <c r="S410" s="27" t="s">
        <v>150</v>
      </c>
      <c r="U410" s="197">
        <v>33991</v>
      </c>
      <c r="V410" s="27" t="s">
        <v>2253</v>
      </c>
      <c r="W410" s="27">
        <v>3137462562</v>
      </c>
      <c r="X410" s="27" t="s">
        <v>154</v>
      </c>
      <c r="Y410" s="27" t="s">
        <v>1075</v>
      </c>
      <c r="Z410" s="27" t="s">
        <v>2254</v>
      </c>
      <c r="AA410" s="27" t="s">
        <v>543</v>
      </c>
      <c r="AB410" s="27" t="s">
        <v>175</v>
      </c>
      <c r="AC410" s="27" t="s">
        <v>160</v>
      </c>
      <c r="AD410" s="27" t="s">
        <v>160</v>
      </c>
      <c r="AE410" s="27" t="s">
        <v>161</v>
      </c>
      <c r="AF410" s="27" t="s">
        <v>162</v>
      </c>
      <c r="AG410" s="27" t="s">
        <v>177</v>
      </c>
      <c r="AH410" s="27" t="s">
        <v>164</v>
      </c>
      <c r="AI410" s="179"/>
      <c r="AJ410" s="27" t="s">
        <v>145</v>
      </c>
      <c r="AK410" s="27" t="s">
        <v>1140</v>
      </c>
      <c r="AL410" s="27" t="s">
        <v>164</v>
      </c>
      <c r="AM410" s="27" t="s">
        <v>145</v>
      </c>
      <c r="AN410" s="27" t="s">
        <v>1140</v>
      </c>
      <c r="AO410" s="27" t="s">
        <v>164</v>
      </c>
      <c r="AP410" s="136"/>
      <c r="AT410" s="27" t="str">
        <f t="shared" si="12"/>
        <v>Activo</v>
      </c>
      <c r="AU410" s="27" cm="1">
        <f t="array" aca="1" ref="AU410" ca="1">_xlfn.IFS(AT410="","",AT410="Activo",TODAY()-H410,AT410="Inactivo",AP410-H410)</f>
        <v>110</v>
      </c>
      <c r="AV410" s="180">
        <f ca="1">IF(ISBLANK(Tabla1[[#This Row],[Fecha Nacimento (dd/mm/yyyy)]]),"",YEARFRAC(Tabla1[[#This Row],[Fecha Nacimento (dd/mm/yyyy)]],TODAY()))</f>
        <v>31.402777777777779</v>
      </c>
      <c r="AW410" s="141"/>
    </row>
    <row r="411" spans="1:49" s="27" customFormat="1" x14ac:dyDescent="0.25">
      <c r="A411" s="134">
        <v>415</v>
      </c>
      <c r="B411" s="27" t="s">
        <v>1886</v>
      </c>
      <c r="C411" s="27" t="s">
        <v>2255</v>
      </c>
      <c r="D411" s="27" t="s">
        <v>141</v>
      </c>
      <c r="E411" s="400">
        <v>1007490581</v>
      </c>
      <c r="F411" s="27" t="s">
        <v>142</v>
      </c>
      <c r="G411" s="27" t="s">
        <v>143</v>
      </c>
      <c r="H411" s="136">
        <v>45346</v>
      </c>
      <c r="I411" s="136"/>
      <c r="J411" s="27" t="s">
        <v>144</v>
      </c>
      <c r="K411" s="138">
        <v>1300000</v>
      </c>
      <c r="L411" s="27" t="s">
        <v>145</v>
      </c>
      <c r="M411" s="27" t="s">
        <v>355</v>
      </c>
      <c r="N411" s="27" t="s">
        <v>145</v>
      </c>
      <c r="O411" s="213" t="s">
        <v>2256</v>
      </c>
      <c r="Q411" s="27" t="s">
        <v>148</v>
      </c>
      <c r="R411" s="27" t="s">
        <v>168</v>
      </c>
      <c r="S411" s="27" t="s">
        <v>150</v>
      </c>
      <c r="T411" s="180">
        <v>550138000067122</v>
      </c>
      <c r="U411" s="197">
        <v>36616</v>
      </c>
      <c r="V411" s="27" t="s">
        <v>2257</v>
      </c>
      <c r="W411" s="27">
        <v>3158238613</v>
      </c>
      <c r="X411" s="27" t="s">
        <v>154</v>
      </c>
      <c r="Y411" s="27" t="s">
        <v>2152</v>
      </c>
      <c r="Z411" s="27" t="s">
        <v>656</v>
      </c>
      <c r="AA411" s="27" t="s">
        <v>174</v>
      </c>
      <c r="AB411" s="27" t="s">
        <v>158</v>
      </c>
      <c r="AC411" s="27" t="s">
        <v>271</v>
      </c>
      <c r="AD411" s="27" t="s">
        <v>271</v>
      </c>
      <c r="AE411" s="27" t="s">
        <v>272</v>
      </c>
      <c r="AF411" s="27" t="s">
        <v>176</v>
      </c>
      <c r="AG411" s="27" t="s">
        <v>177</v>
      </c>
      <c r="AH411" s="27" t="s">
        <v>145</v>
      </c>
      <c r="AI411" s="179">
        <v>100000</v>
      </c>
      <c r="AJ411" s="27" t="s">
        <v>164</v>
      </c>
      <c r="AK411" s="27" t="s">
        <v>214</v>
      </c>
      <c r="AL411" s="27" t="s">
        <v>164</v>
      </c>
      <c r="AM411" s="27" t="s">
        <v>164</v>
      </c>
      <c r="AN411" s="27" t="s">
        <v>214</v>
      </c>
      <c r="AO411" s="27" t="s">
        <v>164</v>
      </c>
      <c r="AP411" s="136">
        <v>45346</v>
      </c>
      <c r="AQ411" s="27" t="s">
        <v>52</v>
      </c>
      <c r="AT411" s="27" t="str">
        <f t="shared" si="12"/>
        <v>Inactivo</v>
      </c>
      <c r="AU411" s="27" cm="1">
        <f t="array" aca="1" ref="AU411" ca="1">_xlfn.IFS(AT411="","",AT411="Activo",TODAY()-H411,AT411="Inactivo",AP411-H411)</f>
        <v>0</v>
      </c>
      <c r="AV411" s="180">
        <f ca="1">IF(ISBLANK(Tabla1[[#This Row],[Fecha Nacimento (dd/mm/yyyy)]]),"",YEARFRAC(Tabla1[[#This Row],[Fecha Nacimento (dd/mm/yyyy)]],TODAY()))</f>
        <v>24.213888888888889</v>
      </c>
      <c r="AW411" s="141"/>
    </row>
    <row r="412" spans="1:49" s="27" customFormat="1" x14ac:dyDescent="0.25">
      <c r="A412" s="134">
        <v>416</v>
      </c>
      <c r="B412" s="27" t="s">
        <v>2258</v>
      </c>
      <c r="C412" s="27" t="s">
        <v>2259</v>
      </c>
      <c r="D412" s="27" t="s">
        <v>141</v>
      </c>
      <c r="E412" s="400">
        <v>1007325862</v>
      </c>
      <c r="F412" s="27" t="s">
        <v>142</v>
      </c>
      <c r="G412" s="27" t="s">
        <v>143</v>
      </c>
      <c r="H412" s="136">
        <v>45348</v>
      </c>
      <c r="I412" s="136"/>
      <c r="J412" s="27" t="s">
        <v>144</v>
      </c>
      <c r="K412" s="138">
        <v>1500000</v>
      </c>
      <c r="L412" s="27" t="s">
        <v>145</v>
      </c>
      <c r="M412" s="27" t="s">
        <v>262</v>
      </c>
      <c r="N412" s="27" t="s">
        <v>145</v>
      </c>
      <c r="O412" s="213" t="s">
        <v>2260</v>
      </c>
      <c r="Q412" s="27" t="s">
        <v>148</v>
      </c>
      <c r="R412" s="27" t="s">
        <v>149</v>
      </c>
      <c r="S412" s="27" t="s">
        <v>150</v>
      </c>
      <c r="T412" s="28" t="s">
        <v>2261</v>
      </c>
      <c r="U412" s="197">
        <v>36633</v>
      </c>
      <c r="V412" s="27" t="s">
        <v>2262</v>
      </c>
      <c r="W412" s="27">
        <v>3204497059</v>
      </c>
      <c r="X412" s="27" t="s">
        <v>1394</v>
      </c>
      <c r="Y412" s="27" t="s">
        <v>2263</v>
      </c>
      <c r="Z412" s="27" t="s">
        <v>2264</v>
      </c>
      <c r="AA412" s="27" t="s">
        <v>1077</v>
      </c>
      <c r="AB412" s="27" t="s">
        <v>158</v>
      </c>
      <c r="AC412" s="27" t="s">
        <v>1812</v>
      </c>
      <c r="AD412" s="27" t="s">
        <v>160</v>
      </c>
      <c r="AE412" s="27" t="s">
        <v>1923</v>
      </c>
      <c r="AF412" s="27" t="s">
        <v>176</v>
      </c>
      <c r="AG412" s="27" t="s">
        <v>177</v>
      </c>
      <c r="AH412" s="27" t="s">
        <v>164</v>
      </c>
      <c r="AI412" s="179"/>
      <c r="AJ412" s="27" t="s">
        <v>1609</v>
      </c>
      <c r="AK412" s="27" t="s">
        <v>1069</v>
      </c>
      <c r="AL412" s="27" t="s">
        <v>164</v>
      </c>
      <c r="AM412" s="27" t="s">
        <v>145</v>
      </c>
      <c r="AN412" s="27" t="s">
        <v>214</v>
      </c>
      <c r="AO412" s="27" t="s">
        <v>164</v>
      </c>
      <c r="AP412" s="136"/>
      <c r="AT412" s="27" t="str">
        <f t="shared" si="12"/>
        <v>Activo</v>
      </c>
      <c r="AU412" s="27" cm="1">
        <f t="array" aca="1" ref="AU412" ca="1">_xlfn.IFS(AT412="","",AT412="Activo",TODAY()-H412,AT412="Inactivo",AP412-H412)</f>
        <v>112</v>
      </c>
      <c r="AV412" s="180">
        <f ca="1">IF(ISBLANK(Tabla1[[#This Row],[Fecha Nacimento (dd/mm/yyyy)]]),"",YEARFRAC(Tabla1[[#This Row],[Fecha Nacimento (dd/mm/yyyy)]],TODAY()))</f>
        <v>24.166666666666668</v>
      </c>
      <c r="AW412" s="141"/>
    </row>
    <row r="413" spans="1:49" s="27" customFormat="1" x14ac:dyDescent="0.25">
      <c r="A413" s="134">
        <v>417</v>
      </c>
      <c r="B413" s="27" t="s">
        <v>331</v>
      </c>
      <c r="C413" s="27" t="s">
        <v>2265</v>
      </c>
      <c r="D413" s="27" t="s">
        <v>141</v>
      </c>
      <c r="E413" s="400">
        <v>41956416</v>
      </c>
      <c r="F413" s="27" t="s">
        <v>142</v>
      </c>
      <c r="G413" s="27" t="s">
        <v>143</v>
      </c>
      <c r="H413" s="136">
        <v>45352</v>
      </c>
      <c r="I413" s="136"/>
      <c r="J413" s="27" t="s">
        <v>144</v>
      </c>
      <c r="K413" s="138">
        <v>1300000</v>
      </c>
      <c r="L413" s="27" t="s">
        <v>145</v>
      </c>
      <c r="M413" s="27" t="s">
        <v>262</v>
      </c>
      <c r="N413" s="27" t="s">
        <v>145</v>
      </c>
      <c r="O413" s="213" t="s">
        <v>2266</v>
      </c>
      <c r="Q413" s="27" t="s">
        <v>148</v>
      </c>
      <c r="R413" s="27" t="s">
        <v>149</v>
      </c>
      <c r="S413" s="27" t="s">
        <v>150</v>
      </c>
      <c r="T413" s="28" t="s">
        <v>2267</v>
      </c>
      <c r="U413" s="197">
        <v>30252</v>
      </c>
      <c r="V413" s="27" t="s">
        <v>2268</v>
      </c>
      <c r="W413" s="27">
        <v>3116272625</v>
      </c>
      <c r="X413" s="27" t="s">
        <v>154</v>
      </c>
      <c r="Y413" s="27" t="s">
        <v>155</v>
      </c>
      <c r="Z413" s="27" t="s">
        <v>2269</v>
      </c>
      <c r="AA413" s="27" t="s">
        <v>1077</v>
      </c>
      <c r="AB413" s="27" t="s">
        <v>1755</v>
      </c>
      <c r="AC413" s="27" t="s">
        <v>159</v>
      </c>
      <c r="AD413" s="27" t="s">
        <v>271</v>
      </c>
      <c r="AE413" s="27" t="s">
        <v>2270</v>
      </c>
      <c r="AF413" s="27" t="s">
        <v>162</v>
      </c>
      <c r="AG413" s="27" t="s">
        <v>177</v>
      </c>
      <c r="AH413" s="27" t="s">
        <v>164</v>
      </c>
      <c r="AI413" s="179"/>
      <c r="AJ413" s="27" t="s">
        <v>145</v>
      </c>
      <c r="AK413" s="27" t="s">
        <v>1069</v>
      </c>
      <c r="AL413" s="27" t="s">
        <v>164</v>
      </c>
      <c r="AM413" s="27" t="s">
        <v>164</v>
      </c>
      <c r="AN413" s="27" t="s">
        <v>1069</v>
      </c>
      <c r="AO413" s="27" t="s">
        <v>164</v>
      </c>
      <c r="AP413" s="136"/>
      <c r="AT413" s="27" t="str">
        <f t="shared" si="12"/>
        <v>Activo</v>
      </c>
      <c r="AU413" s="27" cm="1">
        <f t="array" aca="1" ref="AU413" ca="1">_xlfn.IFS(AT413="","",AT413="Activo",TODAY()-H413,AT413="Inactivo",AP413-H413)</f>
        <v>108</v>
      </c>
      <c r="AV413" s="180">
        <f ca="1">IF(ISBLANK(Tabla1[[#This Row],[Fecha Nacimento (dd/mm/yyyy)]]),"",YEARFRAC(Tabla1[[#This Row],[Fecha Nacimento (dd/mm/yyyy)]],TODAY()))</f>
        <v>41.636111111111113</v>
      </c>
      <c r="AW413" s="141"/>
    </row>
    <row r="414" spans="1:49" s="27" customFormat="1" x14ac:dyDescent="0.25">
      <c r="A414" s="134">
        <v>418</v>
      </c>
      <c r="B414" s="27" t="s">
        <v>2271</v>
      </c>
      <c r="C414" s="27" t="s">
        <v>2272</v>
      </c>
      <c r="D414" s="27" t="s">
        <v>141</v>
      </c>
      <c r="E414" s="400">
        <v>34066414</v>
      </c>
      <c r="F414" s="27" t="s">
        <v>142</v>
      </c>
      <c r="G414" s="27" t="s">
        <v>143</v>
      </c>
      <c r="H414" s="136">
        <v>45355</v>
      </c>
      <c r="I414" s="136"/>
      <c r="J414" s="27" t="s">
        <v>144</v>
      </c>
      <c r="K414" s="138">
        <v>1300000</v>
      </c>
      <c r="L414" s="27" t="s">
        <v>145</v>
      </c>
      <c r="M414" s="27" t="s">
        <v>262</v>
      </c>
      <c r="N414" s="27" t="s">
        <v>145</v>
      </c>
      <c r="O414" s="213" t="s">
        <v>2273</v>
      </c>
      <c r="Q414" s="27" t="s">
        <v>148</v>
      </c>
      <c r="R414" s="27" t="s">
        <v>168</v>
      </c>
      <c r="S414" s="27" t="s">
        <v>150</v>
      </c>
      <c r="T414" s="28" t="s">
        <v>2274</v>
      </c>
      <c r="U414" s="197">
        <v>31337</v>
      </c>
      <c r="V414" s="27" t="s">
        <v>2275</v>
      </c>
      <c r="W414" s="27">
        <v>3137390150</v>
      </c>
      <c r="X414" s="27" t="s">
        <v>154</v>
      </c>
      <c r="Y414" s="27" t="s">
        <v>1075</v>
      </c>
      <c r="Z414" s="27" t="s">
        <v>2254</v>
      </c>
      <c r="AA414" s="27" t="s">
        <v>211</v>
      </c>
      <c r="AB414" s="27" t="s">
        <v>1996</v>
      </c>
      <c r="AC414" s="27" t="s">
        <v>160</v>
      </c>
      <c r="AD414" s="27" t="s">
        <v>160</v>
      </c>
      <c r="AE414" s="27" t="s">
        <v>161</v>
      </c>
      <c r="AF414" s="27" t="s">
        <v>162</v>
      </c>
      <c r="AG414" s="27" t="s">
        <v>177</v>
      </c>
      <c r="AH414" s="27" t="s">
        <v>164</v>
      </c>
      <c r="AI414" s="179"/>
      <c r="AJ414" s="27" t="s">
        <v>145</v>
      </c>
      <c r="AP414" s="136">
        <v>45432</v>
      </c>
      <c r="AQ414" s="27" t="s">
        <v>52</v>
      </c>
      <c r="AT414" s="27" t="str">
        <f t="shared" si="12"/>
        <v>Inactivo</v>
      </c>
      <c r="AU414" s="27" cm="1">
        <f t="array" aca="1" ref="AU414" ca="1">_xlfn.IFS(AT414="","",AT414="Activo",TODAY()-H414,AT414="Inactivo",AP414-H414)</f>
        <v>77</v>
      </c>
      <c r="AV414" s="180">
        <f ca="1">IF(ISBLANK(Tabla1[[#This Row],[Fecha Nacimento (dd/mm/yyyy)]]),"",YEARFRAC(Tabla1[[#This Row],[Fecha Nacimento (dd/mm/yyyy)]],TODAY()))</f>
        <v>38.666666666666664</v>
      </c>
      <c r="AW414" s="141"/>
    </row>
    <row r="415" spans="1:49" s="27" customFormat="1" x14ac:dyDescent="0.25">
      <c r="A415" s="134">
        <v>419</v>
      </c>
      <c r="B415" s="27" t="s">
        <v>2027</v>
      </c>
      <c r="C415" s="27" t="s">
        <v>2028</v>
      </c>
      <c r="D415" s="27" t="s">
        <v>141</v>
      </c>
      <c r="E415" s="400">
        <v>89007344</v>
      </c>
      <c r="F415" s="27" t="s">
        <v>142</v>
      </c>
      <c r="G415" s="27" t="s">
        <v>143</v>
      </c>
      <c r="H415" s="136">
        <v>38777</v>
      </c>
      <c r="I415" s="136"/>
      <c r="J415" s="27" t="s">
        <v>144</v>
      </c>
      <c r="K415" s="138">
        <v>1300000</v>
      </c>
      <c r="L415" s="27" t="s">
        <v>145</v>
      </c>
      <c r="M415" s="27" t="s">
        <v>262</v>
      </c>
      <c r="N415" s="27" t="s">
        <v>145</v>
      </c>
      <c r="O415" s="213" t="s">
        <v>2990</v>
      </c>
      <c r="T415" s="27" t="s">
        <v>2989</v>
      </c>
      <c r="U415" s="313">
        <v>28100</v>
      </c>
      <c r="V415" s="27" t="s">
        <v>2991</v>
      </c>
      <c r="W415" s="27">
        <v>3116090579</v>
      </c>
      <c r="X415" s="27" t="s">
        <v>154</v>
      </c>
      <c r="Y415" s="27" t="s">
        <v>155</v>
      </c>
      <c r="Z415" s="27" t="s">
        <v>2034</v>
      </c>
      <c r="AA415" s="27" t="s">
        <v>211</v>
      </c>
      <c r="AB415" s="27" t="s">
        <v>1996</v>
      </c>
      <c r="AC415" s="27" t="s">
        <v>271</v>
      </c>
      <c r="AD415" s="27" t="s">
        <v>271</v>
      </c>
      <c r="AE415" s="27" t="s">
        <v>2035</v>
      </c>
      <c r="AF415" s="27" t="s">
        <v>176</v>
      </c>
      <c r="AG415" s="27" t="s">
        <v>177</v>
      </c>
      <c r="AH415" s="27" t="s">
        <v>164</v>
      </c>
      <c r="AI415" s="179"/>
      <c r="AP415" s="136"/>
      <c r="AT415" s="27" t="str">
        <f t="shared" si="12"/>
        <v>Activo</v>
      </c>
      <c r="AU415" s="319" cm="1">
        <f t="array" aca="1" ref="AU415" ca="1">_xlfn.IFS(AT415="","",AT415="Activo",TODAY()-H415,AT415="Inactivo",AP415-H415)</f>
        <v>6683</v>
      </c>
      <c r="AV415" s="180">
        <f ca="1">IF(ISBLANK(Tabla1[[#This Row],[Fecha Nacimento (dd/mm/yyyy)]]),"",YEARFRAC(Tabla1[[#This Row],[Fecha Nacimento (dd/mm/yyyy)]],TODAY()))</f>
        <v>47.530555555555559</v>
      </c>
      <c r="AW415" s="141"/>
    </row>
    <row r="416" spans="1:49" s="27" customFormat="1" x14ac:dyDescent="0.25">
      <c r="A416" s="134">
        <v>420</v>
      </c>
      <c r="B416" s="27" t="s">
        <v>2276</v>
      </c>
      <c r="C416" s="27" t="s">
        <v>2026</v>
      </c>
      <c r="D416" s="27" t="s">
        <v>141</v>
      </c>
      <c r="E416" s="400">
        <v>9857134</v>
      </c>
      <c r="F416" s="27" t="s">
        <v>142</v>
      </c>
      <c r="G416" s="27" t="s">
        <v>143</v>
      </c>
      <c r="H416" s="136">
        <v>38781</v>
      </c>
      <c r="I416" s="136"/>
      <c r="J416" s="27" t="s">
        <v>144</v>
      </c>
      <c r="K416" s="138">
        <v>1300000</v>
      </c>
      <c r="L416" s="27" t="s">
        <v>145</v>
      </c>
      <c r="M416" s="27" t="s">
        <v>262</v>
      </c>
      <c r="N416" s="27" t="s">
        <v>145</v>
      </c>
      <c r="O416" s="139"/>
      <c r="T416" s="27" t="s">
        <v>2988</v>
      </c>
      <c r="U416" s="313"/>
      <c r="V416" s="27" t="s">
        <v>2987</v>
      </c>
      <c r="W416" s="27">
        <v>3116267145</v>
      </c>
      <c r="X416" s="27" t="s">
        <v>154</v>
      </c>
      <c r="Y416" s="27" t="s">
        <v>155</v>
      </c>
      <c r="Z416" s="27" t="s">
        <v>2034</v>
      </c>
      <c r="AA416" s="27" t="s">
        <v>211</v>
      </c>
      <c r="AE416" s="27" t="s">
        <v>2035</v>
      </c>
      <c r="AF416" s="27" t="s">
        <v>176</v>
      </c>
      <c r="AG416" s="27" t="s">
        <v>177</v>
      </c>
      <c r="AH416" s="27" t="s">
        <v>164</v>
      </c>
      <c r="AI416" s="179"/>
      <c r="AP416" s="136"/>
      <c r="AT416" s="27" t="str">
        <f t="shared" si="12"/>
        <v>Activo</v>
      </c>
      <c r="AU416" s="319" cm="1">
        <f t="array" aca="1" ref="AU416" ca="1">_xlfn.IFS(AT416="","",AT416="Activo",TODAY()-H416,AT416="Inactivo",AP416-H416)</f>
        <v>6679</v>
      </c>
      <c r="AV416" s="180" t="str">
        <f ca="1">IF(ISBLANK(Tabla1[[#This Row],[Fecha Nacimento (dd/mm/yyyy)]]),"",YEARFRAC(Tabla1[[#This Row],[Fecha Nacimento (dd/mm/yyyy)]],TODAY()))</f>
        <v/>
      </c>
      <c r="AW416" s="141"/>
    </row>
    <row r="417" spans="1:49" s="27" customFormat="1" x14ac:dyDescent="0.25">
      <c r="A417" s="134">
        <v>421</v>
      </c>
      <c r="B417" s="27" t="s">
        <v>1172</v>
      </c>
      <c r="C417" s="27" t="s">
        <v>2039</v>
      </c>
      <c r="D417" s="27" t="s">
        <v>141</v>
      </c>
      <c r="E417" s="400">
        <v>9728449</v>
      </c>
      <c r="F417" s="27" t="s">
        <v>142</v>
      </c>
      <c r="G417" s="27" t="s">
        <v>143</v>
      </c>
      <c r="H417" s="136">
        <v>40603</v>
      </c>
      <c r="I417" s="136"/>
      <c r="J417" s="27" t="s">
        <v>144</v>
      </c>
      <c r="K417" s="138">
        <v>1300000</v>
      </c>
      <c r="L417" s="27" t="s">
        <v>145</v>
      </c>
      <c r="M417" s="27" t="s">
        <v>262</v>
      </c>
      <c r="N417" s="27" t="s">
        <v>145</v>
      </c>
      <c r="O417" s="139" t="s">
        <v>2040</v>
      </c>
      <c r="Q417" s="27" t="s">
        <v>148</v>
      </c>
      <c r="R417" s="27" t="s">
        <v>371</v>
      </c>
      <c r="S417" s="27" t="s">
        <v>150</v>
      </c>
      <c r="T417" s="27">
        <v>3217150108</v>
      </c>
      <c r="U417" s="313">
        <v>29663</v>
      </c>
      <c r="V417" s="27" t="s">
        <v>2277</v>
      </c>
      <c r="W417" s="27">
        <v>3217150108</v>
      </c>
      <c r="X417" s="27" t="s">
        <v>154</v>
      </c>
      <c r="Y417" s="27" t="s">
        <v>155</v>
      </c>
      <c r="Z417" s="27" t="s">
        <v>2034</v>
      </c>
      <c r="AA417" s="27" t="s">
        <v>211</v>
      </c>
      <c r="AB417" s="27" t="s">
        <v>212</v>
      </c>
      <c r="AC417" s="27" t="s">
        <v>160</v>
      </c>
      <c r="AD417" s="27" t="s">
        <v>160</v>
      </c>
      <c r="AE417" s="27" t="s">
        <v>2035</v>
      </c>
      <c r="AF417" s="27" t="s">
        <v>176</v>
      </c>
      <c r="AG417" s="27" t="s">
        <v>177</v>
      </c>
      <c r="AH417" s="27" t="s">
        <v>164</v>
      </c>
      <c r="AI417" s="179"/>
      <c r="AP417" s="136"/>
      <c r="AT417" s="27" t="str">
        <f t="shared" si="12"/>
        <v>Activo</v>
      </c>
      <c r="AU417" s="319" cm="1">
        <f t="array" aca="1" ref="AU417" ca="1">_xlfn.IFS(AT417="","",AT417="Activo",TODAY()-H417,AT417="Inactivo",AP417-H417)</f>
        <v>4857</v>
      </c>
      <c r="AV417" s="180">
        <f ca="1">IF(ISBLANK(Tabla1[[#This Row],[Fecha Nacimento (dd/mm/yyyy)]]),"",YEARFRAC(Tabla1[[#This Row],[Fecha Nacimento (dd/mm/yyyy)]],TODAY()))</f>
        <v>43.24722222222222</v>
      </c>
      <c r="AW417" s="141"/>
    </row>
    <row r="418" spans="1:49" s="27" customFormat="1" x14ac:dyDescent="0.25">
      <c r="A418" s="134">
        <v>422</v>
      </c>
      <c r="B418" s="27" t="s">
        <v>1798</v>
      </c>
      <c r="C418" s="27" t="s">
        <v>2042</v>
      </c>
      <c r="D418" s="27" t="s">
        <v>141</v>
      </c>
      <c r="E418" s="400">
        <v>9773298</v>
      </c>
      <c r="F418" s="27" t="s">
        <v>142</v>
      </c>
      <c r="G418" s="27" t="s">
        <v>143</v>
      </c>
      <c r="H418" s="136">
        <v>42611</v>
      </c>
      <c r="I418" s="136"/>
      <c r="J418" s="27" t="s">
        <v>144</v>
      </c>
      <c r="K418" s="138">
        <v>1300000</v>
      </c>
      <c r="L418" s="27" t="s">
        <v>145</v>
      </c>
      <c r="M418" s="27" t="s">
        <v>262</v>
      </c>
      <c r="N418" s="27" t="s">
        <v>145</v>
      </c>
      <c r="O418" s="213" t="s">
        <v>2278</v>
      </c>
      <c r="Q418" s="27" t="s">
        <v>148</v>
      </c>
      <c r="R418" s="27" t="s">
        <v>371</v>
      </c>
      <c r="S418" s="27" t="s">
        <v>150</v>
      </c>
      <c r="T418" s="27">
        <v>3207808166</v>
      </c>
      <c r="U418" s="313">
        <v>30999</v>
      </c>
      <c r="V418" s="27" t="s">
        <v>2279</v>
      </c>
      <c r="W418" s="27">
        <v>3207808166</v>
      </c>
      <c r="X418" s="27" t="s">
        <v>154</v>
      </c>
      <c r="Y418" s="27" t="s">
        <v>172</v>
      </c>
      <c r="Z418" s="27" t="s">
        <v>19</v>
      </c>
      <c r="AA418" s="27" t="s">
        <v>211</v>
      </c>
      <c r="AB418" s="27" t="s">
        <v>158</v>
      </c>
      <c r="AC418" s="27" t="s">
        <v>160</v>
      </c>
      <c r="AD418" s="27" t="s">
        <v>160</v>
      </c>
      <c r="AE418" s="27" t="s">
        <v>2035</v>
      </c>
      <c r="AF418" s="27" t="s">
        <v>176</v>
      </c>
      <c r="AG418" s="27" t="s">
        <v>177</v>
      </c>
      <c r="AH418" s="27" t="s">
        <v>164</v>
      </c>
      <c r="AI418" s="179"/>
      <c r="AP418" s="136"/>
      <c r="AT418" s="27" t="str">
        <f t="shared" si="12"/>
        <v>Activo</v>
      </c>
      <c r="AU418" s="27" cm="1">
        <f t="array" aca="1" ref="AU418" ca="1">_xlfn.IFS(AT418="","",AT418="Activo",TODAY()-H418,AT418="Inactivo",AP418-H418)</f>
        <v>2849</v>
      </c>
      <c r="AV418" s="180">
        <f ca="1">IF(ISBLANK(Tabla1[[#This Row],[Fecha Nacimento (dd/mm/yyyy)]]),"",YEARFRAC(Tabla1[[#This Row],[Fecha Nacimento (dd/mm/yyyy)]],TODAY()))</f>
        <v>39.594444444444441</v>
      </c>
      <c r="AW418" s="141"/>
    </row>
    <row r="419" spans="1:49" s="27" customFormat="1" x14ac:dyDescent="0.25">
      <c r="A419" s="134">
        <v>423</v>
      </c>
      <c r="B419" s="27" t="s">
        <v>2045</v>
      </c>
      <c r="C419" s="27" t="s">
        <v>2046</v>
      </c>
      <c r="D419" s="27" t="s">
        <v>141</v>
      </c>
      <c r="E419" s="400">
        <v>24581913</v>
      </c>
      <c r="F419" s="27" t="s">
        <v>142</v>
      </c>
      <c r="G419" s="27" t="s">
        <v>143</v>
      </c>
      <c r="H419" s="136">
        <v>40603</v>
      </c>
      <c r="I419" s="136"/>
      <c r="J419" s="27" t="s">
        <v>144</v>
      </c>
      <c r="K419" s="138">
        <v>1300000</v>
      </c>
      <c r="L419" s="27" t="s">
        <v>145</v>
      </c>
      <c r="M419" s="27" t="s">
        <v>262</v>
      </c>
      <c r="N419" s="27" t="s">
        <v>145</v>
      </c>
      <c r="O419" s="139" t="s">
        <v>2047</v>
      </c>
      <c r="Q419" s="27" t="s">
        <v>148</v>
      </c>
      <c r="R419" s="27" t="s">
        <v>371</v>
      </c>
      <c r="S419" s="27" t="s">
        <v>150</v>
      </c>
      <c r="T419" s="27">
        <v>3103524059</v>
      </c>
      <c r="U419" s="313">
        <v>25643</v>
      </c>
      <c r="V419" s="27" t="s">
        <v>2280</v>
      </c>
      <c r="W419" s="27">
        <v>3103524059</v>
      </c>
      <c r="X419" s="27" t="s">
        <v>154</v>
      </c>
      <c r="Y419" s="27" t="s">
        <v>155</v>
      </c>
      <c r="Z419" s="27" t="s">
        <v>2034</v>
      </c>
      <c r="AA419" s="27" t="s">
        <v>211</v>
      </c>
      <c r="AB419" s="27" t="s">
        <v>158</v>
      </c>
      <c r="AC419" s="27" t="s">
        <v>160</v>
      </c>
      <c r="AD419" s="27" t="s">
        <v>160</v>
      </c>
      <c r="AE419" s="27" t="s">
        <v>2035</v>
      </c>
      <c r="AF419" s="27" t="s">
        <v>162</v>
      </c>
      <c r="AG419" s="27" t="s">
        <v>177</v>
      </c>
      <c r="AH419" s="27" t="s">
        <v>164</v>
      </c>
      <c r="AI419" s="179"/>
      <c r="AP419" s="136"/>
      <c r="AT419" s="27" t="str">
        <f t="shared" si="12"/>
        <v>Activo</v>
      </c>
      <c r="AU419" s="319" cm="1">
        <f t="array" aca="1" ref="AU419" ca="1">_xlfn.IFS(AT419="","",AT419="Activo",TODAY()-H419,AT419="Inactivo",AP419-H419)</f>
        <v>4857</v>
      </c>
      <c r="AV419" s="180">
        <f ca="1">IF(ISBLANK(Tabla1[[#This Row],[Fecha Nacimento (dd/mm/yyyy)]]),"",YEARFRAC(Tabla1[[#This Row],[Fecha Nacimento (dd/mm/yyyy)]],TODAY()))</f>
        <v>54.25277777777778</v>
      </c>
      <c r="AW419" s="141"/>
    </row>
    <row r="420" spans="1:49" s="27" customFormat="1" x14ac:dyDescent="0.25">
      <c r="A420" s="134">
        <v>424</v>
      </c>
      <c r="B420" s="27" t="s">
        <v>2281</v>
      </c>
      <c r="C420" s="27" t="s">
        <v>2282</v>
      </c>
      <c r="D420" s="27" t="s">
        <v>141</v>
      </c>
      <c r="E420" s="400">
        <v>18468806</v>
      </c>
      <c r="F420" s="27" t="s">
        <v>142</v>
      </c>
      <c r="G420" s="27" t="s">
        <v>143</v>
      </c>
      <c r="H420" s="136">
        <v>40603</v>
      </c>
      <c r="I420" s="136"/>
      <c r="J420" s="27" t="s">
        <v>144</v>
      </c>
      <c r="K420" s="138">
        <v>1300000</v>
      </c>
      <c r="L420" s="27" t="s">
        <v>145</v>
      </c>
      <c r="M420" s="27" t="s">
        <v>262</v>
      </c>
      <c r="N420" s="27" t="s">
        <v>145</v>
      </c>
      <c r="O420" s="139" t="s">
        <v>1506</v>
      </c>
      <c r="Q420" s="27" t="s">
        <v>148</v>
      </c>
      <c r="R420" s="27" t="s">
        <v>371</v>
      </c>
      <c r="S420" s="27" t="s">
        <v>150</v>
      </c>
      <c r="T420" s="27">
        <v>3187020828</v>
      </c>
      <c r="U420" s="313">
        <v>27951</v>
      </c>
      <c r="V420" s="27" t="s">
        <v>2283</v>
      </c>
      <c r="W420" s="27">
        <v>3187020828</v>
      </c>
      <c r="X420" s="27" t="s">
        <v>154</v>
      </c>
      <c r="Y420" s="27" t="s">
        <v>155</v>
      </c>
      <c r="Z420" s="27" t="s">
        <v>2034</v>
      </c>
      <c r="AA420" s="27" t="s">
        <v>211</v>
      </c>
      <c r="AB420" s="27" t="s">
        <v>158</v>
      </c>
      <c r="AC420" s="27" t="s">
        <v>159</v>
      </c>
      <c r="AD420" s="27" t="s">
        <v>160</v>
      </c>
      <c r="AE420" s="27" t="s">
        <v>2035</v>
      </c>
      <c r="AF420" s="27" t="s">
        <v>176</v>
      </c>
      <c r="AG420" s="27" t="s">
        <v>177</v>
      </c>
      <c r="AH420" s="27" t="s">
        <v>164</v>
      </c>
      <c r="AI420" s="179"/>
      <c r="AP420" s="136"/>
      <c r="AT420" s="27" t="str">
        <f t="shared" si="12"/>
        <v>Activo</v>
      </c>
      <c r="AU420" s="319" cm="1">
        <f t="array" aca="1" ref="AU420" ca="1">_xlfn.IFS(AT420="","",AT420="Activo",TODAY()-H420,AT420="Inactivo",AP420-H420)</f>
        <v>4857</v>
      </c>
      <c r="AV420" s="180">
        <f ca="1">IF(ISBLANK(Tabla1[[#This Row],[Fecha Nacimento (dd/mm/yyyy)]]),"",YEARFRAC(Tabla1[[#This Row],[Fecha Nacimento (dd/mm/yyyy)]],TODAY()))</f>
        <v>47.93611111111111</v>
      </c>
      <c r="AW420" s="141"/>
    </row>
    <row r="421" spans="1:49" s="27" customFormat="1" x14ac:dyDescent="0.25">
      <c r="A421" s="134">
        <v>425</v>
      </c>
      <c r="B421" s="27" t="s">
        <v>2142</v>
      </c>
      <c r="C421" s="27" t="s">
        <v>2031</v>
      </c>
      <c r="D421" s="27" t="s">
        <v>141</v>
      </c>
      <c r="E421" s="400">
        <v>9733492</v>
      </c>
      <c r="F421" s="27" t="s">
        <v>142</v>
      </c>
      <c r="G421" s="27" t="s">
        <v>959</v>
      </c>
      <c r="H421" s="136">
        <v>45107</v>
      </c>
      <c r="I421" s="136"/>
      <c r="J421" s="27" t="s">
        <v>144</v>
      </c>
      <c r="K421" s="138"/>
      <c r="L421" s="27" t="s">
        <v>145</v>
      </c>
      <c r="M421" s="27" t="s">
        <v>262</v>
      </c>
      <c r="N421" s="27" t="s">
        <v>145</v>
      </c>
      <c r="O421" s="139" t="s">
        <v>2284</v>
      </c>
      <c r="U421" s="313">
        <v>29127</v>
      </c>
      <c r="V421" s="27" t="s">
        <v>2285</v>
      </c>
      <c r="X421" s="27" t="s">
        <v>154</v>
      </c>
      <c r="Z421" s="27" t="s">
        <v>2034</v>
      </c>
      <c r="AA421" s="27" t="s">
        <v>211</v>
      </c>
      <c r="AB421" s="27" t="s">
        <v>259</v>
      </c>
      <c r="AI421" s="179"/>
      <c r="AP421" s="136"/>
      <c r="AT421" s="27" t="str">
        <f t="shared" si="12"/>
        <v>Activo</v>
      </c>
      <c r="AU421" s="27" cm="1">
        <f t="array" aca="1" ref="AU421" ca="1">_xlfn.IFS(AT421="","",AT421="Activo",TODAY()-H421,AT421="Inactivo",AP421-H421)</f>
        <v>353</v>
      </c>
      <c r="AV421" s="180">
        <f ca="1">IF(ISBLANK(Tabla1[[#This Row],[Fecha Nacimento (dd/mm/yyyy)]]),"",YEARFRAC(Tabla1[[#This Row],[Fecha Nacimento (dd/mm/yyyy)]],TODAY()))</f>
        <v>44.716666666666669</v>
      </c>
      <c r="AW421" s="141"/>
    </row>
    <row r="422" spans="1:49" s="27" customFormat="1" x14ac:dyDescent="0.25">
      <c r="A422" s="134">
        <v>426</v>
      </c>
      <c r="B422" s="27" t="s">
        <v>2286</v>
      </c>
      <c r="C422" s="27" t="s">
        <v>2287</v>
      </c>
      <c r="D422" s="27" t="s">
        <v>141</v>
      </c>
      <c r="E422" s="400">
        <v>1192912010</v>
      </c>
      <c r="F422" s="27" t="s">
        <v>142</v>
      </c>
      <c r="G422" s="27" t="s">
        <v>143</v>
      </c>
      <c r="H422" s="136">
        <v>45355</v>
      </c>
      <c r="I422" s="136"/>
      <c r="J422" s="27" t="s">
        <v>144</v>
      </c>
      <c r="K422" s="138">
        <v>1300000</v>
      </c>
      <c r="L422" s="27" t="s">
        <v>145</v>
      </c>
      <c r="M422" s="27" t="s">
        <v>262</v>
      </c>
      <c r="N422" s="27" t="s">
        <v>145</v>
      </c>
      <c r="O422" s="213" t="s">
        <v>2288</v>
      </c>
      <c r="Q422" s="27" t="s">
        <v>148</v>
      </c>
      <c r="R422" s="27" t="s">
        <v>149</v>
      </c>
      <c r="S422" s="27" t="s">
        <v>150</v>
      </c>
      <c r="T422" s="28" t="s">
        <v>2289</v>
      </c>
      <c r="U422" s="197">
        <v>36780</v>
      </c>
      <c r="V422" s="27" t="s">
        <v>2290</v>
      </c>
      <c r="W422" s="27">
        <v>3023045995</v>
      </c>
      <c r="X422" s="27" t="s">
        <v>1181</v>
      </c>
      <c r="Y422" s="27" t="s">
        <v>1817</v>
      </c>
      <c r="Z422" s="27" t="s">
        <v>2107</v>
      </c>
      <c r="AA422" s="27" t="s">
        <v>211</v>
      </c>
      <c r="AB422" s="27" t="s">
        <v>186</v>
      </c>
      <c r="AC422" s="27" t="s">
        <v>160</v>
      </c>
      <c r="AD422" s="27" t="s">
        <v>160</v>
      </c>
      <c r="AE422" s="27" t="s">
        <v>2078</v>
      </c>
      <c r="AF422" s="27" t="s">
        <v>162</v>
      </c>
      <c r="AG422" s="27" t="s">
        <v>177</v>
      </c>
      <c r="AH422" s="27" t="s">
        <v>164</v>
      </c>
      <c r="AI422" s="179"/>
      <c r="AJ422" s="27" t="s">
        <v>164</v>
      </c>
      <c r="AK422" s="27" t="s">
        <v>214</v>
      </c>
      <c r="AL422" s="27" t="s">
        <v>214</v>
      </c>
      <c r="AM422" s="27" t="s">
        <v>164</v>
      </c>
      <c r="AN422" s="27" t="s">
        <v>214</v>
      </c>
      <c r="AO422" s="27" t="s">
        <v>214</v>
      </c>
      <c r="AP422" s="136">
        <v>45356</v>
      </c>
      <c r="AQ422" s="27" t="s">
        <v>52</v>
      </c>
      <c r="AT422" s="27" t="str">
        <f t="shared" si="12"/>
        <v>Inactivo</v>
      </c>
      <c r="AU422" s="27" cm="1">
        <f t="array" aca="1" ref="AU422" ca="1">_xlfn.IFS(AT422="","",AT422="Activo",TODAY()-H422,AT422="Inactivo",AP422-H422)</f>
        <v>1</v>
      </c>
      <c r="AV422" s="180">
        <f ca="1">IF(ISBLANK(Tabla1[[#This Row],[Fecha Nacimento (dd/mm/yyyy)]]),"",YEARFRAC(Tabla1[[#This Row],[Fecha Nacimento (dd/mm/yyyy)]],TODAY()))</f>
        <v>23.766666666666666</v>
      </c>
      <c r="AW422" s="141"/>
    </row>
    <row r="423" spans="1:49" s="27" customFormat="1" x14ac:dyDescent="0.25">
      <c r="A423" s="134">
        <v>427</v>
      </c>
      <c r="B423" s="27" t="s">
        <v>2291</v>
      </c>
      <c r="C423" s="27" t="s">
        <v>2292</v>
      </c>
      <c r="D423" s="27" t="s">
        <v>141</v>
      </c>
      <c r="E423" s="400">
        <v>1097731226</v>
      </c>
      <c r="F423" s="27" t="s">
        <v>142</v>
      </c>
      <c r="G423" s="27" t="s">
        <v>143</v>
      </c>
      <c r="H423" s="136">
        <v>45356</v>
      </c>
      <c r="I423" s="136"/>
      <c r="J423" s="27" t="s">
        <v>144</v>
      </c>
      <c r="K423" s="138">
        <v>1650000</v>
      </c>
      <c r="L423" s="27" t="s">
        <v>145</v>
      </c>
      <c r="M423" s="27" t="s">
        <v>262</v>
      </c>
      <c r="N423" s="27" t="s">
        <v>145</v>
      </c>
      <c r="O423" s="213" t="s">
        <v>2293</v>
      </c>
      <c r="Q423" s="27" t="s">
        <v>148</v>
      </c>
      <c r="R423" s="27" t="s">
        <v>149</v>
      </c>
      <c r="S423" s="27" t="s">
        <v>150</v>
      </c>
      <c r="T423" s="28" t="s">
        <v>2294</v>
      </c>
      <c r="U423" s="197">
        <v>36180</v>
      </c>
      <c r="V423" s="27" t="s">
        <v>2295</v>
      </c>
      <c r="W423" s="27">
        <v>3194130265</v>
      </c>
      <c r="X423" s="27" t="s">
        <v>154</v>
      </c>
      <c r="Y423" s="27" t="s">
        <v>2296</v>
      </c>
      <c r="Z423" s="27" t="s">
        <v>2297</v>
      </c>
      <c r="AA423" s="27" t="s">
        <v>211</v>
      </c>
      <c r="AB423" s="27" t="s">
        <v>175</v>
      </c>
      <c r="AC423" s="27" t="s">
        <v>271</v>
      </c>
      <c r="AD423" s="27" t="s">
        <v>271</v>
      </c>
      <c r="AE423" s="27" t="s">
        <v>1048</v>
      </c>
      <c r="AF423" s="27" t="s">
        <v>176</v>
      </c>
      <c r="AG423" s="27" t="s">
        <v>177</v>
      </c>
      <c r="AH423" s="27" t="s">
        <v>145</v>
      </c>
      <c r="AI423" s="179">
        <v>650000</v>
      </c>
      <c r="AJ423" s="27" t="s">
        <v>164</v>
      </c>
      <c r="AK423" s="27" t="s">
        <v>214</v>
      </c>
      <c r="AL423" s="27" t="s">
        <v>214</v>
      </c>
      <c r="AM423" s="27" t="s">
        <v>164</v>
      </c>
      <c r="AN423" s="27" t="s">
        <v>214</v>
      </c>
      <c r="AO423" s="27" t="s">
        <v>214</v>
      </c>
      <c r="AP423" s="136"/>
      <c r="AT423" s="27" t="str">
        <f t="shared" si="12"/>
        <v>Activo</v>
      </c>
      <c r="AU423" s="27" cm="1">
        <f t="array" aca="1" ref="AU423" ca="1">_xlfn.IFS(AT423="","",AT423="Activo",TODAY()-H423,AT423="Inactivo",AP423-H423)</f>
        <v>104</v>
      </c>
      <c r="AV423" s="180">
        <f ca="1">IF(ISBLANK(Tabla1[[#This Row],[Fecha Nacimento (dd/mm/yyyy)]]),"",YEARFRAC(Tabla1[[#This Row],[Fecha Nacimento (dd/mm/yyyy)]],TODAY()))</f>
        <v>25.408333333333335</v>
      </c>
      <c r="AW423" s="141"/>
    </row>
    <row r="424" spans="1:49" s="27" customFormat="1" x14ac:dyDescent="0.25">
      <c r="A424" s="134">
        <v>428</v>
      </c>
      <c r="B424" s="27" t="s">
        <v>2298</v>
      </c>
      <c r="C424" s="27" t="s">
        <v>2299</v>
      </c>
      <c r="D424" s="27" t="s">
        <v>141</v>
      </c>
      <c r="E424" s="400">
        <v>6111798</v>
      </c>
      <c r="F424" s="27" t="s">
        <v>142</v>
      </c>
      <c r="G424" s="27" t="s">
        <v>143</v>
      </c>
      <c r="H424" s="136">
        <v>45357</v>
      </c>
      <c r="I424" s="136"/>
      <c r="J424" s="27" t="s">
        <v>144</v>
      </c>
      <c r="K424" s="138">
        <v>1300000</v>
      </c>
      <c r="L424" s="27" t="s">
        <v>164</v>
      </c>
      <c r="M424" s="27" t="s">
        <v>262</v>
      </c>
      <c r="N424" s="27" t="s">
        <v>145</v>
      </c>
      <c r="O424" s="139" t="s">
        <v>2300</v>
      </c>
      <c r="Q424" s="27" t="s">
        <v>205</v>
      </c>
      <c r="U424" s="197">
        <v>24655</v>
      </c>
      <c r="V424" s="314" t="s">
        <v>2301</v>
      </c>
      <c r="W424" s="27">
        <v>3167690308</v>
      </c>
      <c r="X424" s="27" t="s">
        <v>436</v>
      </c>
      <c r="Y424" s="27" t="s">
        <v>2152</v>
      </c>
      <c r="Z424" s="27" t="s">
        <v>1840</v>
      </c>
      <c r="AA424" s="27" t="s">
        <v>211</v>
      </c>
      <c r="AB424" s="27" t="s">
        <v>175</v>
      </c>
      <c r="AC424" s="27" t="s">
        <v>159</v>
      </c>
      <c r="AD424" s="27" t="s">
        <v>271</v>
      </c>
      <c r="AE424" s="27" t="s">
        <v>1027</v>
      </c>
      <c r="AF424" s="27" t="s">
        <v>176</v>
      </c>
      <c r="AG424" s="27" t="s">
        <v>177</v>
      </c>
      <c r="AH424" s="27" t="s">
        <v>145</v>
      </c>
      <c r="AI424" s="179">
        <v>304000</v>
      </c>
      <c r="AJ424" s="27" t="s">
        <v>164</v>
      </c>
      <c r="AK424" s="27" t="s">
        <v>214</v>
      </c>
      <c r="AL424" s="27" t="s">
        <v>214</v>
      </c>
      <c r="AM424" s="27" t="s">
        <v>164</v>
      </c>
      <c r="AN424" s="27" t="s">
        <v>214</v>
      </c>
      <c r="AO424" s="27" t="s">
        <v>214</v>
      </c>
      <c r="AP424" s="136"/>
      <c r="AT424" s="27" t="str">
        <f t="shared" si="12"/>
        <v>Activo</v>
      </c>
      <c r="AU424" s="27" cm="1">
        <f t="array" aca="1" ref="AU424" ca="1">_xlfn.IFS(AT424="","",AT424="Activo",TODAY()-H424,AT424="Inactivo",AP424-H424)</f>
        <v>103</v>
      </c>
      <c r="AV424" s="180">
        <f ca="1">IF(ISBLANK(Tabla1[[#This Row],[Fecha Nacimento (dd/mm/yyyy)]]),"",YEARFRAC(Tabla1[[#This Row],[Fecha Nacimento (dd/mm/yyyy)]],TODAY()))</f>
        <v>56.958333333333336</v>
      </c>
      <c r="AW424" s="141"/>
    </row>
    <row r="425" spans="1:49" s="27" customFormat="1" x14ac:dyDescent="0.25">
      <c r="A425" s="134">
        <v>429</v>
      </c>
      <c r="B425" s="27" t="s">
        <v>2302</v>
      </c>
      <c r="C425" s="27" t="s">
        <v>2303</v>
      </c>
      <c r="D425" s="27" t="s">
        <v>141</v>
      </c>
      <c r="E425" s="400">
        <v>18414075</v>
      </c>
      <c r="F425" s="27" t="s">
        <v>142</v>
      </c>
      <c r="G425" s="27" t="s">
        <v>143</v>
      </c>
      <c r="H425" s="136">
        <v>45270</v>
      </c>
      <c r="I425" s="136"/>
      <c r="J425" s="27" t="s">
        <v>144</v>
      </c>
      <c r="K425" s="138">
        <v>1300000</v>
      </c>
      <c r="L425" s="27" t="s">
        <v>145</v>
      </c>
      <c r="M425" s="27" t="s">
        <v>262</v>
      </c>
      <c r="N425" s="27" t="s">
        <v>145</v>
      </c>
      <c r="O425" s="139"/>
      <c r="U425" s="197">
        <v>25132</v>
      </c>
      <c r="Z425" s="27" t="s">
        <v>223</v>
      </c>
      <c r="AE425" s="27" t="s">
        <v>1</v>
      </c>
      <c r="AF425" s="27" t="s">
        <v>176</v>
      </c>
      <c r="AG425" s="27" t="s">
        <v>177</v>
      </c>
      <c r="AI425" s="179"/>
      <c r="AP425" s="136">
        <v>45331</v>
      </c>
      <c r="AQ425" s="27" t="s">
        <v>1190</v>
      </c>
      <c r="AT425" s="27" t="str">
        <f t="shared" si="12"/>
        <v>Inactivo</v>
      </c>
      <c r="AU425" s="27" cm="1">
        <f t="array" aca="1" ref="AU425" ca="1">_xlfn.IFS(AT425="","",AT425="Activo",TODAY()-H425,AT425="Inactivo",AP425-H425)</f>
        <v>61</v>
      </c>
      <c r="AV425" s="180">
        <f ca="1">IF(ISBLANK(Tabla1[[#This Row],[Fecha Nacimento (dd/mm/yyyy)]]),"",YEARFRAC(Tabla1[[#This Row],[Fecha Nacimento (dd/mm/yyyy)]],TODAY()))</f>
        <v>55.655555555555559</v>
      </c>
      <c r="AW425" s="141"/>
    </row>
    <row r="426" spans="1:49" s="27" customFormat="1" x14ac:dyDescent="0.25">
      <c r="A426" s="134">
        <v>430</v>
      </c>
      <c r="B426" s="27" t="s">
        <v>2304</v>
      </c>
      <c r="C426" s="27" t="s">
        <v>2305</v>
      </c>
      <c r="D426" s="27" t="s">
        <v>141</v>
      </c>
      <c r="E426" s="400">
        <v>6109907</v>
      </c>
      <c r="F426" s="27" t="s">
        <v>142</v>
      </c>
      <c r="G426" s="27" t="s">
        <v>143</v>
      </c>
      <c r="H426" s="136">
        <v>45362</v>
      </c>
      <c r="I426" s="136"/>
      <c r="J426" s="27" t="s">
        <v>144</v>
      </c>
      <c r="K426" s="138">
        <v>1300000</v>
      </c>
      <c r="L426" s="27" t="s">
        <v>145</v>
      </c>
      <c r="M426" s="27" t="s">
        <v>262</v>
      </c>
      <c r="N426" s="27" t="s">
        <v>145</v>
      </c>
      <c r="O426" s="139" t="s">
        <v>2223</v>
      </c>
      <c r="Q426" s="27" t="s">
        <v>148</v>
      </c>
      <c r="R426" s="27" t="s">
        <v>149</v>
      </c>
      <c r="S426" s="27" t="s">
        <v>150</v>
      </c>
      <c r="T426" s="27">
        <v>10621560407</v>
      </c>
      <c r="U426" s="197">
        <v>21885</v>
      </c>
      <c r="V426" s="27" t="s">
        <v>2306</v>
      </c>
      <c r="W426" s="27">
        <v>3104437039</v>
      </c>
      <c r="X426" s="27" t="s">
        <v>154</v>
      </c>
      <c r="Y426" s="27" t="s">
        <v>1817</v>
      </c>
      <c r="Z426" s="27" t="s">
        <v>1840</v>
      </c>
      <c r="AA426" s="27" t="s">
        <v>847</v>
      </c>
      <c r="AB426" s="27" t="s">
        <v>186</v>
      </c>
      <c r="AD426" s="27" t="s">
        <v>160</v>
      </c>
      <c r="AE426" s="27" t="s">
        <v>1027</v>
      </c>
      <c r="AF426" s="27" t="s">
        <v>176</v>
      </c>
      <c r="AG426" s="27" t="s">
        <v>177</v>
      </c>
      <c r="AH426" s="27" t="s">
        <v>164</v>
      </c>
      <c r="AI426" s="179"/>
      <c r="AJ426" s="27" t="s">
        <v>164</v>
      </c>
      <c r="AK426" s="27" t="s">
        <v>214</v>
      </c>
      <c r="AL426" s="27" t="s">
        <v>164</v>
      </c>
      <c r="AM426" s="27" t="s">
        <v>164</v>
      </c>
      <c r="AN426" s="27" t="s">
        <v>214</v>
      </c>
      <c r="AO426" s="27" t="s">
        <v>164</v>
      </c>
      <c r="AP426" s="136">
        <v>45409</v>
      </c>
      <c r="AQ426" s="27" t="s">
        <v>1190</v>
      </c>
      <c r="AT426" s="27" t="str">
        <f t="shared" si="12"/>
        <v>Inactivo</v>
      </c>
      <c r="AU426" s="27" cm="1">
        <f t="array" aca="1" ref="AU426" ca="1">_xlfn.IFS(AT426="","",AT426="Activo",TODAY()-H426,AT426="Inactivo",AP426-H426)</f>
        <v>47</v>
      </c>
      <c r="AV426" s="180">
        <f ca="1">IF(ISBLANK(Tabla1[[#This Row],[Fecha Nacimento (dd/mm/yyyy)]]),"",YEARFRAC(Tabla1[[#This Row],[Fecha Nacimento (dd/mm/yyyy)]],TODAY()))</f>
        <v>64.544444444444451</v>
      </c>
      <c r="AW426" s="141"/>
    </row>
    <row r="427" spans="1:49" s="27" customFormat="1" x14ac:dyDescent="0.25">
      <c r="A427" s="134">
        <v>431</v>
      </c>
      <c r="B427" s="27" t="s">
        <v>2307</v>
      </c>
      <c r="C427" s="27" t="s">
        <v>2308</v>
      </c>
      <c r="D427" s="27" t="s">
        <v>141</v>
      </c>
      <c r="E427" s="400">
        <v>16792995</v>
      </c>
      <c r="F427" s="27" t="s">
        <v>142</v>
      </c>
      <c r="G427" s="27" t="s">
        <v>143</v>
      </c>
      <c r="H427" s="322">
        <v>45352</v>
      </c>
      <c r="I427" s="136"/>
      <c r="J427" s="27" t="s">
        <v>144</v>
      </c>
      <c r="K427" s="138">
        <v>1300000</v>
      </c>
      <c r="L427" s="27" t="s">
        <v>145</v>
      </c>
      <c r="M427" s="27" t="s">
        <v>262</v>
      </c>
      <c r="N427" s="27" t="s">
        <v>145</v>
      </c>
      <c r="O427" s="139" t="s">
        <v>2223</v>
      </c>
      <c r="Q427" s="27" t="s">
        <v>205</v>
      </c>
      <c r="U427" s="197">
        <v>25734</v>
      </c>
      <c r="V427" s="27" t="s">
        <v>483</v>
      </c>
      <c r="W427" s="27">
        <v>3207986606</v>
      </c>
      <c r="X427" s="27" t="s">
        <v>154</v>
      </c>
      <c r="Y427" s="27" t="s">
        <v>1817</v>
      </c>
      <c r="Z427" s="27" t="s">
        <v>430</v>
      </c>
      <c r="AA427" s="27" t="s">
        <v>847</v>
      </c>
      <c r="AB427" s="27" t="s">
        <v>212</v>
      </c>
      <c r="AC427" s="27" t="s">
        <v>159</v>
      </c>
      <c r="AD427" s="27" t="s">
        <v>160</v>
      </c>
      <c r="AE427" s="27" t="s">
        <v>485</v>
      </c>
      <c r="AF427" s="27" t="s">
        <v>176</v>
      </c>
      <c r="AG427" s="27" t="s">
        <v>177</v>
      </c>
      <c r="AH427" s="27" t="s">
        <v>164</v>
      </c>
      <c r="AI427" s="179"/>
      <c r="AP427" s="136"/>
      <c r="AT427" s="27" t="str">
        <f t="shared" si="12"/>
        <v>Activo</v>
      </c>
      <c r="AU427" s="27" cm="1">
        <f t="array" aca="1" ref="AU427" ca="1">_xlfn.IFS(AT427="","",AT427="Activo",TODAY()-H428,AT427="Inactivo",AP427-H428)</f>
        <v>94</v>
      </c>
      <c r="AV427" s="180">
        <f ca="1">IF(ISBLANK(Tabla1[[#This Row],[Fecha Nacimento (dd/mm/yyyy)]]),"",YEARFRAC(Tabla1[[#This Row],[Fecha Nacimento (dd/mm/yyyy)]],TODAY()))</f>
        <v>54.005555555555553</v>
      </c>
      <c r="AW427" s="141"/>
    </row>
    <row r="428" spans="1:49" s="27" customFormat="1" x14ac:dyDescent="0.25">
      <c r="A428" s="134">
        <v>432</v>
      </c>
      <c r="B428" s="27" t="s">
        <v>2309</v>
      </c>
      <c r="C428" s="27" t="s">
        <v>2310</v>
      </c>
      <c r="D428" s="27" t="s">
        <v>141</v>
      </c>
      <c r="E428" s="400">
        <v>1233494863</v>
      </c>
      <c r="F428" s="27" t="s">
        <v>142</v>
      </c>
      <c r="G428" s="27" t="s">
        <v>143</v>
      </c>
      <c r="H428" s="136">
        <v>45366</v>
      </c>
      <c r="I428" s="136"/>
      <c r="J428" s="27" t="s">
        <v>144</v>
      </c>
      <c r="K428" s="138">
        <v>1600000</v>
      </c>
      <c r="L428" s="27" t="s">
        <v>145</v>
      </c>
      <c r="M428" s="27" t="s">
        <v>262</v>
      </c>
      <c r="N428" s="27" t="s">
        <v>145</v>
      </c>
      <c r="O428" s="213" t="s">
        <v>2311</v>
      </c>
      <c r="Q428" s="27" t="s">
        <v>148</v>
      </c>
      <c r="R428" s="27" t="s">
        <v>149</v>
      </c>
      <c r="S428" s="28" t="s">
        <v>150</v>
      </c>
      <c r="T428" s="28" t="s">
        <v>2312</v>
      </c>
      <c r="U428" s="197">
        <v>35862</v>
      </c>
      <c r="V428" s="27" t="s">
        <v>2313</v>
      </c>
      <c r="W428" s="27">
        <v>3508143419</v>
      </c>
      <c r="X428" s="27" t="s">
        <v>154</v>
      </c>
      <c r="Y428" s="27" t="s">
        <v>155</v>
      </c>
      <c r="Z428" s="27" t="s">
        <v>2314</v>
      </c>
      <c r="AA428" s="27" t="s">
        <v>211</v>
      </c>
      <c r="AB428" s="27" t="s">
        <v>1996</v>
      </c>
      <c r="AC428" s="27" t="s">
        <v>1183</v>
      </c>
      <c r="AD428" s="27" t="s">
        <v>1183</v>
      </c>
      <c r="AE428" s="27" t="s">
        <v>1048</v>
      </c>
      <c r="AF428" s="27" t="s">
        <v>176</v>
      </c>
      <c r="AG428" s="27" t="s">
        <v>177</v>
      </c>
      <c r="AH428" s="27" t="s">
        <v>164</v>
      </c>
      <c r="AI428" s="179"/>
      <c r="AJ428" s="27" t="s">
        <v>164</v>
      </c>
      <c r="AK428" s="27" t="s">
        <v>214</v>
      </c>
      <c r="AL428" s="27" t="s">
        <v>164</v>
      </c>
      <c r="AM428" s="27" t="s">
        <v>164</v>
      </c>
      <c r="AN428" s="27" t="s">
        <v>214</v>
      </c>
      <c r="AO428" s="27" t="s">
        <v>214</v>
      </c>
      <c r="AP428" s="136"/>
      <c r="AT428" s="27" t="str">
        <f t="shared" si="12"/>
        <v>Activo</v>
      </c>
      <c r="AU428" s="27" t="e" cm="1">
        <f t="array" aca="1" ref="AU428" ca="1">_xlfn.IFS(AT428="","",AT428="Activo",TODAY()-#REF!,AT428="Inactivo",AP428-#REF!)</f>
        <v>#REF!</v>
      </c>
      <c r="AV428" s="180">
        <f ca="1">IF(ISBLANK(Tabla1[[#This Row],[Fecha Nacimento (dd/mm/yyyy)]]),"",YEARFRAC(Tabla1[[#This Row],[Fecha Nacimento (dd/mm/yyyy)]],TODAY()))</f>
        <v>26.274999999999999</v>
      </c>
      <c r="AW428" s="141"/>
    </row>
    <row r="429" spans="1:49" s="27" customFormat="1" x14ac:dyDescent="0.25">
      <c r="A429" s="134">
        <v>433</v>
      </c>
      <c r="B429" s="27" t="s">
        <v>532</v>
      </c>
      <c r="C429" s="27" t="s">
        <v>2315</v>
      </c>
      <c r="D429" s="27" t="s">
        <v>141</v>
      </c>
      <c r="E429" s="400">
        <v>1002946484</v>
      </c>
      <c r="F429" s="27" t="s">
        <v>142</v>
      </c>
      <c r="G429" s="27" t="s">
        <v>143</v>
      </c>
      <c r="H429" s="136">
        <v>45352</v>
      </c>
      <c r="I429" s="136"/>
      <c r="J429" s="27" t="s">
        <v>144</v>
      </c>
      <c r="K429" s="138">
        <v>1300000</v>
      </c>
      <c r="L429" s="27" t="s">
        <v>164</v>
      </c>
      <c r="M429" s="27" t="s">
        <v>262</v>
      </c>
      <c r="N429" s="27" t="s">
        <v>145</v>
      </c>
      <c r="O429" s="213" t="s">
        <v>2316</v>
      </c>
      <c r="Q429" s="27" t="s">
        <v>205</v>
      </c>
      <c r="U429" s="197">
        <v>37014</v>
      </c>
      <c r="V429" s="27" t="s">
        <v>2317</v>
      </c>
      <c r="W429" s="27">
        <v>3024045881</v>
      </c>
      <c r="X429" s="27" t="s">
        <v>1878</v>
      </c>
      <c r="Y429" s="27" t="s">
        <v>887</v>
      </c>
      <c r="Z429" s="27" t="s">
        <v>1879</v>
      </c>
      <c r="AA429" s="27" t="s">
        <v>211</v>
      </c>
      <c r="AB429" s="27" t="s">
        <v>1279</v>
      </c>
      <c r="AC429" s="27" t="s">
        <v>160</v>
      </c>
      <c r="AD429" s="27" t="s">
        <v>160</v>
      </c>
      <c r="AE429" s="27" t="s">
        <v>1880</v>
      </c>
      <c r="AF429" s="27" t="s">
        <v>176</v>
      </c>
      <c r="AG429" s="27" t="s">
        <v>177</v>
      </c>
      <c r="AH429" s="27" t="s">
        <v>164</v>
      </c>
      <c r="AI429" s="179"/>
      <c r="AJ429" s="27" t="s">
        <v>164</v>
      </c>
      <c r="AK429" s="27" t="s">
        <v>214</v>
      </c>
      <c r="AL429" s="27" t="s">
        <v>164</v>
      </c>
      <c r="AM429" s="27" t="s">
        <v>164</v>
      </c>
      <c r="AN429" s="27" t="s">
        <v>214</v>
      </c>
      <c r="AO429" s="27" t="s">
        <v>214</v>
      </c>
      <c r="AP429" s="136"/>
      <c r="AT429" s="27" t="str">
        <f t="shared" ref="AT429:AT434" si="13">IF(ISBLANK(B429),"",IF(AP429="","Activo","Inactivo"))</f>
        <v>Activo</v>
      </c>
      <c r="AU429" s="27" cm="1">
        <f t="array" aca="1" ref="AU429" ca="1">_xlfn.IFS(AT429="","",AT429="Activo",TODAY()-H429,AT429="Inactivo",AP429-H429)</f>
        <v>108</v>
      </c>
      <c r="AV429" s="180">
        <f ca="1">IF(ISBLANK(Tabla1[[#This Row],[Fecha Nacimento (dd/mm/yyyy)]]),"",YEARFRAC(Tabla1[[#This Row],[Fecha Nacimento (dd/mm/yyyy)]],TODAY()))</f>
        <v>23.122222222222224</v>
      </c>
      <c r="AW429" s="141"/>
    </row>
    <row r="430" spans="1:49" s="27" customFormat="1" x14ac:dyDescent="0.25">
      <c r="A430" s="134">
        <v>434</v>
      </c>
      <c r="B430" s="27" t="s">
        <v>43</v>
      </c>
      <c r="C430" s="27" t="s">
        <v>2318</v>
      </c>
      <c r="D430" s="27" t="s">
        <v>141</v>
      </c>
      <c r="E430" s="400">
        <v>1005092401</v>
      </c>
      <c r="F430" s="27" t="s">
        <v>142</v>
      </c>
      <c r="G430" s="27" t="s">
        <v>143</v>
      </c>
      <c r="H430" s="136">
        <v>45369</v>
      </c>
      <c r="I430" s="136"/>
      <c r="J430" s="27" t="s">
        <v>144</v>
      </c>
      <c r="K430" s="138">
        <v>1900000</v>
      </c>
      <c r="L430" s="27" t="s">
        <v>145</v>
      </c>
      <c r="M430" s="27" t="s">
        <v>262</v>
      </c>
      <c r="N430" s="27" t="s">
        <v>145</v>
      </c>
      <c r="O430" s="213" t="s">
        <v>2319</v>
      </c>
      <c r="Q430" s="27" t="s">
        <v>148</v>
      </c>
      <c r="R430" s="27" t="s">
        <v>168</v>
      </c>
      <c r="S430" s="27" t="s">
        <v>150</v>
      </c>
      <c r="T430" s="180">
        <v>488427769333</v>
      </c>
      <c r="U430" s="197">
        <v>37823</v>
      </c>
      <c r="V430" s="27" t="s">
        <v>2320</v>
      </c>
      <c r="W430" s="27" t="s">
        <v>2321</v>
      </c>
      <c r="X430" s="27" t="s">
        <v>154</v>
      </c>
      <c r="Y430" s="27" t="s">
        <v>155</v>
      </c>
      <c r="Z430" s="27" t="s">
        <v>31</v>
      </c>
      <c r="AA430" s="27" t="s">
        <v>211</v>
      </c>
      <c r="AB430" s="27" t="s">
        <v>1996</v>
      </c>
      <c r="AC430" s="27" t="s">
        <v>160</v>
      </c>
      <c r="AD430" s="27" t="s">
        <v>160</v>
      </c>
      <c r="AE430" s="27" t="s">
        <v>1</v>
      </c>
      <c r="AF430" s="27" t="s">
        <v>162</v>
      </c>
      <c r="AG430" s="27" t="s">
        <v>177</v>
      </c>
      <c r="AI430" s="179"/>
      <c r="AP430" s="136"/>
      <c r="AT430" s="27" t="str">
        <f t="shared" si="13"/>
        <v>Activo</v>
      </c>
      <c r="AU430" s="27" cm="1">
        <f t="array" aca="1" ref="AU430" ca="1">_xlfn.IFS(AT430="","",AT430="Activo",TODAY()-H430,AT430="Inactivo",AP430-H430)</f>
        <v>91</v>
      </c>
      <c r="AV430" s="180">
        <f ca="1">IF(ISBLANK(Tabla1[[#This Row],[Fecha Nacimento (dd/mm/yyyy)]]),"",YEARFRAC(Tabla1[[#This Row],[Fecha Nacimento (dd/mm/yyyy)]],TODAY()))</f>
        <v>20.905555555555555</v>
      </c>
      <c r="AW430" s="141"/>
    </row>
    <row r="431" spans="1:49" s="27" customFormat="1" x14ac:dyDescent="0.25">
      <c r="A431" s="134">
        <v>435</v>
      </c>
      <c r="B431" s="27" t="s">
        <v>2322</v>
      </c>
      <c r="C431" s="27" t="s">
        <v>2323</v>
      </c>
      <c r="D431" s="27" t="s">
        <v>141</v>
      </c>
      <c r="E431" s="400">
        <v>43271104</v>
      </c>
      <c r="F431" s="27" t="s">
        <v>142</v>
      </c>
      <c r="G431" s="27" t="s">
        <v>143</v>
      </c>
      <c r="H431" s="136">
        <v>45370</v>
      </c>
      <c r="I431" s="136"/>
      <c r="J431" s="27" t="s">
        <v>144</v>
      </c>
      <c r="K431" s="138">
        <v>1300000</v>
      </c>
      <c r="L431" s="27" t="s">
        <v>145</v>
      </c>
      <c r="M431" s="27" t="s">
        <v>355</v>
      </c>
      <c r="N431" s="27" t="s">
        <v>145</v>
      </c>
      <c r="O431" s="213" t="s">
        <v>2324</v>
      </c>
      <c r="Q431" s="27" t="s">
        <v>148</v>
      </c>
      <c r="R431" s="27" t="s">
        <v>149</v>
      </c>
      <c r="S431" s="27" t="s">
        <v>150</v>
      </c>
      <c r="T431" s="28" t="s">
        <v>2325</v>
      </c>
      <c r="U431" s="197">
        <v>29709</v>
      </c>
      <c r="V431" s="27" t="s">
        <v>2326</v>
      </c>
      <c r="W431" s="27">
        <v>3148470777</v>
      </c>
      <c r="X431" s="27" t="s">
        <v>1394</v>
      </c>
      <c r="Y431" s="27" t="s">
        <v>1075</v>
      </c>
      <c r="Z431" s="27" t="s">
        <v>2327</v>
      </c>
      <c r="AA431" s="27" t="s">
        <v>211</v>
      </c>
      <c r="AB431" s="27" t="s">
        <v>1996</v>
      </c>
      <c r="AC431" s="27" t="s">
        <v>271</v>
      </c>
      <c r="AD431" s="27" t="s">
        <v>271</v>
      </c>
      <c r="AE431" s="27" t="s">
        <v>1184</v>
      </c>
      <c r="AF431" s="27" t="s">
        <v>162</v>
      </c>
      <c r="AG431" s="27" t="s">
        <v>177</v>
      </c>
      <c r="AH431" s="27" t="s">
        <v>145</v>
      </c>
      <c r="AI431" s="179">
        <v>313000</v>
      </c>
      <c r="AJ431" s="27" t="s">
        <v>145</v>
      </c>
      <c r="AK431" s="27" t="s">
        <v>1069</v>
      </c>
      <c r="AL431" s="27" t="s">
        <v>164</v>
      </c>
      <c r="AM431" s="27" t="s">
        <v>145</v>
      </c>
      <c r="AN431" s="27" t="s">
        <v>1069</v>
      </c>
      <c r="AO431" s="27" t="s">
        <v>164</v>
      </c>
      <c r="AP431" s="136">
        <v>45392</v>
      </c>
      <c r="AQ431" s="27" t="s">
        <v>52</v>
      </c>
      <c r="AT431" s="27" t="str">
        <f t="shared" si="13"/>
        <v>Inactivo</v>
      </c>
      <c r="AU431" s="27" cm="1">
        <f t="array" aca="1" ref="AU431" ca="1">_xlfn.IFS(AT431="","",AT431="Activo",TODAY()-H431,AT431="Inactivo",AP431-H431)</f>
        <v>22</v>
      </c>
      <c r="AV431" s="180">
        <f ca="1">IF(ISBLANK(Tabla1[[#This Row],[Fecha Nacimento (dd/mm/yyyy)]]),"",YEARFRAC(Tabla1[[#This Row],[Fecha Nacimento (dd/mm/yyyy)]],TODAY()))</f>
        <v>43.12222222222222</v>
      </c>
      <c r="AW431" s="141"/>
    </row>
    <row r="432" spans="1:49" s="27" customFormat="1" x14ac:dyDescent="0.25">
      <c r="A432" s="134">
        <v>436</v>
      </c>
      <c r="B432" s="27" t="s">
        <v>276</v>
      </c>
      <c r="C432" s="27" t="s">
        <v>849</v>
      </c>
      <c r="D432" s="27" t="s">
        <v>141</v>
      </c>
      <c r="E432" s="400">
        <v>24660447</v>
      </c>
      <c r="F432" s="27" t="s">
        <v>142</v>
      </c>
      <c r="G432" s="27" t="s">
        <v>143</v>
      </c>
      <c r="H432" s="136">
        <v>45370</v>
      </c>
      <c r="I432" s="136"/>
      <c r="J432" s="27" t="s">
        <v>144</v>
      </c>
      <c r="K432" s="138">
        <v>1300000</v>
      </c>
      <c r="L432" s="27" t="s">
        <v>145</v>
      </c>
      <c r="M432" s="27" t="s">
        <v>355</v>
      </c>
      <c r="N432" s="27" t="s">
        <v>145</v>
      </c>
      <c r="O432" s="213" t="s">
        <v>2328</v>
      </c>
      <c r="Q432" s="27" t="s">
        <v>148</v>
      </c>
      <c r="R432" s="27" t="s">
        <v>426</v>
      </c>
      <c r="S432" s="27" t="s">
        <v>150</v>
      </c>
      <c r="T432" s="27">
        <v>3104733551</v>
      </c>
      <c r="U432" s="197">
        <v>26727</v>
      </c>
      <c r="V432" s="27" t="s">
        <v>2329</v>
      </c>
      <c r="W432" s="27">
        <v>3104733551</v>
      </c>
      <c r="X432" s="27" t="s">
        <v>154</v>
      </c>
      <c r="Y432" s="27" t="s">
        <v>2152</v>
      </c>
      <c r="Z432" s="27" t="s">
        <v>2018</v>
      </c>
      <c r="AA432" s="27" t="s">
        <v>211</v>
      </c>
      <c r="AB432" s="27" t="s">
        <v>2330</v>
      </c>
      <c r="AC432" s="27" t="s">
        <v>159</v>
      </c>
      <c r="AD432" s="27" t="s">
        <v>271</v>
      </c>
      <c r="AE432" s="27" t="s">
        <v>272</v>
      </c>
      <c r="AF432" s="27" t="s">
        <v>162</v>
      </c>
      <c r="AG432" s="27" t="s">
        <v>177</v>
      </c>
      <c r="AH432" s="27" t="s">
        <v>164</v>
      </c>
      <c r="AI432" s="179"/>
      <c r="AJ432" s="27" t="s">
        <v>164</v>
      </c>
      <c r="AK432" s="27" t="s">
        <v>214</v>
      </c>
      <c r="AL432" s="27" t="s">
        <v>214</v>
      </c>
      <c r="AM432" s="27" t="s">
        <v>164</v>
      </c>
      <c r="AN432" s="27" t="s">
        <v>214</v>
      </c>
      <c r="AO432" s="27" t="s">
        <v>214</v>
      </c>
      <c r="AP432" s="136"/>
      <c r="AT432" s="27" t="str">
        <f t="shared" si="13"/>
        <v>Activo</v>
      </c>
      <c r="AU432" s="27" cm="1">
        <f t="array" aca="1" ref="AU432" ca="1">_xlfn.IFS(AT432="","",AT432="Activo",TODAY()-H432,AT432="Inactivo",AP432-H432)</f>
        <v>90</v>
      </c>
      <c r="AV432" s="180">
        <f ca="1">IF(ISBLANK(Tabla1[[#This Row],[Fecha Nacimento (dd/mm/yyyy)]]),"",YEARFRAC(Tabla1[[#This Row],[Fecha Nacimento (dd/mm/yyyy)]],TODAY()))</f>
        <v>51.286111111111111</v>
      </c>
      <c r="AW432" s="141"/>
    </row>
    <row r="433" spans="1:49" s="27" customFormat="1" x14ac:dyDescent="0.25">
      <c r="A433" s="134">
        <v>437</v>
      </c>
      <c r="B433" s="27" t="s">
        <v>663</v>
      </c>
      <c r="C433" s="27" t="s">
        <v>2331</v>
      </c>
      <c r="D433" s="27" t="s">
        <v>141</v>
      </c>
      <c r="E433" s="400">
        <v>1130670407</v>
      </c>
      <c r="F433" s="27" t="s">
        <v>142</v>
      </c>
      <c r="G433" s="27" t="s">
        <v>143</v>
      </c>
      <c r="H433" s="136">
        <v>45371</v>
      </c>
      <c r="I433" s="136"/>
      <c r="J433" s="27" t="s">
        <v>144</v>
      </c>
      <c r="K433" s="138">
        <v>1800000</v>
      </c>
      <c r="L433" s="27" t="s">
        <v>145</v>
      </c>
      <c r="M433" s="27" t="s">
        <v>355</v>
      </c>
      <c r="N433" s="27" t="s">
        <v>145</v>
      </c>
      <c r="O433" s="213" t="s">
        <v>2332</v>
      </c>
      <c r="Q433" s="27" t="s">
        <v>148</v>
      </c>
      <c r="R433" s="27" t="s">
        <v>1024</v>
      </c>
      <c r="S433" s="27" t="s">
        <v>150</v>
      </c>
      <c r="T433" s="28" t="s">
        <v>2333</v>
      </c>
      <c r="U433" s="197">
        <v>31623</v>
      </c>
      <c r="V433" s="27" t="s">
        <v>2334</v>
      </c>
      <c r="W433" s="27">
        <v>3143058580</v>
      </c>
      <c r="X433" s="27" t="s">
        <v>154</v>
      </c>
      <c r="Y433" s="27" t="s">
        <v>155</v>
      </c>
      <c r="Z433" s="27" t="s">
        <v>2175</v>
      </c>
      <c r="AA433" s="27" t="s">
        <v>211</v>
      </c>
      <c r="AB433" s="27" t="s">
        <v>259</v>
      </c>
      <c r="AC433" s="27" t="s">
        <v>1183</v>
      </c>
      <c r="AD433" s="27" t="s">
        <v>160</v>
      </c>
      <c r="AE433" s="27" t="s">
        <v>272</v>
      </c>
      <c r="AF433" s="27" t="s">
        <v>162</v>
      </c>
      <c r="AG433" s="27" t="s">
        <v>177</v>
      </c>
      <c r="AH433" s="27" t="s">
        <v>164</v>
      </c>
      <c r="AI433" s="179"/>
      <c r="AJ433" s="27" t="s">
        <v>164</v>
      </c>
      <c r="AK433" s="27" t="s">
        <v>214</v>
      </c>
      <c r="AL433" s="27" t="s">
        <v>214</v>
      </c>
      <c r="AM433" s="27" t="s">
        <v>164</v>
      </c>
      <c r="AN433" s="27" t="s">
        <v>214</v>
      </c>
      <c r="AO433" s="27" t="s">
        <v>214</v>
      </c>
      <c r="AP433" s="136"/>
      <c r="AT433" s="27" t="str">
        <f t="shared" si="13"/>
        <v>Activo</v>
      </c>
      <c r="AU433" s="27" cm="1">
        <f t="array" aca="1" ref="AU433" ca="1">_xlfn.IFS(AT433="","",AT433="Activo",TODAY()-H433,AT433="Inactivo",AP433-H433)</f>
        <v>89</v>
      </c>
      <c r="AV433" s="180">
        <f ca="1">IF(ISBLANK(Tabla1[[#This Row],[Fecha Nacimento (dd/mm/yyyy)]]),"",YEARFRAC(Tabla1[[#This Row],[Fecha Nacimento (dd/mm/yyyy)]],TODAY()))</f>
        <v>37.880555555555553</v>
      </c>
      <c r="AW433" s="141"/>
    </row>
    <row r="434" spans="1:49" s="27" customFormat="1" x14ac:dyDescent="0.25">
      <c r="A434" s="134">
        <v>438</v>
      </c>
      <c r="B434" s="27" t="s">
        <v>2335</v>
      </c>
      <c r="C434" s="27" t="s">
        <v>2336</v>
      </c>
      <c r="D434" s="27" t="s">
        <v>141</v>
      </c>
      <c r="E434" s="400">
        <v>41957045</v>
      </c>
      <c r="F434" s="27" t="s">
        <v>142</v>
      </c>
      <c r="G434" s="27" t="s">
        <v>143</v>
      </c>
      <c r="H434" s="136">
        <v>45362</v>
      </c>
      <c r="I434" s="136"/>
      <c r="J434" s="27" t="s">
        <v>144</v>
      </c>
      <c r="K434" s="138">
        <v>4891304</v>
      </c>
      <c r="L434" s="27" t="s">
        <v>164</v>
      </c>
      <c r="M434" s="27" t="s">
        <v>262</v>
      </c>
      <c r="N434" s="27" t="s">
        <v>145</v>
      </c>
      <c r="O434" s="213" t="s">
        <v>2337</v>
      </c>
      <c r="Q434" s="27" t="s">
        <v>148</v>
      </c>
      <c r="R434" s="27" t="s">
        <v>149</v>
      </c>
      <c r="S434" s="27" t="s">
        <v>150</v>
      </c>
      <c r="T434" s="27">
        <v>6921131346</v>
      </c>
      <c r="U434" s="197">
        <v>30593</v>
      </c>
      <c r="V434" s="27" t="s">
        <v>2338</v>
      </c>
      <c r="W434" s="27">
        <v>3136467377</v>
      </c>
      <c r="X434" s="27" t="s">
        <v>154</v>
      </c>
      <c r="Y434" s="27" t="s">
        <v>155</v>
      </c>
      <c r="Z434" s="27" t="s">
        <v>282</v>
      </c>
      <c r="AA434" s="27" t="s">
        <v>211</v>
      </c>
      <c r="AB434" s="27" t="s">
        <v>259</v>
      </c>
      <c r="AC434" s="27" t="s">
        <v>159</v>
      </c>
      <c r="AD434" s="27" t="s">
        <v>271</v>
      </c>
      <c r="AE434" s="27" t="s">
        <v>1369</v>
      </c>
      <c r="AF434" s="27" t="s">
        <v>162</v>
      </c>
      <c r="AG434" s="27" t="s">
        <v>177</v>
      </c>
      <c r="AH434" s="27" t="s">
        <v>164</v>
      </c>
      <c r="AI434" s="179"/>
      <c r="AJ434" s="27" t="s">
        <v>145</v>
      </c>
      <c r="AK434" s="27" t="s">
        <v>2339</v>
      </c>
      <c r="AL434" s="27" t="s">
        <v>164</v>
      </c>
      <c r="AM434" s="27" t="s">
        <v>145</v>
      </c>
      <c r="AN434" s="27" t="s">
        <v>1069</v>
      </c>
      <c r="AO434" s="27" t="s">
        <v>164</v>
      </c>
      <c r="AP434" s="136"/>
      <c r="AT434" s="27" t="str">
        <f t="shared" si="13"/>
        <v>Activo</v>
      </c>
      <c r="AU434" s="27" cm="1">
        <f t="array" aca="1" ref="AU434" ca="1">_xlfn.IFS(AT434="","",AT434="Activo",TODAY()-H434,AT434="Inactivo",AP434-H434)</f>
        <v>98</v>
      </c>
      <c r="AV434" s="180">
        <f ca="1">IF(ISBLANK(Tabla1[[#This Row],[Fecha Nacimento (dd/mm/yyyy)]]),"",YEARFRAC(Tabla1[[#This Row],[Fecha Nacimento (dd/mm/yyyy)]],TODAY()))</f>
        <v>40.702777777777776</v>
      </c>
      <c r="AW434" s="141"/>
    </row>
    <row r="435" spans="1:49" s="27" customFormat="1" x14ac:dyDescent="0.25">
      <c r="A435" s="134">
        <v>439</v>
      </c>
      <c r="B435" s="27" t="s">
        <v>2340</v>
      </c>
      <c r="C435" s="27" t="s">
        <v>2341</v>
      </c>
      <c r="D435" s="27" t="s">
        <v>363</v>
      </c>
      <c r="E435" s="400">
        <v>6771600</v>
      </c>
      <c r="F435" s="27" t="s">
        <v>142</v>
      </c>
      <c r="G435" s="27" t="s">
        <v>143</v>
      </c>
      <c r="H435" s="136">
        <v>45368</v>
      </c>
      <c r="I435" s="136"/>
      <c r="J435" s="27" t="s">
        <v>144</v>
      </c>
      <c r="K435" s="138">
        <v>1300000</v>
      </c>
      <c r="L435" s="27" t="s">
        <v>145</v>
      </c>
      <c r="M435" s="27" t="s">
        <v>262</v>
      </c>
      <c r="N435" s="27" t="s">
        <v>145</v>
      </c>
      <c r="O435" s="213" t="s">
        <v>2342</v>
      </c>
      <c r="Q435" s="27" t="s">
        <v>148</v>
      </c>
      <c r="R435" s="27" t="s">
        <v>149</v>
      </c>
      <c r="S435" s="27" t="s">
        <v>150</v>
      </c>
      <c r="T435" s="27">
        <v>31700003441</v>
      </c>
      <c r="U435" s="197">
        <v>32373</v>
      </c>
      <c r="V435" s="27" t="s">
        <v>2343</v>
      </c>
      <c r="W435" s="27" t="s">
        <v>2344</v>
      </c>
      <c r="X435" s="27" t="s">
        <v>1551</v>
      </c>
      <c r="Y435" s="27" t="s">
        <v>2152</v>
      </c>
      <c r="Z435" s="27" t="s">
        <v>1639</v>
      </c>
      <c r="AA435" s="27" t="s">
        <v>211</v>
      </c>
      <c r="AB435" s="27" t="s">
        <v>2330</v>
      </c>
      <c r="AC435" s="27" t="s">
        <v>160</v>
      </c>
      <c r="AD435" s="27" t="s">
        <v>160</v>
      </c>
      <c r="AE435" s="27" t="s">
        <v>1552</v>
      </c>
      <c r="AF435" s="27" t="s">
        <v>162</v>
      </c>
      <c r="AG435" s="27" t="s">
        <v>177</v>
      </c>
      <c r="AH435" s="27" t="s">
        <v>164</v>
      </c>
      <c r="AI435" s="179"/>
      <c r="AJ435" s="27" t="s">
        <v>145</v>
      </c>
      <c r="AK435" s="27" t="s">
        <v>1069</v>
      </c>
      <c r="AL435" s="27" t="s">
        <v>164</v>
      </c>
      <c r="AM435" s="27" t="s">
        <v>145</v>
      </c>
      <c r="AN435" s="27" t="s">
        <v>1069</v>
      </c>
      <c r="AO435" s="27" t="s">
        <v>164</v>
      </c>
      <c r="AP435" s="136"/>
      <c r="AV435" s="180"/>
      <c r="AW435" s="141"/>
    </row>
    <row r="436" spans="1:49" s="27" customFormat="1" x14ac:dyDescent="0.25">
      <c r="A436" s="134">
        <v>440</v>
      </c>
      <c r="B436" s="27" t="s">
        <v>2345</v>
      </c>
      <c r="C436" s="27" t="s">
        <v>2346</v>
      </c>
      <c r="D436" s="27" t="s">
        <v>141</v>
      </c>
      <c r="E436" s="400">
        <v>1094955606</v>
      </c>
      <c r="F436" s="27" t="s">
        <v>142</v>
      </c>
      <c r="G436" s="27" t="s">
        <v>143</v>
      </c>
      <c r="H436" s="136">
        <v>45383</v>
      </c>
      <c r="I436" s="136"/>
      <c r="J436" s="27" t="s">
        <v>144</v>
      </c>
      <c r="K436" s="138">
        <v>1650000</v>
      </c>
      <c r="L436" s="27" t="s">
        <v>145</v>
      </c>
      <c r="M436" s="27" t="s">
        <v>262</v>
      </c>
      <c r="N436" s="27" t="s">
        <v>145</v>
      </c>
      <c r="O436" s="213" t="s">
        <v>2347</v>
      </c>
      <c r="Q436" s="27" t="s">
        <v>148</v>
      </c>
      <c r="R436" s="27" t="s">
        <v>168</v>
      </c>
      <c r="S436" s="27" t="s">
        <v>150</v>
      </c>
      <c r="T436" s="180">
        <v>488436160375</v>
      </c>
      <c r="U436" s="197">
        <v>35154</v>
      </c>
      <c r="V436" s="27" t="s">
        <v>2348</v>
      </c>
      <c r="W436" s="27">
        <v>3117734987</v>
      </c>
      <c r="X436" s="27" t="s">
        <v>154</v>
      </c>
      <c r="Y436" s="27" t="s">
        <v>2296</v>
      </c>
      <c r="Z436" s="27" t="s">
        <v>1107</v>
      </c>
      <c r="AA436" s="27" t="s">
        <v>211</v>
      </c>
      <c r="AB436" s="27" t="s">
        <v>259</v>
      </c>
      <c r="AC436" s="27" t="s">
        <v>160</v>
      </c>
      <c r="AD436" s="27" t="s">
        <v>160</v>
      </c>
      <c r="AE436" s="27" t="s">
        <v>1048</v>
      </c>
      <c r="AF436" s="27" t="s">
        <v>162</v>
      </c>
      <c r="AG436" s="27" t="s">
        <v>177</v>
      </c>
      <c r="AH436" s="27" t="s">
        <v>145</v>
      </c>
      <c r="AI436" s="179">
        <v>650000</v>
      </c>
      <c r="AJ436" s="27" t="s">
        <v>164</v>
      </c>
      <c r="AK436" s="27" t="s">
        <v>214</v>
      </c>
      <c r="AL436" s="27" t="s">
        <v>214</v>
      </c>
      <c r="AM436" s="27" t="s">
        <v>164</v>
      </c>
      <c r="AN436" s="27" t="s">
        <v>214</v>
      </c>
      <c r="AO436" s="27" t="s">
        <v>214</v>
      </c>
      <c r="AP436" s="136"/>
      <c r="AT436" s="27" t="str">
        <f t="shared" ref="AT436:AT476" si="14">IF(ISBLANK(B436),"",IF(AP436="","Activo","Inactivo"))</f>
        <v>Activo</v>
      </c>
      <c r="AU436" s="27" cm="1">
        <f t="array" aca="1" ref="AU436" ca="1">_xlfn.IFS(AT436="","",AT436="Activo",TODAY()-H436,AT436="Inactivo",AP436-H436)</f>
        <v>77</v>
      </c>
      <c r="AV436" s="180">
        <f ca="1">IF(ISBLANK(Tabla1[[#This Row],[Fecha Nacimento (dd/mm/yyyy)]]),"",YEARFRAC(Tabla1[[#This Row],[Fecha Nacimento (dd/mm/yyyy)]],TODAY()))</f>
        <v>28.213888888888889</v>
      </c>
      <c r="AW436" s="141"/>
    </row>
    <row r="437" spans="1:49" s="27" customFormat="1" x14ac:dyDescent="0.25">
      <c r="A437" s="134">
        <v>441</v>
      </c>
      <c r="B437" s="27" t="s">
        <v>2349</v>
      </c>
      <c r="C437" s="27" t="s">
        <v>2350</v>
      </c>
      <c r="D437" s="27" t="s">
        <v>141</v>
      </c>
      <c r="E437" s="400">
        <v>9733226</v>
      </c>
      <c r="F437" s="27" t="s">
        <v>1421</v>
      </c>
      <c r="G437" s="27" t="s">
        <v>143</v>
      </c>
      <c r="H437" s="136">
        <v>45375</v>
      </c>
      <c r="I437" s="136"/>
      <c r="J437" s="27" t="s">
        <v>1525</v>
      </c>
      <c r="K437" s="138">
        <v>1300000</v>
      </c>
      <c r="L437" s="27" t="s">
        <v>145</v>
      </c>
      <c r="M437" s="27" t="s">
        <v>262</v>
      </c>
      <c r="N437" s="27" t="s">
        <v>145</v>
      </c>
      <c r="O437" s="213" t="s">
        <v>2351</v>
      </c>
      <c r="Q437" s="27" t="s">
        <v>148</v>
      </c>
      <c r="R437" s="27" t="s">
        <v>426</v>
      </c>
      <c r="S437" s="27" t="s">
        <v>150</v>
      </c>
      <c r="T437" s="27">
        <v>3146770182</v>
      </c>
      <c r="U437" s="197">
        <v>29130</v>
      </c>
      <c r="V437" s="27" t="s">
        <v>2352</v>
      </c>
      <c r="W437" s="27">
        <v>3242165974</v>
      </c>
      <c r="X437" s="27" t="s">
        <v>1551</v>
      </c>
      <c r="Y437" s="27" t="s">
        <v>2152</v>
      </c>
      <c r="Z437" s="27" t="s">
        <v>2353</v>
      </c>
      <c r="AA437" s="27" t="s">
        <v>211</v>
      </c>
      <c r="AB437" s="27" t="s">
        <v>2354</v>
      </c>
      <c r="AC437" s="27" t="s">
        <v>160</v>
      </c>
      <c r="AD437" s="27" t="s">
        <v>160</v>
      </c>
      <c r="AE437" s="27" t="s">
        <v>1552</v>
      </c>
      <c r="AF437" s="27" t="s">
        <v>176</v>
      </c>
      <c r="AG437" s="27" t="s">
        <v>177</v>
      </c>
      <c r="AH437" s="27" t="s">
        <v>164</v>
      </c>
      <c r="AI437" s="179"/>
      <c r="AJ437" s="27" t="s">
        <v>164</v>
      </c>
      <c r="AK437" s="27" t="s">
        <v>214</v>
      </c>
      <c r="AL437" s="27" t="s">
        <v>214</v>
      </c>
      <c r="AM437" s="27" t="s">
        <v>164</v>
      </c>
      <c r="AN437" s="27" t="s">
        <v>214</v>
      </c>
      <c r="AO437" s="27" t="s">
        <v>214</v>
      </c>
      <c r="AP437" s="136">
        <v>45382</v>
      </c>
      <c r="AQ437" s="27" t="s">
        <v>52</v>
      </c>
      <c r="AT437" s="27" t="str">
        <f t="shared" si="14"/>
        <v>Inactivo</v>
      </c>
      <c r="AU437" s="27" cm="1">
        <f t="array" aca="1" ref="AU437" ca="1">_xlfn.IFS(AT437="","",AT437="Activo",TODAY()-H437,AT437="Inactivo",AP437-H437)</f>
        <v>7</v>
      </c>
      <c r="AV437" s="180">
        <f ca="1">IF(ISBLANK(Tabla1[[#This Row],[Fecha Nacimento (dd/mm/yyyy)]]),"",YEARFRAC(Tabla1[[#This Row],[Fecha Nacimento (dd/mm/yyyy)]],TODAY()))</f>
        <v>44.708333333333336</v>
      </c>
      <c r="AW437" s="141"/>
    </row>
    <row r="438" spans="1:49" s="27" customFormat="1" x14ac:dyDescent="0.25">
      <c r="A438" s="134">
        <v>442</v>
      </c>
      <c r="B438" s="27" t="s">
        <v>854</v>
      </c>
      <c r="C438" s="27" t="s">
        <v>855</v>
      </c>
      <c r="D438" s="27" t="s">
        <v>141</v>
      </c>
      <c r="E438" s="400">
        <v>9728802</v>
      </c>
      <c r="F438" s="27" t="s">
        <v>142</v>
      </c>
      <c r="G438" s="27" t="s">
        <v>143</v>
      </c>
      <c r="H438" s="136">
        <v>45377</v>
      </c>
      <c r="I438" s="136"/>
      <c r="J438" s="27" t="s">
        <v>144</v>
      </c>
      <c r="K438" s="137">
        <v>1300000</v>
      </c>
      <c r="L438" s="27" t="s">
        <v>145</v>
      </c>
      <c r="M438" s="27" t="s">
        <v>203</v>
      </c>
      <c r="N438" s="27" t="s">
        <v>145</v>
      </c>
      <c r="O438" s="139" t="s">
        <v>856</v>
      </c>
      <c r="Q438" s="27" t="s">
        <v>148</v>
      </c>
      <c r="R438" s="27" t="s">
        <v>371</v>
      </c>
      <c r="S438" s="27" t="s">
        <v>150</v>
      </c>
      <c r="T438" s="27" t="s">
        <v>857</v>
      </c>
      <c r="U438" s="37">
        <v>29203</v>
      </c>
      <c r="V438" s="27" t="s">
        <v>858</v>
      </c>
      <c r="W438" s="27">
        <v>3144525998</v>
      </c>
      <c r="X438" s="27" t="s">
        <v>268</v>
      </c>
      <c r="Y438" s="27" t="s">
        <v>367</v>
      </c>
      <c r="Z438" s="27" t="s">
        <v>368</v>
      </c>
      <c r="AA438" s="27" t="s">
        <v>211</v>
      </c>
      <c r="AB438" s="27" t="s">
        <v>175</v>
      </c>
      <c r="AC438" s="27" t="s">
        <v>160</v>
      </c>
      <c r="AD438" s="27" t="s">
        <v>271</v>
      </c>
      <c r="AE438" s="27" t="s">
        <v>272</v>
      </c>
      <c r="AF438" s="27" t="s">
        <v>176</v>
      </c>
      <c r="AG438" s="27" t="s">
        <v>177</v>
      </c>
      <c r="AH438" s="27" t="s">
        <v>164</v>
      </c>
      <c r="AI438" s="179"/>
      <c r="AP438" s="136"/>
      <c r="AT438" s="27" t="str">
        <f t="shared" si="14"/>
        <v>Activo</v>
      </c>
      <c r="AU438" s="27" cm="1">
        <f t="array" aca="1" ref="AU438" ca="1">_xlfn.IFS(AT438="","",AT438="Activo",TODAY()-H438,AT438="Inactivo",AP438-H438)</f>
        <v>83</v>
      </c>
      <c r="AV438" s="180">
        <f ca="1">IF(ISBLANK(Tabla1[[#This Row],[Fecha Nacimento (dd/mm/yyyy)]]),"",YEARFRAC(Tabla1[[#This Row],[Fecha Nacimento (dd/mm/yyyy)]],TODAY()))</f>
        <v>44.508333333333333</v>
      </c>
      <c r="AW438" s="141"/>
    </row>
    <row r="439" spans="1:49" s="27" customFormat="1" x14ac:dyDescent="0.25">
      <c r="A439" s="134">
        <v>443</v>
      </c>
      <c r="B439" s="27" t="s">
        <v>1284</v>
      </c>
      <c r="C439" s="27" t="s">
        <v>2355</v>
      </c>
      <c r="D439" s="27" t="s">
        <v>141</v>
      </c>
      <c r="E439" s="400">
        <v>1088291857</v>
      </c>
      <c r="F439" s="27" t="s">
        <v>142</v>
      </c>
      <c r="G439" s="27" t="s">
        <v>143</v>
      </c>
      <c r="H439" s="136">
        <v>45379</v>
      </c>
      <c r="I439" s="136"/>
      <c r="J439" s="27" t="s">
        <v>144</v>
      </c>
      <c r="K439" s="138">
        <v>1300000</v>
      </c>
      <c r="L439" s="27" t="s">
        <v>145</v>
      </c>
      <c r="M439" s="27" t="s">
        <v>203</v>
      </c>
      <c r="N439" s="27" t="s">
        <v>145</v>
      </c>
      <c r="O439" s="213" t="s">
        <v>2356</v>
      </c>
      <c r="Q439" s="27" t="s">
        <v>148</v>
      </c>
      <c r="R439" s="27" t="s">
        <v>149</v>
      </c>
      <c r="S439" s="27" t="s">
        <v>150</v>
      </c>
      <c r="T439" s="27">
        <v>3205937963</v>
      </c>
      <c r="U439" s="197">
        <v>33452</v>
      </c>
      <c r="V439" s="27" t="s">
        <v>2357</v>
      </c>
      <c r="W439" s="27">
        <v>3205937963</v>
      </c>
      <c r="X439" s="27" t="s">
        <v>1551</v>
      </c>
      <c r="Y439" s="27" t="s">
        <v>2152</v>
      </c>
      <c r="Z439" s="27" t="s">
        <v>1559</v>
      </c>
      <c r="AA439" s="27" t="s">
        <v>211</v>
      </c>
      <c r="AB439" s="27" t="s">
        <v>259</v>
      </c>
      <c r="AC439" s="27" t="s">
        <v>160</v>
      </c>
      <c r="AD439" s="27" t="s">
        <v>160</v>
      </c>
      <c r="AE439" s="27" t="s">
        <v>1552</v>
      </c>
      <c r="AF439" s="27" t="s">
        <v>176</v>
      </c>
      <c r="AG439" s="27" t="s">
        <v>177</v>
      </c>
      <c r="AH439" s="27" t="s">
        <v>164</v>
      </c>
      <c r="AI439" s="179"/>
      <c r="AJ439" s="27" t="s">
        <v>164</v>
      </c>
      <c r="AK439" s="27" t="s">
        <v>214</v>
      </c>
      <c r="AL439" s="27" t="s">
        <v>214</v>
      </c>
      <c r="AM439" s="27" t="s">
        <v>164</v>
      </c>
      <c r="AN439" s="27" t="s">
        <v>214</v>
      </c>
      <c r="AO439" s="27" t="s">
        <v>214</v>
      </c>
      <c r="AP439" s="136"/>
      <c r="AT439" s="27" t="str">
        <f t="shared" si="14"/>
        <v>Activo</v>
      </c>
      <c r="AU439" s="27" cm="1">
        <f t="array" aca="1" ref="AU439" ca="1">_xlfn.IFS(AT439="","",AT439="Activo",TODAY()-H439,AT439="Inactivo",AP439-H439)</f>
        <v>81</v>
      </c>
      <c r="AV439" s="180">
        <f ca="1">IF(ISBLANK(Tabla1[[#This Row],[Fecha Nacimento (dd/mm/yyyy)]]),"",YEARFRAC(Tabla1[[#This Row],[Fecha Nacimento (dd/mm/yyyy)]],TODAY()))</f>
        <v>32.875</v>
      </c>
      <c r="AW439" s="141"/>
    </row>
    <row r="440" spans="1:49" s="27" customFormat="1" x14ac:dyDescent="0.25">
      <c r="A440" s="134">
        <v>444</v>
      </c>
      <c r="B440" s="27" t="s">
        <v>2358</v>
      </c>
      <c r="C440" s="27" t="s">
        <v>2359</v>
      </c>
      <c r="D440" s="27" t="s">
        <v>141</v>
      </c>
      <c r="E440" s="400">
        <v>1094963362</v>
      </c>
      <c r="F440" s="27" t="s">
        <v>142</v>
      </c>
      <c r="G440" s="27" t="s">
        <v>143</v>
      </c>
      <c r="H440" s="136">
        <v>45383</v>
      </c>
      <c r="I440" s="136"/>
      <c r="J440" s="27" t="s">
        <v>144</v>
      </c>
      <c r="K440" s="138">
        <v>1300000</v>
      </c>
      <c r="L440" s="27" t="s">
        <v>145</v>
      </c>
      <c r="M440" s="27" t="s">
        <v>203</v>
      </c>
      <c r="N440" s="27" t="s">
        <v>145</v>
      </c>
      <c r="O440" s="213" t="s">
        <v>2360</v>
      </c>
      <c r="Q440" s="27" t="s">
        <v>148</v>
      </c>
      <c r="R440" s="27" t="s">
        <v>149</v>
      </c>
      <c r="S440" s="27" t="s">
        <v>150</v>
      </c>
      <c r="T440" s="27">
        <v>6957528960</v>
      </c>
      <c r="U440" s="197">
        <v>35649</v>
      </c>
      <c r="V440" s="27" t="s">
        <v>2361</v>
      </c>
      <c r="W440" s="27">
        <v>3187476674</v>
      </c>
      <c r="X440" s="27" t="s">
        <v>731</v>
      </c>
      <c r="Y440" s="27" t="s">
        <v>2152</v>
      </c>
      <c r="Z440" s="27" t="s">
        <v>1568</v>
      </c>
      <c r="AA440" s="27" t="s">
        <v>211</v>
      </c>
      <c r="AB440" s="27" t="s">
        <v>1996</v>
      </c>
      <c r="AC440" s="27" t="s">
        <v>160</v>
      </c>
      <c r="AD440" s="27" t="s">
        <v>160</v>
      </c>
      <c r="AE440" s="27" t="s">
        <v>732</v>
      </c>
      <c r="AF440" s="27" t="s">
        <v>176</v>
      </c>
      <c r="AG440" s="27" t="s">
        <v>163</v>
      </c>
      <c r="AH440" s="27" t="s">
        <v>164</v>
      </c>
      <c r="AI440" s="179">
        <v>242000</v>
      </c>
      <c r="AJ440" s="27" t="s">
        <v>164</v>
      </c>
      <c r="AK440" s="27" t="s">
        <v>214</v>
      </c>
      <c r="AL440" s="27" t="s">
        <v>214</v>
      </c>
      <c r="AM440" s="27" t="s">
        <v>164</v>
      </c>
      <c r="AN440" s="27" t="s">
        <v>214</v>
      </c>
      <c r="AO440" s="27" t="s">
        <v>214</v>
      </c>
      <c r="AP440" s="136"/>
      <c r="AT440" s="27" t="str">
        <f t="shared" si="14"/>
        <v>Activo</v>
      </c>
      <c r="AU440" s="27" cm="1">
        <f t="array" aca="1" ref="AU440" ca="1">_xlfn.IFS(AT440="","",AT440="Activo",TODAY()-H440,AT440="Inactivo",AP440-H440)</f>
        <v>77</v>
      </c>
      <c r="AV440" s="180">
        <f ca="1">IF(ISBLANK(Tabla1[[#This Row],[Fecha Nacimento (dd/mm/yyyy)]]),"",YEARFRAC(Tabla1[[#This Row],[Fecha Nacimento (dd/mm/yyyy)]],TODAY()))</f>
        <v>26.861111111111111</v>
      </c>
      <c r="AW440" s="141"/>
    </row>
    <row r="441" spans="1:49" s="27" customFormat="1" x14ac:dyDescent="0.25">
      <c r="A441" s="134">
        <v>445</v>
      </c>
      <c r="B441" s="27" t="s">
        <v>1414</v>
      </c>
      <c r="C441" s="27" t="s">
        <v>2362</v>
      </c>
      <c r="D441" s="27" t="s">
        <v>141</v>
      </c>
      <c r="E441" s="403">
        <v>1094977269</v>
      </c>
      <c r="F441" s="27" t="s">
        <v>142</v>
      </c>
      <c r="G441" s="27" t="s">
        <v>143</v>
      </c>
      <c r="H441" s="136">
        <v>45390</v>
      </c>
      <c r="I441" s="136"/>
      <c r="J441" s="27" t="s">
        <v>144</v>
      </c>
      <c r="K441" s="137">
        <v>1300000</v>
      </c>
      <c r="L441" s="27" t="s">
        <v>145</v>
      </c>
      <c r="M441" s="27" t="s">
        <v>203</v>
      </c>
      <c r="N441" s="27" t="s">
        <v>145</v>
      </c>
      <c r="O441" s="139" t="s">
        <v>1416</v>
      </c>
      <c r="Q441" s="27" t="s">
        <v>148</v>
      </c>
      <c r="R441" s="27" t="s">
        <v>377</v>
      </c>
      <c r="S441" s="27" t="s">
        <v>150</v>
      </c>
      <c r="T441" s="28" t="s">
        <v>1417</v>
      </c>
      <c r="U441" s="37">
        <v>36455</v>
      </c>
      <c r="V441" s="27" t="s">
        <v>1418</v>
      </c>
      <c r="W441" s="27">
        <v>3116815699</v>
      </c>
      <c r="X441" s="27" t="s">
        <v>268</v>
      </c>
      <c r="Y441" s="27" t="s">
        <v>172</v>
      </c>
      <c r="Z441" s="27" t="s">
        <v>402</v>
      </c>
      <c r="AA441" s="27" t="s">
        <v>211</v>
      </c>
      <c r="AB441" s="27" t="s">
        <v>175</v>
      </c>
      <c r="AC441" s="135" t="s">
        <v>271</v>
      </c>
      <c r="AD441" s="135" t="s">
        <v>271</v>
      </c>
      <c r="AE441" s="27" t="s">
        <v>272</v>
      </c>
      <c r="AF441" s="27" t="s">
        <v>176</v>
      </c>
      <c r="AG441" s="27" t="s">
        <v>177</v>
      </c>
      <c r="AH441" s="27" t="s">
        <v>164</v>
      </c>
      <c r="AI441" s="179"/>
      <c r="AJ441" s="27" t="s">
        <v>164</v>
      </c>
      <c r="AK441" s="27" t="s">
        <v>214</v>
      </c>
      <c r="AL441" s="27" t="s">
        <v>214</v>
      </c>
      <c r="AM441" s="27" t="s">
        <v>164</v>
      </c>
      <c r="AN441" s="27" t="s">
        <v>214</v>
      </c>
      <c r="AO441" s="27" t="s">
        <v>164</v>
      </c>
      <c r="AP441" s="136"/>
      <c r="AT441" s="27" t="str">
        <f t="shared" si="14"/>
        <v>Activo</v>
      </c>
      <c r="AU441" s="27" cm="1">
        <f t="array" aca="1" ref="AU441" ca="1">_xlfn.IFS(AT441="","",AT441="Activo",TODAY()-H441,AT441="Inactivo",AP441-H441)</f>
        <v>70</v>
      </c>
      <c r="AV441" s="180">
        <f ca="1">IF(ISBLANK(Tabla1[[#This Row],[Fecha Nacimento (dd/mm/yyyy)]]),"",YEARFRAC(Tabla1[[#This Row],[Fecha Nacimento (dd/mm/yyyy)]],TODAY()))</f>
        <v>24.652777777777779</v>
      </c>
      <c r="AW441" s="141"/>
    </row>
    <row r="442" spans="1:49" s="27" customFormat="1" x14ac:dyDescent="0.25">
      <c r="A442" s="134">
        <v>446</v>
      </c>
      <c r="B442" s="27" t="s">
        <v>2363</v>
      </c>
      <c r="C442" s="27" t="s">
        <v>2364</v>
      </c>
      <c r="D442" s="27" t="s">
        <v>141</v>
      </c>
      <c r="E442" s="400">
        <v>41958172</v>
      </c>
      <c r="F442" s="27" t="s">
        <v>142</v>
      </c>
      <c r="G442" s="27" t="s">
        <v>143</v>
      </c>
      <c r="H442" s="136">
        <v>45383</v>
      </c>
      <c r="I442" s="136"/>
      <c r="J442" s="27" t="s">
        <v>144</v>
      </c>
      <c r="K442" s="138">
        <v>1300000</v>
      </c>
      <c r="L442" s="27" t="s">
        <v>145</v>
      </c>
      <c r="M442" s="27" t="s">
        <v>203</v>
      </c>
      <c r="N442" s="27" t="s">
        <v>145</v>
      </c>
      <c r="O442" s="213" t="s">
        <v>2365</v>
      </c>
      <c r="Q442" s="27" t="s">
        <v>148</v>
      </c>
      <c r="R442" s="27" t="s">
        <v>149</v>
      </c>
      <c r="S442" s="27" t="s">
        <v>150</v>
      </c>
      <c r="T442" s="27">
        <v>76179155253</v>
      </c>
      <c r="U442" s="197">
        <v>30657</v>
      </c>
      <c r="V442" s="27" t="s">
        <v>2366</v>
      </c>
      <c r="W442" s="27">
        <v>3117025329</v>
      </c>
      <c r="X442" s="27" t="s">
        <v>1760</v>
      </c>
      <c r="Y442" s="27" t="s">
        <v>1559</v>
      </c>
      <c r="Z442" s="27" t="s">
        <v>2367</v>
      </c>
      <c r="AA442" s="27" t="s">
        <v>211</v>
      </c>
      <c r="AB442" s="27" t="s">
        <v>259</v>
      </c>
      <c r="AC442" s="27" t="s">
        <v>271</v>
      </c>
      <c r="AD442" s="27" t="s">
        <v>271</v>
      </c>
      <c r="AE442" s="27" t="s">
        <v>1762</v>
      </c>
      <c r="AF442" s="27" t="s">
        <v>162</v>
      </c>
      <c r="AG442" s="27" t="s">
        <v>177</v>
      </c>
      <c r="AH442" s="27" t="s">
        <v>164</v>
      </c>
      <c r="AI442" s="179"/>
      <c r="AJ442" s="27" t="s">
        <v>164</v>
      </c>
      <c r="AK442" s="27" t="s">
        <v>214</v>
      </c>
      <c r="AL442" s="27" t="s">
        <v>214</v>
      </c>
      <c r="AM442" s="27" t="s">
        <v>164</v>
      </c>
      <c r="AN442" s="27" t="s">
        <v>214</v>
      </c>
      <c r="AO442" s="27" t="s">
        <v>214</v>
      </c>
      <c r="AP442" s="136"/>
      <c r="AT442" s="27" t="str">
        <f t="shared" si="14"/>
        <v>Activo</v>
      </c>
      <c r="AU442" s="27" cm="1">
        <f t="array" aca="1" ref="AU442" ca="1">_xlfn.IFS(AT442="","",AT442="Activo",TODAY()-H442,AT442="Inactivo",AP442-H442)</f>
        <v>77</v>
      </c>
      <c r="AV442" s="180">
        <f ca="1">IF(ISBLANK(Tabla1[[#This Row],[Fecha Nacimento (dd/mm/yyyy)]]),"",YEARFRAC(Tabla1[[#This Row],[Fecha Nacimento (dd/mm/yyyy)]],TODAY()))</f>
        <v>40.527777777777779</v>
      </c>
      <c r="AW442" s="141"/>
    </row>
    <row r="443" spans="1:49" s="27" customFormat="1" x14ac:dyDescent="0.25">
      <c r="A443" s="134">
        <v>447</v>
      </c>
      <c r="B443" s="27" t="s">
        <v>2368</v>
      </c>
      <c r="C443" s="27" t="s">
        <v>2369</v>
      </c>
      <c r="D443" s="27" t="s">
        <v>141</v>
      </c>
      <c r="E443" s="400">
        <v>1113308759</v>
      </c>
      <c r="F443" s="27" t="s">
        <v>142</v>
      </c>
      <c r="G443" s="27" t="s">
        <v>143</v>
      </c>
      <c r="H443" s="136">
        <v>45392</v>
      </c>
      <c r="I443" s="136"/>
      <c r="J443" s="27" t="s">
        <v>144</v>
      </c>
      <c r="K443" s="138">
        <v>1300000</v>
      </c>
      <c r="L443" s="27" t="s">
        <v>145</v>
      </c>
      <c r="M443" s="27" t="s">
        <v>262</v>
      </c>
      <c r="N443" s="27" t="s">
        <v>145</v>
      </c>
      <c r="O443" s="213" t="s">
        <v>2370</v>
      </c>
      <c r="Q443" s="27" t="s">
        <v>148</v>
      </c>
      <c r="R443" s="27" t="s">
        <v>168</v>
      </c>
      <c r="S443" s="27" t="s">
        <v>150</v>
      </c>
      <c r="T443" s="180">
        <v>137570007609</v>
      </c>
      <c r="U443" s="197">
        <v>33861</v>
      </c>
      <c r="V443" s="27" t="s">
        <v>2371</v>
      </c>
      <c r="W443" s="27">
        <v>3135481574</v>
      </c>
      <c r="X443" s="27" t="s">
        <v>154</v>
      </c>
      <c r="Y443" s="373" t="s">
        <v>1075</v>
      </c>
      <c r="Z443" s="27" t="s">
        <v>1076</v>
      </c>
      <c r="AA443" s="27" t="s">
        <v>211</v>
      </c>
      <c r="AB443" s="27" t="s">
        <v>175</v>
      </c>
      <c r="AC443" s="27" t="s">
        <v>159</v>
      </c>
      <c r="AD443" s="27" t="s">
        <v>338</v>
      </c>
      <c r="AE443" s="27" t="s">
        <v>494</v>
      </c>
      <c r="AF443" s="27" t="s">
        <v>162</v>
      </c>
      <c r="AG443" s="27" t="s">
        <v>177</v>
      </c>
      <c r="AH443" s="27" t="s">
        <v>145</v>
      </c>
      <c r="AI443" s="179">
        <v>200000</v>
      </c>
      <c r="AJ443" s="27" t="s">
        <v>164</v>
      </c>
      <c r="AK443" s="27" t="s">
        <v>214</v>
      </c>
      <c r="AL443" s="27" t="s">
        <v>214</v>
      </c>
      <c r="AM443" s="27" t="s">
        <v>164</v>
      </c>
      <c r="AN443" s="27" t="s">
        <v>214</v>
      </c>
      <c r="AO443" s="27" t="s">
        <v>214</v>
      </c>
      <c r="AP443" s="136"/>
      <c r="AT443" s="27" t="str">
        <f t="shared" si="14"/>
        <v>Activo</v>
      </c>
      <c r="AU443" s="27" cm="1">
        <f t="array" aca="1" ref="AU443" ca="1">_xlfn.IFS(AT443="","",AT443="Activo",TODAY()-H443,AT443="Inactivo",AP443-H443)</f>
        <v>68</v>
      </c>
      <c r="AV443" s="180">
        <f ca="1">IF(ISBLANK(Tabla1[[#This Row],[Fecha Nacimento (dd/mm/yyyy)]]),"",YEARFRAC(Tabla1[[#This Row],[Fecha Nacimento (dd/mm/yyyy)]],TODAY()))</f>
        <v>31.758333333333333</v>
      </c>
      <c r="AW443" s="141"/>
    </row>
    <row r="444" spans="1:49" s="27" customFormat="1" x14ac:dyDescent="0.25">
      <c r="A444" s="134">
        <v>448</v>
      </c>
      <c r="B444" s="27" t="s">
        <v>2372</v>
      </c>
      <c r="C444" s="27" t="s">
        <v>2373</v>
      </c>
      <c r="D444" s="27" t="s">
        <v>141</v>
      </c>
      <c r="E444" s="408">
        <v>22193811</v>
      </c>
      <c r="F444" s="27" t="s">
        <v>142</v>
      </c>
      <c r="G444" s="27" t="s">
        <v>143</v>
      </c>
      <c r="H444" s="136">
        <v>45388</v>
      </c>
      <c r="I444" s="136"/>
      <c r="J444" s="27" t="s">
        <v>144</v>
      </c>
      <c r="K444" s="138">
        <v>1300000</v>
      </c>
      <c r="L444" s="27" t="s">
        <v>145</v>
      </c>
      <c r="M444" s="27" t="s">
        <v>262</v>
      </c>
      <c r="N444" s="27" t="s">
        <v>145</v>
      </c>
      <c r="O444" s="213" t="s">
        <v>2374</v>
      </c>
      <c r="Q444" s="27" t="s">
        <v>148</v>
      </c>
      <c r="R444" s="27" t="s">
        <v>149</v>
      </c>
      <c r="S444" s="27" t="s">
        <v>150</v>
      </c>
      <c r="T444" s="28" t="s">
        <v>2375</v>
      </c>
      <c r="U444" s="197">
        <v>30556</v>
      </c>
      <c r="V444" s="27" t="s">
        <v>2376</v>
      </c>
      <c r="W444" s="27" t="s">
        <v>2377</v>
      </c>
      <c r="X444" s="27" t="s">
        <v>2165</v>
      </c>
      <c r="Y444" s="373" t="s">
        <v>1559</v>
      </c>
      <c r="Z444" s="27" t="s">
        <v>2166</v>
      </c>
      <c r="AA444" s="27" t="s">
        <v>211</v>
      </c>
      <c r="AB444" s="27" t="s">
        <v>1996</v>
      </c>
      <c r="AC444" s="27" t="s">
        <v>271</v>
      </c>
      <c r="AD444" s="27" t="s">
        <v>271</v>
      </c>
      <c r="AE444" s="27" t="s">
        <v>2167</v>
      </c>
      <c r="AF444" s="27" t="s">
        <v>162</v>
      </c>
      <c r="AG444" s="27" t="s">
        <v>177</v>
      </c>
      <c r="AH444" s="27" t="s">
        <v>164</v>
      </c>
      <c r="AI444" s="179"/>
      <c r="AJ444" s="27" t="s">
        <v>145</v>
      </c>
      <c r="AK444" s="27" t="s">
        <v>1069</v>
      </c>
      <c r="AL444" s="27" t="s">
        <v>145</v>
      </c>
      <c r="AM444" s="27" t="s">
        <v>145</v>
      </c>
      <c r="AN444" s="27" t="s">
        <v>1069</v>
      </c>
      <c r="AO444" s="27" t="s">
        <v>145</v>
      </c>
      <c r="AP444" s="136"/>
      <c r="AT444" s="27" t="str">
        <f t="shared" si="14"/>
        <v>Activo</v>
      </c>
      <c r="AU444" s="27" cm="1">
        <f t="array" aca="1" ref="AU444" ca="1">_xlfn.IFS(AT444="","",AT444="Activo",TODAY()-H444,AT444="Inactivo",AP444-H444)</f>
        <v>72</v>
      </c>
      <c r="AV444" s="180">
        <f ca="1">IF(ISBLANK(Tabla1[[#This Row],[Fecha Nacimento (dd/mm/yyyy)]]),"",YEARFRAC(Tabla1[[#This Row],[Fecha Nacimento (dd/mm/yyyy)]],TODAY()))</f>
        <v>40.802777777777777</v>
      </c>
      <c r="AW444" s="141"/>
    </row>
    <row r="445" spans="1:49" s="27" customFormat="1" x14ac:dyDescent="0.25">
      <c r="A445" s="134">
        <v>449</v>
      </c>
      <c r="B445" s="27" t="s">
        <v>2378</v>
      </c>
      <c r="C445" s="27" t="s">
        <v>2379</v>
      </c>
      <c r="D445" s="27" t="s">
        <v>141</v>
      </c>
      <c r="E445" s="400">
        <v>1094887249</v>
      </c>
      <c r="F445" s="27" t="s">
        <v>142</v>
      </c>
      <c r="G445" s="27" t="s">
        <v>143</v>
      </c>
      <c r="H445" s="136">
        <v>45420</v>
      </c>
      <c r="I445" s="136"/>
      <c r="J445" s="27" t="s">
        <v>144</v>
      </c>
      <c r="K445" s="138">
        <v>1300000</v>
      </c>
      <c r="L445" s="27" t="s">
        <v>145</v>
      </c>
      <c r="M445" s="27" t="s">
        <v>262</v>
      </c>
      <c r="N445" s="27" t="s">
        <v>164</v>
      </c>
      <c r="O445" s="213" t="s">
        <v>2380</v>
      </c>
      <c r="Q445" s="27" t="s">
        <v>148</v>
      </c>
      <c r="R445" s="27" t="s">
        <v>371</v>
      </c>
      <c r="S445" s="27" t="s">
        <v>150</v>
      </c>
      <c r="T445" s="27">
        <v>3217085711</v>
      </c>
      <c r="U445" s="197">
        <v>31355</v>
      </c>
      <c r="V445" s="27" t="s">
        <v>2381</v>
      </c>
      <c r="W445" s="27">
        <v>3217085711</v>
      </c>
      <c r="X445" s="27" t="s">
        <v>154</v>
      </c>
      <c r="Y445" s="373" t="s">
        <v>155</v>
      </c>
      <c r="Z445" s="27" t="s">
        <v>2382</v>
      </c>
      <c r="AA445" s="27" t="s">
        <v>211</v>
      </c>
      <c r="AB445" s="27" t="s">
        <v>186</v>
      </c>
      <c r="AC445" s="27" t="s">
        <v>160</v>
      </c>
      <c r="AD445" s="27" t="s">
        <v>160</v>
      </c>
      <c r="AE445" s="27" t="s">
        <v>2035</v>
      </c>
      <c r="AF445" s="27" t="s">
        <v>162</v>
      </c>
      <c r="AG445" s="27" t="s">
        <v>177</v>
      </c>
      <c r="AH445" s="27" t="s">
        <v>164</v>
      </c>
      <c r="AI445" s="179"/>
      <c r="AP445" s="136"/>
      <c r="AT445" s="27" t="str">
        <f t="shared" si="14"/>
        <v>Activo</v>
      </c>
      <c r="AU445" s="27" cm="1">
        <f t="array" aca="1" ref="AU445" ca="1">_xlfn.IFS(AT445="","",AT445="Activo",TODAY()-H445,AT445="Inactivo",AP445-H445)</f>
        <v>40</v>
      </c>
      <c r="AV445" s="180">
        <f ca="1">IF(ISBLANK(Tabla1[[#This Row],[Fecha Nacimento (dd/mm/yyyy)]]),"",YEARFRAC(Tabla1[[#This Row],[Fecha Nacimento (dd/mm/yyyy)]],TODAY()))</f>
        <v>38.619444444444447</v>
      </c>
      <c r="AW445" s="141"/>
    </row>
    <row r="446" spans="1:49" s="27" customFormat="1" x14ac:dyDescent="0.25">
      <c r="A446" s="134">
        <v>450</v>
      </c>
      <c r="B446" s="27" t="s">
        <v>1108</v>
      </c>
      <c r="C446" s="27" t="s">
        <v>1530</v>
      </c>
      <c r="D446" s="27" t="s">
        <v>363</v>
      </c>
      <c r="E446" s="400">
        <v>4091638</v>
      </c>
      <c r="F446" s="27" t="s">
        <v>142</v>
      </c>
      <c r="G446" s="27" t="s">
        <v>143</v>
      </c>
      <c r="H446" s="136">
        <v>45394</v>
      </c>
      <c r="I446" s="136"/>
      <c r="J446" s="27" t="s">
        <v>144</v>
      </c>
      <c r="K446" s="137">
        <v>1300000</v>
      </c>
      <c r="L446" s="27" t="s">
        <v>145</v>
      </c>
      <c r="M446" s="27" t="s">
        <v>355</v>
      </c>
      <c r="N446" s="27" t="s">
        <v>145</v>
      </c>
      <c r="O446" s="213" t="s">
        <v>1531</v>
      </c>
      <c r="Q446" s="27" t="s">
        <v>148</v>
      </c>
      <c r="R446" s="27" t="s">
        <v>168</v>
      </c>
      <c r="S446" s="27" t="s">
        <v>150</v>
      </c>
      <c r="T446" s="180">
        <v>550136200170522</v>
      </c>
      <c r="U446" s="37">
        <v>34948</v>
      </c>
      <c r="V446" s="27" t="s">
        <v>1532</v>
      </c>
      <c r="W446" s="27">
        <v>3127538896</v>
      </c>
      <c r="X446" s="27" t="s">
        <v>979</v>
      </c>
      <c r="Y446" s="373" t="s">
        <v>172</v>
      </c>
      <c r="Z446" s="27" t="s">
        <v>368</v>
      </c>
      <c r="AA446" s="27" t="s">
        <v>211</v>
      </c>
      <c r="AB446" s="27" t="s">
        <v>175</v>
      </c>
      <c r="AC446" s="27" t="s">
        <v>160</v>
      </c>
      <c r="AD446" s="27" t="s">
        <v>160</v>
      </c>
      <c r="AE446" s="27" t="s">
        <v>980</v>
      </c>
      <c r="AF446" s="27" t="s">
        <v>176</v>
      </c>
      <c r="AG446" s="27" t="s">
        <v>177</v>
      </c>
      <c r="AH446" s="27" t="s">
        <v>164</v>
      </c>
      <c r="AI446" s="179"/>
      <c r="AJ446" s="27" t="s">
        <v>164</v>
      </c>
      <c r="AK446" s="27" t="s">
        <v>214</v>
      </c>
      <c r="AL446" s="27" t="s">
        <v>214</v>
      </c>
      <c r="AM446" s="27" t="s">
        <v>164</v>
      </c>
      <c r="AN446" s="27" t="s">
        <v>214</v>
      </c>
      <c r="AO446" s="27" t="s">
        <v>164</v>
      </c>
      <c r="AP446" s="136"/>
      <c r="AT446" s="27" t="str">
        <f t="shared" si="14"/>
        <v>Activo</v>
      </c>
      <c r="AU446" s="27" cm="1">
        <f t="array" aca="1" ref="AU446" ca="1">_xlfn.IFS(AT446="","",AT446="Activo",TODAY()-H446,AT446="Inactivo",AP446-H446)</f>
        <v>66</v>
      </c>
      <c r="AV446" s="180">
        <f ca="1">IF(ISBLANK(Tabla1[[#This Row],[Fecha Nacimento (dd/mm/yyyy)]]),"",YEARFRAC(Tabla1[[#This Row],[Fecha Nacimento (dd/mm/yyyy)]],TODAY()))</f>
        <v>28.780555555555555</v>
      </c>
      <c r="AW446" s="141"/>
    </row>
    <row r="447" spans="1:49" s="27" customFormat="1" x14ac:dyDescent="0.25">
      <c r="A447" s="134">
        <v>452</v>
      </c>
      <c r="B447" s="27" t="s">
        <v>2383</v>
      </c>
      <c r="C447" s="27" t="s">
        <v>2384</v>
      </c>
      <c r="D447" s="27" t="s">
        <v>141</v>
      </c>
      <c r="E447" s="400">
        <v>1096037001</v>
      </c>
      <c r="F447" s="27" t="s">
        <v>142</v>
      </c>
      <c r="G447" s="27" t="s">
        <v>143</v>
      </c>
      <c r="H447" s="136">
        <v>45400</v>
      </c>
      <c r="I447" s="136"/>
      <c r="J447" s="27" t="s">
        <v>144</v>
      </c>
      <c r="K447" s="138">
        <v>1500000</v>
      </c>
      <c r="L447" s="27" t="s">
        <v>145</v>
      </c>
      <c r="M447" s="27" t="s">
        <v>262</v>
      </c>
      <c r="N447" s="27" t="s">
        <v>145</v>
      </c>
      <c r="O447" s="213" t="s">
        <v>2385</v>
      </c>
      <c r="Q447" s="27" t="s">
        <v>148</v>
      </c>
      <c r="R447" s="27" t="s">
        <v>168</v>
      </c>
      <c r="S447" s="27" t="s">
        <v>150</v>
      </c>
      <c r="T447" s="28" t="s">
        <v>2386</v>
      </c>
      <c r="U447" s="197">
        <v>34225</v>
      </c>
      <c r="V447" s="27" t="s">
        <v>2387</v>
      </c>
      <c r="W447" s="27">
        <v>3137006910</v>
      </c>
      <c r="X447" s="27" t="s">
        <v>1394</v>
      </c>
      <c r="Y447" s="27" t="s">
        <v>172</v>
      </c>
      <c r="Z447" s="27" t="s">
        <v>19</v>
      </c>
      <c r="AA447" s="27" t="s">
        <v>211</v>
      </c>
      <c r="AB447" s="27" t="s">
        <v>599</v>
      </c>
      <c r="AC447" s="27" t="s">
        <v>160</v>
      </c>
      <c r="AD447" s="27" t="s">
        <v>160</v>
      </c>
      <c r="AE447" s="27" t="s">
        <v>1369</v>
      </c>
      <c r="AF447" s="27" t="s">
        <v>162</v>
      </c>
      <c r="AG447" s="27" t="s">
        <v>177</v>
      </c>
      <c r="AH447" s="27" t="s">
        <v>145</v>
      </c>
      <c r="AI447" s="179">
        <v>500000</v>
      </c>
      <c r="AP447" s="136"/>
      <c r="AT447" s="27" t="str">
        <f t="shared" si="14"/>
        <v>Activo</v>
      </c>
      <c r="AU447" s="27" t="e" cm="1">
        <f t="array" aca="1" ref="AU447" ca="1">_xlfn.IFS(AT447="","",AT447="Activo",TODAY()-#REF!,AT447="Inactivo",AP447-#REF!)</f>
        <v>#REF!</v>
      </c>
      <c r="AV447" s="180">
        <f ca="1">IF(ISBLANK(Tabla1[[#This Row],[Fecha Nacimento (dd/mm/yyyy)]]),"",YEARFRAC(Tabla1[[#This Row],[Fecha Nacimento (dd/mm/yyyy)]],TODAY()))</f>
        <v>30.761111111111113</v>
      </c>
      <c r="AW447" s="141"/>
    </row>
    <row r="448" spans="1:49" s="27" customFormat="1" x14ac:dyDescent="0.25">
      <c r="A448" s="134">
        <v>453</v>
      </c>
      <c r="B448" s="27" t="s">
        <v>2388</v>
      </c>
      <c r="C448" s="27" t="s">
        <v>2389</v>
      </c>
      <c r="D448" s="27" t="s">
        <v>141</v>
      </c>
      <c r="E448" s="400">
        <v>41938588</v>
      </c>
      <c r="F448" s="27" t="s">
        <v>142</v>
      </c>
      <c r="G448" s="27" t="s">
        <v>959</v>
      </c>
      <c r="H448" s="136">
        <v>44480</v>
      </c>
      <c r="I448" s="136"/>
      <c r="J448" s="27" t="s">
        <v>144</v>
      </c>
      <c r="K448" s="138">
        <v>1300000</v>
      </c>
      <c r="L448" s="27" t="s">
        <v>145</v>
      </c>
      <c r="M448" s="27" t="s">
        <v>262</v>
      </c>
      <c r="N448" s="27" t="s">
        <v>145</v>
      </c>
      <c r="O448" s="139"/>
      <c r="Q448" s="27" t="s">
        <v>148</v>
      </c>
      <c r="S448" s="27" t="s">
        <v>150</v>
      </c>
      <c r="U448" s="197">
        <v>28374</v>
      </c>
      <c r="V448" s="27" t="s">
        <v>2390</v>
      </c>
      <c r="X448" s="27" t="s">
        <v>154</v>
      </c>
      <c r="Y448" s="27" t="s">
        <v>1559</v>
      </c>
      <c r="Z448" s="27" t="s">
        <v>2391</v>
      </c>
      <c r="AA448" s="27" t="s">
        <v>211</v>
      </c>
      <c r="AB448" s="27" t="s">
        <v>186</v>
      </c>
      <c r="AC448" s="27" t="s">
        <v>160</v>
      </c>
      <c r="AD448" s="27" t="s">
        <v>160</v>
      </c>
      <c r="AE448" s="27" t="s">
        <v>2392</v>
      </c>
      <c r="AF448" s="27" t="s">
        <v>162</v>
      </c>
      <c r="AG448" s="27" t="s">
        <v>177</v>
      </c>
      <c r="AH448" s="27" t="s">
        <v>164</v>
      </c>
      <c r="AI448" s="179"/>
      <c r="AP448" s="136"/>
      <c r="AT448" s="27" t="str">
        <f t="shared" si="14"/>
        <v>Activo</v>
      </c>
      <c r="AU448" s="27" cm="1">
        <f t="array" aca="1" ref="AU448" ca="1">_xlfn.IFS(AT448="","",AT448="Activo",TODAY()-H448,AT448="Inactivo",AP448-H448)</f>
        <v>980</v>
      </c>
      <c r="AV448" s="180">
        <f ca="1">IF(ISBLANK(Tabla1[[#This Row],[Fecha Nacimento (dd/mm/yyyy)]]),"",YEARFRAC(Tabla1[[#This Row],[Fecha Nacimento (dd/mm/yyyy)]],TODAY()))</f>
        <v>46.780555555555559</v>
      </c>
      <c r="AW448" s="141"/>
    </row>
    <row r="449" spans="1:49" s="27" customFormat="1" x14ac:dyDescent="0.25">
      <c r="A449" s="134">
        <v>454</v>
      </c>
      <c r="B449" s="27" t="s">
        <v>2393</v>
      </c>
      <c r="C449" s="27" t="s">
        <v>2394</v>
      </c>
      <c r="D449" s="27" t="s">
        <v>141</v>
      </c>
      <c r="E449" s="400">
        <v>1096037341</v>
      </c>
      <c r="F449" s="27" t="s">
        <v>142</v>
      </c>
      <c r="G449" s="27" t="s">
        <v>143</v>
      </c>
      <c r="H449" s="136">
        <v>44778</v>
      </c>
      <c r="I449" s="136"/>
      <c r="J449" s="27" t="s">
        <v>144</v>
      </c>
      <c r="K449" s="138">
        <v>1800000</v>
      </c>
      <c r="L449" s="27" t="s">
        <v>145</v>
      </c>
      <c r="M449" s="27" t="s">
        <v>262</v>
      </c>
      <c r="N449" s="27" t="s">
        <v>145</v>
      </c>
      <c r="O449" s="139"/>
      <c r="Q449" s="27" t="s">
        <v>148</v>
      </c>
      <c r="S449" s="27" t="s">
        <v>150</v>
      </c>
      <c r="U449" s="197">
        <v>34410</v>
      </c>
      <c r="V449" s="27" t="s">
        <v>2395</v>
      </c>
      <c r="X449" s="27" t="s">
        <v>154</v>
      </c>
      <c r="Y449" s="27" t="s">
        <v>1559</v>
      </c>
      <c r="Z449" s="27" t="s">
        <v>2107</v>
      </c>
      <c r="AA449" s="27" t="s">
        <v>211</v>
      </c>
      <c r="AB449" s="27" t="s">
        <v>175</v>
      </c>
      <c r="AC449" s="27" t="s">
        <v>160</v>
      </c>
      <c r="AD449" s="27" t="s">
        <v>160</v>
      </c>
      <c r="AE449" s="27" t="s">
        <v>2392</v>
      </c>
      <c r="AF449" s="27" t="s">
        <v>162</v>
      </c>
      <c r="AG449" s="27" t="s">
        <v>163</v>
      </c>
      <c r="AH449" s="27" t="s">
        <v>145</v>
      </c>
      <c r="AI449" s="179">
        <v>1200000</v>
      </c>
      <c r="AP449" s="136"/>
      <c r="AT449" s="27" t="str">
        <f t="shared" si="14"/>
        <v>Activo</v>
      </c>
      <c r="AU449" s="27" cm="1">
        <f t="array" aca="1" ref="AU449" ca="1">_xlfn.IFS(AT449="","",AT449="Activo",TODAY()-H449,AT449="Inactivo",AP449-H449)</f>
        <v>682</v>
      </c>
      <c r="AV449" s="180">
        <f ca="1">IF(ISBLANK(Tabla1[[#This Row],[Fecha Nacimento (dd/mm/yyyy)]]),"",YEARFRAC(Tabla1[[#This Row],[Fecha Nacimento (dd/mm/yyyy)]],TODAY()))</f>
        <v>30.25</v>
      </c>
      <c r="AW449" s="141"/>
    </row>
    <row r="450" spans="1:49" s="27" customFormat="1" x14ac:dyDescent="0.25">
      <c r="A450" s="134">
        <v>455</v>
      </c>
      <c r="B450" s="27" t="s">
        <v>1146</v>
      </c>
      <c r="C450" s="27" t="s">
        <v>2396</v>
      </c>
      <c r="D450" s="27" t="s">
        <v>141</v>
      </c>
      <c r="E450" s="400">
        <v>1018458124</v>
      </c>
      <c r="F450" s="27" t="s">
        <v>142</v>
      </c>
      <c r="G450" s="27" t="s">
        <v>143</v>
      </c>
      <c r="H450" s="136">
        <v>43718</v>
      </c>
      <c r="I450" s="136"/>
      <c r="J450" s="27" t="s">
        <v>144</v>
      </c>
      <c r="K450" s="138">
        <v>12900000</v>
      </c>
      <c r="L450" s="27" t="s">
        <v>145</v>
      </c>
      <c r="M450" s="27" t="s">
        <v>262</v>
      </c>
      <c r="N450" s="27" t="s">
        <v>145</v>
      </c>
      <c r="O450" s="139"/>
      <c r="Q450" s="27" t="s">
        <v>148</v>
      </c>
      <c r="S450" s="27" t="s">
        <v>150</v>
      </c>
      <c r="U450" s="197">
        <v>34047</v>
      </c>
      <c r="V450" s="27" t="s">
        <v>2397</v>
      </c>
      <c r="W450" s="27">
        <v>3107256967</v>
      </c>
      <c r="X450" s="27" t="s">
        <v>154</v>
      </c>
      <c r="Y450" s="373" t="s">
        <v>155</v>
      </c>
      <c r="Z450" s="27" t="s">
        <v>270</v>
      </c>
      <c r="AA450" s="27" t="s">
        <v>211</v>
      </c>
      <c r="AB450" s="27" t="s">
        <v>158</v>
      </c>
      <c r="AC450" s="27" t="s">
        <v>160</v>
      </c>
      <c r="AD450" s="27" t="s">
        <v>160</v>
      </c>
      <c r="AE450" s="27" t="s">
        <v>2392</v>
      </c>
      <c r="AF450" s="27" t="s">
        <v>162</v>
      </c>
      <c r="AG450" s="27" t="s">
        <v>163</v>
      </c>
      <c r="AH450" s="27" t="s">
        <v>164</v>
      </c>
      <c r="AI450" s="179"/>
      <c r="AP450" s="136"/>
      <c r="AT450" s="27" t="str">
        <f t="shared" si="14"/>
        <v>Activo</v>
      </c>
      <c r="AU450" s="27" cm="1">
        <f t="array" aca="1" ref="AU450" ca="1">_xlfn.IFS(AT450="","",AT450="Activo",TODAY()-H450,AT450="Inactivo",AP450-H450)</f>
        <v>1742</v>
      </c>
      <c r="AV450" s="180">
        <f ca="1">IF(ISBLANK(Tabla1[[#This Row],[Fecha Nacimento (dd/mm/yyyy)]]),"",YEARFRAC(Tabla1[[#This Row],[Fecha Nacimento (dd/mm/yyyy)]],TODAY()))</f>
        <v>31.244444444444444</v>
      </c>
      <c r="AW450" s="141"/>
    </row>
    <row r="451" spans="1:49" s="27" customFormat="1" x14ac:dyDescent="0.25">
      <c r="A451" s="134">
        <v>456</v>
      </c>
      <c r="B451" s="27" t="s">
        <v>2398</v>
      </c>
      <c r="C451" s="27" t="s">
        <v>2399</v>
      </c>
      <c r="D451" s="27" t="s">
        <v>141</v>
      </c>
      <c r="E451" s="400">
        <v>24606646</v>
      </c>
      <c r="F451" s="27" t="s">
        <v>142</v>
      </c>
      <c r="G451" s="27" t="s">
        <v>143</v>
      </c>
      <c r="H451" s="136"/>
      <c r="I451" s="136"/>
      <c r="J451" s="27" t="s">
        <v>144</v>
      </c>
      <c r="K451" s="138">
        <v>1400000</v>
      </c>
      <c r="L451" s="27" t="s">
        <v>145</v>
      </c>
      <c r="M451" s="27" t="s">
        <v>262</v>
      </c>
      <c r="N451" s="27" t="s">
        <v>145</v>
      </c>
      <c r="O451" s="139"/>
      <c r="Q451" s="27" t="s">
        <v>148</v>
      </c>
      <c r="S451" s="27" t="s">
        <v>150</v>
      </c>
      <c r="U451" s="197"/>
      <c r="X451" s="27" t="s">
        <v>154</v>
      </c>
      <c r="Y451" s="27" t="s">
        <v>1559</v>
      </c>
      <c r="AA451" s="27" t="s">
        <v>211</v>
      </c>
      <c r="AB451" s="27" t="s">
        <v>175</v>
      </c>
      <c r="AC451" s="27" t="s">
        <v>159</v>
      </c>
      <c r="AD451" s="27" t="s">
        <v>160</v>
      </c>
      <c r="AE451" s="27" t="s">
        <v>2392</v>
      </c>
      <c r="AF451" s="27" t="s">
        <v>162</v>
      </c>
      <c r="AG451" s="27" t="s">
        <v>177</v>
      </c>
      <c r="AH451" s="27" t="s">
        <v>164</v>
      </c>
      <c r="AI451" s="179"/>
      <c r="AP451" s="136"/>
      <c r="AT451" s="27" t="str">
        <f t="shared" si="14"/>
        <v>Activo</v>
      </c>
      <c r="AU451" s="27" cm="1">
        <f t="array" aca="1" ref="AU451" ca="1">_xlfn.IFS(AT451="","",AT451="Activo",TODAY()-H451,AT451="Inactivo",AP451-H451)</f>
        <v>45460</v>
      </c>
      <c r="AV451" s="180" t="str">
        <f ca="1">IF(ISBLANK(Tabla1[[#This Row],[Fecha Nacimento (dd/mm/yyyy)]]),"",YEARFRAC(Tabla1[[#This Row],[Fecha Nacimento (dd/mm/yyyy)]],TODAY()))</f>
        <v/>
      </c>
      <c r="AW451" s="141"/>
    </row>
    <row r="452" spans="1:49" s="27" customFormat="1" x14ac:dyDescent="0.25">
      <c r="A452" s="134">
        <v>457</v>
      </c>
      <c r="B452" s="27" t="s">
        <v>766</v>
      </c>
      <c r="C452" s="27" t="s">
        <v>2400</v>
      </c>
      <c r="D452" s="27" t="s">
        <v>141</v>
      </c>
      <c r="E452" s="400">
        <v>1010085659</v>
      </c>
      <c r="F452" s="27" t="s">
        <v>2401</v>
      </c>
      <c r="G452" s="27" t="s">
        <v>959</v>
      </c>
      <c r="H452" s="136">
        <v>45401</v>
      </c>
      <c r="I452" s="136">
        <v>45583</v>
      </c>
      <c r="J452" s="27" t="s">
        <v>144</v>
      </c>
      <c r="K452" s="138">
        <v>975000</v>
      </c>
      <c r="L452" s="27" t="s">
        <v>145</v>
      </c>
      <c r="M452" s="27" t="s">
        <v>262</v>
      </c>
      <c r="N452" s="27" t="s">
        <v>145</v>
      </c>
      <c r="O452" s="213" t="s">
        <v>2402</v>
      </c>
      <c r="Q452" s="27" t="s">
        <v>148</v>
      </c>
      <c r="R452" s="27" t="s">
        <v>426</v>
      </c>
      <c r="S452" s="27" t="s">
        <v>150</v>
      </c>
      <c r="T452" s="27">
        <v>3106427643</v>
      </c>
      <c r="U452" s="197">
        <v>37513</v>
      </c>
      <c r="V452" s="27" t="s">
        <v>2403</v>
      </c>
      <c r="W452" s="27">
        <v>3234816480</v>
      </c>
      <c r="X452" s="27" t="s">
        <v>268</v>
      </c>
      <c r="Y452" s="27" t="s">
        <v>367</v>
      </c>
      <c r="Z452" s="27" t="s">
        <v>1084</v>
      </c>
      <c r="AA452" s="27" t="s">
        <v>211</v>
      </c>
      <c r="AB452" s="27" t="s">
        <v>158</v>
      </c>
      <c r="AE452" s="27" t="s">
        <v>272</v>
      </c>
      <c r="AF452" s="27" t="s">
        <v>176</v>
      </c>
      <c r="AG452" s="27" t="s">
        <v>177</v>
      </c>
      <c r="AH452" s="27" t="s">
        <v>164</v>
      </c>
      <c r="AI452" s="179"/>
      <c r="AP452" s="136"/>
      <c r="AT452" s="27" t="str">
        <f t="shared" si="14"/>
        <v>Activo</v>
      </c>
      <c r="AU452" s="27" cm="1">
        <f t="array" aca="1" ref="AU452" ca="1">_xlfn.IFS(AT452="","",AT452="Activo",TODAY()-H452,AT452="Inactivo",AP452-H452)</f>
        <v>59</v>
      </c>
      <c r="AV452" s="180">
        <f ca="1">IF(ISBLANK(Tabla1[[#This Row],[Fecha Nacimento (dd/mm/yyyy)]]),"",YEARFRAC(Tabla1[[#This Row],[Fecha Nacimento (dd/mm/yyyy)]],TODAY()))</f>
        <v>21.758333333333333</v>
      </c>
      <c r="AW452" s="141"/>
    </row>
    <row r="453" spans="1:49" s="27" customFormat="1" x14ac:dyDescent="0.25">
      <c r="A453" s="134">
        <v>458</v>
      </c>
      <c r="B453" s="141" t="s">
        <v>2404</v>
      </c>
      <c r="C453" s="141" t="s">
        <v>2405</v>
      </c>
      <c r="D453" s="27" t="s">
        <v>141</v>
      </c>
      <c r="E453" s="407">
        <v>1097399168</v>
      </c>
      <c r="F453" s="27" t="s">
        <v>142</v>
      </c>
      <c r="G453" s="27" t="s">
        <v>959</v>
      </c>
      <c r="H453" s="136">
        <v>45352</v>
      </c>
      <c r="I453" s="136">
        <v>45371</v>
      </c>
      <c r="J453" s="27" t="s">
        <v>144</v>
      </c>
      <c r="K453" s="138">
        <v>1456000</v>
      </c>
      <c r="L453" s="27" t="s">
        <v>145</v>
      </c>
      <c r="M453" s="27" t="s">
        <v>262</v>
      </c>
      <c r="N453" s="27" t="s">
        <v>145</v>
      </c>
      <c r="O453" s="213" t="s">
        <v>2916</v>
      </c>
      <c r="Q453" s="27" t="s">
        <v>148</v>
      </c>
      <c r="R453" s="27" t="s">
        <v>371</v>
      </c>
      <c r="S453" s="27" t="s">
        <v>150</v>
      </c>
      <c r="T453" s="27">
        <v>3006729742</v>
      </c>
      <c r="U453" s="197">
        <v>33885</v>
      </c>
      <c r="V453" s="27" t="s">
        <v>2917</v>
      </c>
      <c r="W453" s="27">
        <v>3006729742</v>
      </c>
      <c r="X453" s="27" t="s">
        <v>2918</v>
      </c>
      <c r="Y453" s="27" t="s">
        <v>15</v>
      </c>
      <c r="Z453" s="27" t="s">
        <v>15</v>
      </c>
      <c r="AA453" s="27" t="s">
        <v>211</v>
      </c>
      <c r="AB453" s="27" t="s">
        <v>175</v>
      </c>
      <c r="AC453" s="27" t="s">
        <v>159</v>
      </c>
      <c r="AD453" s="27" t="s">
        <v>271</v>
      </c>
      <c r="AE453" s="27" t="s">
        <v>1</v>
      </c>
      <c r="AF453" s="27" t="s">
        <v>162</v>
      </c>
      <c r="AG453" s="27" t="s">
        <v>177</v>
      </c>
      <c r="AH453" s="27" t="s">
        <v>164</v>
      </c>
      <c r="AI453" s="179"/>
      <c r="AP453" s="136">
        <v>45371</v>
      </c>
      <c r="AQ453" s="27" t="s">
        <v>68</v>
      </c>
      <c r="AT453" s="27" t="str">
        <f t="shared" si="14"/>
        <v>Inactivo</v>
      </c>
      <c r="AU453" s="27" cm="1">
        <f t="array" aca="1" ref="AU453" ca="1">_xlfn.IFS(AT453="","",AT453="Activo",TODAY()-H453,AT453="Inactivo",AP453-H453)</f>
        <v>19</v>
      </c>
      <c r="AV453" s="180">
        <f ca="1">IF(ISBLANK(Tabla1[[#This Row],[Fecha Nacimento (dd/mm/yyyy)]]),"",YEARFRAC(Tabla1[[#This Row],[Fecha Nacimento (dd/mm/yyyy)]],TODAY()))</f>
        <v>31.691666666666666</v>
      </c>
      <c r="AW453" s="141"/>
    </row>
    <row r="454" spans="1:49" s="27" customFormat="1" x14ac:dyDescent="0.25">
      <c r="A454" s="134">
        <v>459</v>
      </c>
      <c r="B454" s="27" t="s">
        <v>2406</v>
      </c>
      <c r="C454" s="27" t="s">
        <v>2407</v>
      </c>
      <c r="D454" s="27" t="s">
        <v>141</v>
      </c>
      <c r="E454" s="400">
        <v>43203687</v>
      </c>
      <c r="F454" s="27" t="s">
        <v>142</v>
      </c>
      <c r="G454" s="27" t="s">
        <v>143</v>
      </c>
      <c r="H454" s="136">
        <v>45406</v>
      </c>
      <c r="I454" s="136"/>
      <c r="J454" s="27" t="s">
        <v>144</v>
      </c>
      <c r="K454" s="138">
        <v>1300000</v>
      </c>
      <c r="L454" s="27" t="s">
        <v>145</v>
      </c>
      <c r="M454" s="27" t="s">
        <v>262</v>
      </c>
      <c r="N454" s="27" t="s">
        <v>145</v>
      </c>
      <c r="O454" s="213" t="s">
        <v>2408</v>
      </c>
      <c r="Q454" s="27" t="s">
        <v>148</v>
      </c>
      <c r="R454" s="27" t="s">
        <v>149</v>
      </c>
      <c r="S454" s="27" t="s">
        <v>150</v>
      </c>
      <c r="T454" s="28" t="s">
        <v>2409</v>
      </c>
      <c r="U454" s="197">
        <v>28479</v>
      </c>
      <c r="V454" s="27" t="s">
        <v>2410</v>
      </c>
      <c r="W454" s="27">
        <v>3148610067</v>
      </c>
      <c r="X454" s="27" t="s">
        <v>1644</v>
      </c>
      <c r="Y454" s="27" t="s">
        <v>543</v>
      </c>
      <c r="Z454" s="27" t="s">
        <v>1182</v>
      </c>
      <c r="AA454" s="27" t="s">
        <v>211</v>
      </c>
      <c r="AB454" s="27" t="s">
        <v>186</v>
      </c>
      <c r="AC454" s="27" t="s">
        <v>271</v>
      </c>
      <c r="AD454" s="27" t="s">
        <v>271</v>
      </c>
      <c r="AE454" s="27" t="s">
        <v>1184</v>
      </c>
      <c r="AF454" s="27" t="s">
        <v>162</v>
      </c>
      <c r="AG454" s="27" t="s">
        <v>177</v>
      </c>
      <c r="AH454" s="27" t="s">
        <v>145</v>
      </c>
      <c r="AI454" s="179">
        <v>313000</v>
      </c>
      <c r="AJ454" s="27" t="s">
        <v>145</v>
      </c>
      <c r="AK454" s="27" t="s">
        <v>1069</v>
      </c>
      <c r="AL454" s="27" t="s">
        <v>164</v>
      </c>
      <c r="AM454" s="27" t="s">
        <v>145</v>
      </c>
      <c r="AN454" s="27" t="s">
        <v>1069</v>
      </c>
      <c r="AO454" s="27" t="s">
        <v>164</v>
      </c>
      <c r="AP454" s="136">
        <v>45421</v>
      </c>
      <c r="AQ454" s="27" t="s">
        <v>52</v>
      </c>
      <c r="AT454" s="27" t="str">
        <f t="shared" si="14"/>
        <v>Inactivo</v>
      </c>
      <c r="AU454" s="27" cm="1">
        <f t="array" aca="1" ref="AU454" ca="1">_xlfn.IFS(AT454="","",AT454="Activo",TODAY()-H454,AT454="Inactivo",AP454-H454)</f>
        <v>15</v>
      </c>
      <c r="AV454" s="180">
        <f ca="1">IF(ISBLANK(Tabla1[[#This Row],[Fecha Nacimento (dd/mm/yyyy)]]),"",YEARFRAC(Tabla1[[#This Row],[Fecha Nacimento (dd/mm/yyyy)]],TODAY()))</f>
        <v>46.491666666666667</v>
      </c>
      <c r="AW454" s="141"/>
    </row>
    <row r="455" spans="1:49" s="27" customFormat="1" x14ac:dyDescent="0.25">
      <c r="A455" s="134">
        <v>460</v>
      </c>
      <c r="B455" s="27" t="s">
        <v>2411</v>
      </c>
      <c r="C455" s="27" t="s">
        <v>2412</v>
      </c>
      <c r="D455" s="27" t="s">
        <v>141</v>
      </c>
      <c r="E455" s="400">
        <v>1094963038</v>
      </c>
      <c r="F455" s="27" t="s">
        <v>142</v>
      </c>
      <c r="G455" s="27" t="s">
        <v>143</v>
      </c>
      <c r="H455" s="136">
        <v>45413</v>
      </c>
      <c r="I455" s="136"/>
      <c r="J455" s="27" t="s">
        <v>144</v>
      </c>
      <c r="K455" s="138">
        <v>1300000</v>
      </c>
      <c r="L455" s="27" t="s">
        <v>145</v>
      </c>
      <c r="M455" s="27" t="s">
        <v>262</v>
      </c>
      <c r="N455" s="27" t="s">
        <v>145</v>
      </c>
      <c r="O455" s="213" t="s">
        <v>2413</v>
      </c>
      <c r="Q455" s="27" t="s">
        <v>148</v>
      </c>
      <c r="R455" s="27" t="s">
        <v>168</v>
      </c>
      <c r="S455" s="27" t="s">
        <v>150</v>
      </c>
      <c r="T455" s="180">
        <v>488434914260</v>
      </c>
      <c r="U455" s="197">
        <v>35543</v>
      </c>
      <c r="V455" s="27" t="s">
        <v>2414</v>
      </c>
      <c r="W455" s="27">
        <v>3206679449</v>
      </c>
      <c r="X455" s="27" t="s">
        <v>154</v>
      </c>
      <c r="Y455" s="27" t="s">
        <v>1559</v>
      </c>
      <c r="Z455" s="27" t="s">
        <v>2415</v>
      </c>
      <c r="AA455" s="27" t="s">
        <v>211</v>
      </c>
      <c r="AB455" s="27" t="s">
        <v>259</v>
      </c>
      <c r="AC455" s="27" t="s">
        <v>160</v>
      </c>
      <c r="AD455" s="27" t="s">
        <v>271</v>
      </c>
      <c r="AE455" s="27" t="s">
        <v>616</v>
      </c>
      <c r="AF455" s="27" t="s">
        <v>176</v>
      </c>
      <c r="AG455" s="27" t="s">
        <v>177</v>
      </c>
      <c r="AH455" s="27" t="s">
        <v>164</v>
      </c>
      <c r="AI455" s="179"/>
      <c r="AJ455" s="27" t="s">
        <v>164</v>
      </c>
      <c r="AK455" s="27" t="s">
        <v>214</v>
      </c>
      <c r="AL455" s="27" t="s">
        <v>214</v>
      </c>
      <c r="AM455" s="27" t="s">
        <v>145</v>
      </c>
      <c r="AN455" s="27" t="s">
        <v>2225</v>
      </c>
      <c r="AO455" s="27" t="s">
        <v>145</v>
      </c>
      <c r="AP455" s="136"/>
      <c r="AT455" s="27" t="str">
        <f t="shared" si="14"/>
        <v>Activo</v>
      </c>
      <c r="AU455" s="27" cm="1">
        <f t="array" aca="1" ref="AU455" ca="1">_xlfn.IFS(AT455="","",AT455="Activo",TODAY()-H455,AT455="Inactivo",AP455-H455)</f>
        <v>47</v>
      </c>
      <c r="AV455" s="180">
        <f ca="1">IF(ISBLANK(Tabla1[[#This Row],[Fecha Nacimento (dd/mm/yyyy)]]),"",YEARFRAC(Tabla1[[#This Row],[Fecha Nacimento (dd/mm/yyyy)]],TODAY()))</f>
        <v>27.15</v>
      </c>
      <c r="AW455" s="141"/>
    </row>
    <row r="456" spans="1:49" s="27" customFormat="1" x14ac:dyDescent="0.25">
      <c r="A456" s="134">
        <v>461</v>
      </c>
      <c r="B456" s="27" t="s">
        <v>2903</v>
      </c>
      <c r="C456" s="27" t="s">
        <v>2362</v>
      </c>
      <c r="D456" s="27" t="s">
        <v>141</v>
      </c>
      <c r="E456" s="400">
        <v>10691326</v>
      </c>
      <c r="F456" s="27" t="s">
        <v>142</v>
      </c>
      <c r="G456" s="27" t="s">
        <v>143</v>
      </c>
      <c r="H456" s="136">
        <v>45251</v>
      </c>
      <c r="I456" s="136"/>
      <c r="J456" s="27" t="s">
        <v>144</v>
      </c>
      <c r="K456" s="138">
        <v>1300000</v>
      </c>
      <c r="L456" s="27" t="s">
        <v>164</v>
      </c>
      <c r="M456" s="27" t="s">
        <v>262</v>
      </c>
      <c r="N456" s="27" t="s">
        <v>164</v>
      </c>
      <c r="O456" s="139"/>
      <c r="U456" s="197"/>
      <c r="X456" s="27" t="s">
        <v>2904</v>
      </c>
      <c r="Z456" s="27" t="s">
        <v>1166</v>
      </c>
      <c r="AA456" s="27" t="s">
        <v>211</v>
      </c>
      <c r="AB456" s="27" t="s">
        <v>175</v>
      </c>
      <c r="AC456" s="27" t="s">
        <v>159</v>
      </c>
      <c r="AE456" s="27" t="s">
        <v>2902</v>
      </c>
      <c r="AF456" s="27" t="s">
        <v>176</v>
      </c>
      <c r="AG456" s="27" t="s">
        <v>177</v>
      </c>
      <c r="AI456" s="179"/>
      <c r="AP456" s="136"/>
      <c r="AT456" s="27" t="str">
        <f t="shared" si="14"/>
        <v>Activo</v>
      </c>
      <c r="AU456" s="27" cm="1">
        <f t="array" aca="1" ref="AU456" ca="1">_xlfn.IFS(AT456="","",AT456="Activo",TODAY()-H456,AT456="Inactivo",AP456-H456)</f>
        <v>209</v>
      </c>
      <c r="AV456" s="180" t="str">
        <f ca="1">IF(ISBLANK(Tabla1[[#This Row],[Fecha Nacimento (dd/mm/yyyy)]]),"",YEARFRAC(Tabla1[[#This Row],[Fecha Nacimento (dd/mm/yyyy)]],TODAY()))</f>
        <v/>
      </c>
      <c r="AW456" s="141"/>
    </row>
    <row r="457" spans="1:49" s="27" customFormat="1" x14ac:dyDescent="0.25">
      <c r="A457" s="134">
        <v>462</v>
      </c>
      <c r="B457" s="27" t="s">
        <v>225</v>
      </c>
      <c r="C457" s="27" t="s">
        <v>2905</v>
      </c>
      <c r="D457" s="27" t="s">
        <v>141</v>
      </c>
      <c r="E457" s="400">
        <v>1094890250</v>
      </c>
      <c r="F457" s="27" t="s">
        <v>142</v>
      </c>
      <c r="G457" s="27" t="s">
        <v>143</v>
      </c>
      <c r="H457" s="136">
        <v>45139</v>
      </c>
      <c r="I457" s="136"/>
      <c r="J457" s="27" t="s">
        <v>144</v>
      </c>
      <c r="K457" s="138">
        <v>1300000</v>
      </c>
      <c r="L457" s="27" t="s">
        <v>164</v>
      </c>
      <c r="M457" s="27" t="s">
        <v>262</v>
      </c>
      <c r="N457" s="27" t="s">
        <v>164</v>
      </c>
      <c r="O457" s="139"/>
      <c r="U457" s="197"/>
      <c r="X457" s="27" t="s">
        <v>2904</v>
      </c>
      <c r="Z457" s="27" t="s">
        <v>2906</v>
      </c>
      <c r="AA457" s="27" t="s">
        <v>211</v>
      </c>
      <c r="AB457" s="27" t="s">
        <v>175</v>
      </c>
      <c r="AC457" s="27" t="s">
        <v>160</v>
      </c>
      <c r="AE457" s="27" t="s">
        <v>2902</v>
      </c>
      <c r="AF457" s="27" t="s">
        <v>176</v>
      </c>
      <c r="AG457" s="27" t="s">
        <v>177</v>
      </c>
      <c r="AI457" s="179"/>
      <c r="AP457" s="136"/>
      <c r="AT457" s="27" t="str">
        <f t="shared" si="14"/>
        <v>Activo</v>
      </c>
      <c r="AU457" s="27" cm="1">
        <f t="array" aca="1" ref="AU457" ca="1">_xlfn.IFS(AT457="","",AT457="Activo",TODAY()-H457,AT457="Inactivo",AP457-H457)</f>
        <v>321</v>
      </c>
      <c r="AV457" s="180" t="str">
        <f ca="1">IF(ISBLANK(Tabla1[[#This Row],[Fecha Nacimento (dd/mm/yyyy)]]),"",YEARFRAC(Tabla1[[#This Row],[Fecha Nacimento (dd/mm/yyyy)]],TODAY()))</f>
        <v/>
      </c>
      <c r="AW457" s="141"/>
    </row>
    <row r="458" spans="1:49" s="27" customFormat="1" x14ac:dyDescent="0.25">
      <c r="A458" s="134">
        <v>463</v>
      </c>
      <c r="B458" s="27" t="s">
        <v>2907</v>
      </c>
      <c r="C458" s="27" t="s">
        <v>2908</v>
      </c>
      <c r="D458" s="27" t="s">
        <v>141</v>
      </c>
      <c r="E458" s="400">
        <v>4899442</v>
      </c>
      <c r="F458" s="27" t="s">
        <v>142</v>
      </c>
      <c r="G458" s="27" t="s">
        <v>143</v>
      </c>
      <c r="H458" s="136">
        <v>43586</v>
      </c>
      <c r="I458" s="136"/>
      <c r="J458" s="27" t="s">
        <v>144</v>
      </c>
      <c r="K458" s="138">
        <v>1300000</v>
      </c>
      <c r="L458" s="27" t="s">
        <v>164</v>
      </c>
      <c r="M458" s="27" t="s">
        <v>262</v>
      </c>
      <c r="N458" s="27" t="s">
        <v>164</v>
      </c>
      <c r="O458" s="139"/>
      <c r="U458" s="197"/>
      <c r="X458" s="27" t="s">
        <v>2904</v>
      </c>
      <c r="Z458" s="27" t="s">
        <v>2909</v>
      </c>
      <c r="AA458" s="27" t="s">
        <v>211</v>
      </c>
      <c r="AB458" s="27" t="s">
        <v>158</v>
      </c>
      <c r="AC458" s="27" t="s">
        <v>159</v>
      </c>
      <c r="AE458" s="27" t="s">
        <v>2902</v>
      </c>
      <c r="AF458" s="27" t="s">
        <v>176</v>
      </c>
      <c r="AG458" s="27" t="s">
        <v>177</v>
      </c>
      <c r="AI458" s="179"/>
      <c r="AP458" s="136"/>
      <c r="AT458" s="27" t="str">
        <f t="shared" si="14"/>
        <v>Activo</v>
      </c>
      <c r="AU458" s="27" cm="1">
        <f t="array" aca="1" ref="AU458" ca="1">_xlfn.IFS(AT458="","",AT458="Activo",TODAY()-H458,AT458="Inactivo",AP458-H458)</f>
        <v>1874</v>
      </c>
      <c r="AV458" s="180" t="str">
        <f ca="1">IF(ISBLANK(Tabla1[[#This Row],[Fecha Nacimento (dd/mm/yyyy)]]),"",YEARFRAC(Tabla1[[#This Row],[Fecha Nacimento (dd/mm/yyyy)]],TODAY()))</f>
        <v/>
      </c>
      <c r="AW458" s="141"/>
    </row>
    <row r="459" spans="1:49" s="27" customFormat="1" x14ac:dyDescent="0.25">
      <c r="A459" s="134">
        <v>464</v>
      </c>
      <c r="B459" s="27" t="s">
        <v>2910</v>
      </c>
      <c r="C459" s="27" t="s">
        <v>2911</v>
      </c>
      <c r="D459" s="27" t="s">
        <v>141</v>
      </c>
      <c r="E459" s="400">
        <v>18416994</v>
      </c>
      <c r="F459" s="27" t="s">
        <v>142</v>
      </c>
      <c r="G459" s="27" t="s">
        <v>143</v>
      </c>
      <c r="H459" s="136">
        <v>43586</v>
      </c>
      <c r="I459" s="136"/>
      <c r="J459" s="27" t="s">
        <v>144</v>
      </c>
      <c r="K459" s="138">
        <v>1300000</v>
      </c>
      <c r="L459" s="27" t="s">
        <v>164</v>
      </c>
      <c r="M459" s="27" t="s">
        <v>262</v>
      </c>
      <c r="N459" s="27" t="s">
        <v>164</v>
      </c>
      <c r="O459" s="139"/>
      <c r="U459" s="197"/>
      <c r="X459" s="27" t="s">
        <v>2914</v>
      </c>
      <c r="Z459" s="27" t="s">
        <v>1166</v>
      </c>
      <c r="AA459" s="27" t="s">
        <v>211</v>
      </c>
      <c r="AB459" s="27" t="s">
        <v>158</v>
      </c>
      <c r="AC459" s="27" t="s">
        <v>159</v>
      </c>
      <c r="AE459" s="27" t="s">
        <v>2902</v>
      </c>
      <c r="AF459" s="27" t="s">
        <v>176</v>
      </c>
      <c r="AG459" s="27" t="s">
        <v>177</v>
      </c>
      <c r="AI459" s="179"/>
      <c r="AP459" s="136"/>
      <c r="AT459" s="27" t="str">
        <f t="shared" si="14"/>
        <v>Activo</v>
      </c>
      <c r="AU459" s="27" cm="1">
        <f t="array" aca="1" ref="AU459" ca="1">_xlfn.IFS(AT459="","",AT459="Activo",TODAY()-H459,AT459="Inactivo",AP459-H459)</f>
        <v>1874</v>
      </c>
      <c r="AV459" s="180" t="str">
        <f ca="1">IF(ISBLANK(Tabla1[[#This Row],[Fecha Nacimento (dd/mm/yyyy)]]),"",YEARFRAC(Tabla1[[#This Row],[Fecha Nacimento (dd/mm/yyyy)]],TODAY()))</f>
        <v/>
      </c>
      <c r="AW459" s="141"/>
    </row>
    <row r="460" spans="1:49" s="27" customFormat="1" x14ac:dyDescent="0.25">
      <c r="A460" s="134">
        <v>465</v>
      </c>
      <c r="B460" s="27" t="s">
        <v>2912</v>
      </c>
      <c r="C460" s="27" t="s">
        <v>2913</v>
      </c>
      <c r="D460" s="27" t="s">
        <v>141</v>
      </c>
      <c r="E460" s="400">
        <v>79452221</v>
      </c>
      <c r="F460" s="27" t="s">
        <v>142</v>
      </c>
      <c r="G460" s="27" t="s">
        <v>143</v>
      </c>
      <c r="H460" s="136">
        <v>43586</v>
      </c>
      <c r="I460" s="136"/>
      <c r="J460" s="27" t="s">
        <v>144</v>
      </c>
      <c r="K460" s="138">
        <v>2300000</v>
      </c>
      <c r="L460" s="27" t="s">
        <v>164</v>
      </c>
      <c r="M460" s="27" t="s">
        <v>262</v>
      </c>
      <c r="N460" s="27" t="s">
        <v>164</v>
      </c>
      <c r="O460" s="139"/>
      <c r="U460" s="197"/>
      <c r="X460" s="27" t="s">
        <v>2915</v>
      </c>
      <c r="Z460" s="27" t="s">
        <v>351</v>
      </c>
      <c r="AA460" s="27" t="s">
        <v>211</v>
      </c>
      <c r="AB460" s="27" t="s">
        <v>158</v>
      </c>
      <c r="AC460" s="27" t="s">
        <v>159</v>
      </c>
      <c r="AE460" s="27" t="s">
        <v>2902</v>
      </c>
      <c r="AF460" s="27" t="s">
        <v>176</v>
      </c>
      <c r="AG460" s="27" t="s">
        <v>163</v>
      </c>
      <c r="AI460" s="179"/>
      <c r="AP460" s="136"/>
      <c r="AT460" s="27" t="str">
        <f t="shared" si="14"/>
        <v>Activo</v>
      </c>
      <c r="AU460" s="27" cm="1">
        <f t="array" aca="1" ref="AU460" ca="1">_xlfn.IFS(AT460="","",AT460="Activo",TODAY()-H460,AT460="Inactivo",AP460-H460)</f>
        <v>1874</v>
      </c>
      <c r="AV460" s="180" t="str">
        <f ca="1">IF(ISBLANK(Tabla1[[#This Row],[Fecha Nacimento (dd/mm/yyyy)]]),"",YEARFRAC(Tabla1[[#This Row],[Fecha Nacimento (dd/mm/yyyy)]],TODAY()))</f>
        <v/>
      </c>
      <c r="AW460" s="141"/>
    </row>
    <row r="461" spans="1:49" s="27" customFormat="1" x14ac:dyDescent="0.25">
      <c r="A461" s="134">
        <v>466</v>
      </c>
      <c r="B461" s="27" t="s">
        <v>2931</v>
      </c>
      <c r="C461" s="27" t="s">
        <v>2932</v>
      </c>
      <c r="D461" s="27" t="s">
        <v>141</v>
      </c>
      <c r="E461" s="400">
        <v>1094891894</v>
      </c>
      <c r="F461" s="27" t="s">
        <v>142</v>
      </c>
      <c r="G461" s="27" t="s">
        <v>143</v>
      </c>
      <c r="H461" s="136">
        <v>45413</v>
      </c>
      <c r="I461" s="136"/>
      <c r="J461" s="27" t="s">
        <v>144</v>
      </c>
      <c r="K461" s="138">
        <v>1300000</v>
      </c>
      <c r="L461" s="27" t="s">
        <v>145</v>
      </c>
      <c r="M461" s="27" t="s">
        <v>355</v>
      </c>
      <c r="N461" s="27" t="s">
        <v>145</v>
      </c>
      <c r="O461" s="213" t="s">
        <v>2933</v>
      </c>
      <c r="Q461" s="27" t="s">
        <v>148</v>
      </c>
      <c r="R461" s="27" t="s">
        <v>149</v>
      </c>
      <c r="S461" s="27" t="s">
        <v>150</v>
      </c>
      <c r="T461" s="27">
        <v>86701344237</v>
      </c>
      <c r="U461" s="197">
        <v>31963</v>
      </c>
      <c r="V461" s="27" t="s">
        <v>2934</v>
      </c>
      <c r="W461" s="27">
        <v>3214479925</v>
      </c>
      <c r="X461" s="27" t="s">
        <v>154</v>
      </c>
      <c r="Y461" s="27" t="s">
        <v>172</v>
      </c>
      <c r="Z461" s="27" t="s">
        <v>2935</v>
      </c>
      <c r="AA461" s="27" t="s">
        <v>211</v>
      </c>
      <c r="AB461" s="27" t="s">
        <v>158</v>
      </c>
      <c r="AC461" s="27" t="s">
        <v>160</v>
      </c>
      <c r="AD461" s="27" t="s">
        <v>160</v>
      </c>
      <c r="AE461" s="27" t="s">
        <v>2270</v>
      </c>
      <c r="AF461" s="27" t="s">
        <v>176</v>
      </c>
      <c r="AG461" s="27" t="s">
        <v>177</v>
      </c>
      <c r="AH461" s="27" t="s">
        <v>164</v>
      </c>
      <c r="AI461" s="179"/>
      <c r="AJ461" s="27" t="s">
        <v>164</v>
      </c>
      <c r="AK461" s="27" t="s">
        <v>214</v>
      </c>
      <c r="AL461" s="27" t="s">
        <v>214</v>
      </c>
      <c r="AM461" s="27" t="s">
        <v>164</v>
      </c>
      <c r="AN461" s="27" t="s">
        <v>214</v>
      </c>
      <c r="AO461" s="27" t="s">
        <v>214</v>
      </c>
      <c r="AP461" s="136"/>
      <c r="AT461" s="27" t="str">
        <f t="shared" si="14"/>
        <v>Activo</v>
      </c>
      <c r="AU461" s="27" cm="1">
        <f t="array" aca="1" ref="AU461" ca="1">_xlfn.IFS(AT461="","",AT461="Activo",TODAY()-H461,AT461="Inactivo",AP461-H461)</f>
        <v>47</v>
      </c>
      <c r="AV461" s="180">
        <f ca="1">IF(ISBLANK(Tabla1[[#This Row],[Fecha Nacimento (dd/mm/yyyy)]]),"",YEARFRAC(Tabla1[[#This Row],[Fecha Nacimento (dd/mm/yyyy)]],TODAY()))</f>
        <v>36.950000000000003</v>
      </c>
      <c r="AW461" s="141"/>
    </row>
    <row r="462" spans="1:49" s="27" customFormat="1" x14ac:dyDescent="0.25">
      <c r="A462" s="134">
        <v>467</v>
      </c>
      <c r="B462" s="27" t="s">
        <v>2936</v>
      </c>
      <c r="C462" s="27" t="s">
        <v>2937</v>
      </c>
      <c r="D462" s="27" t="s">
        <v>141</v>
      </c>
      <c r="E462" s="400">
        <v>1098311419</v>
      </c>
      <c r="F462" s="27" t="s">
        <v>142</v>
      </c>
      <c r="G462" s="27" t="s">
        <v>143</v>
      </c>
      <c r="H462" s="136">
        <v>45413</v>
      </c>
      <c r="I462" s="136"/>
      <c r="J462" s="27" t="s">
        <v>144</v>
      </c>
      <c r="K462" s="138">
        <v>1300000</v>
      </c>
      <c r="L462" s="27" t="s">
        <v>145</v>
      </c>
      <c r="M462" s="27" t="s">
        <v>355</v>
      </c>
      <c r="N462" s="27" t="s">
        <v>145</v>
      </c>
      <c r="O462" s="213" t="s">
        <v>2938</v>
      </c>
      <c r="Q462" s="27" t="s">
        <v>148</v>
      </c>
      <c r="R462" s="27" t="s">
        <v>168</v>
      </c>
      <c r="S462" s="27" t="s">
        <v>150</v>
      </c>
      <c r="T462" s="180">
        <v>136200170225</v>
      </c>
      <c r="U462" s="197">
        <v>34964</v>
      </c>
      <c r="V462" s="27" t="s">
        <v>2939</v>
      </c>
      <c r="W462" s="27">
        <v>3106601513</v>
      </c>
      <c r="X462" s="27" t="s">
        <v>154</v>
      </c>
      <c r="Y462" s="27" t="s">
        <v>172</v>
      </c>
      <c r="Z462" s="27" t="s">
        <v>2940</v>
      </c>
      <c r="AA462" s="27" t="s">
        <v>211</v>
      </c>
      <c r="AB462" s="27" t="s">
        <v>158</v>
      </c>
      <c r="AC462" s="27" t="s">
        <v>160</v>
      </c>
      <c r="AD462" s="27" t="s">
        <v>160</v>
      </c>
      <c r="AE462" s="27" t="s">
        <v>2270</v>
      </c>
      <c r="AF462" s="27" t="s">
        <v>176</v>
      </c>
      <c r="AG462" s="27" t="s">
        <v>177</v>
      </c>
      <c r="AH462" s="27" t="s">
        <v>164</v>
      </c>
      <c r="AI462" s="179"/>
      <c r="AJ462" s="27" t="s">
        <v>164</v>
      </c>
      <c r="AK462" s="27" t="s">
        <v>214</v>
      </c>
      <c r="AL462" s="27" t="s">
        <v>214</v>
      </c>
      <c r="AM462" s="27" t="s">
        <v>164</v>
      </c>
      <c r="AN462" s="27" t="s">
        <v>214</v>
      </c>
      <c r="AO462" s="27" t="s">
        <v>214</v>
      </c>
      <c r="AP462" s="136"/>
      <c r="AT462" s="27" t="str">
        <f t="shared" si="14"/>
        <v>Activo</v>
      </c>
      <c r="AU462" s="27" cm="1">
        <f t="array" aca="1" ref="AU462" ca="1">_xlfn.IFS(AT462="","",AT462="Activo",TODAY()-H462,AT462="Inactivo",AP462-H462)</f>
        <v>47</v>
      </c>
      <c r="AV462" s="180">
        <f ca="1">IF(ISBLANK(Tabla1[[#This Row],[Fecha Nacimento (dd/mm/yyyy)]]),"",YEARFRAC(Tabla1[[#This Row],[Fecha Nacimento (dd/mm/yyyy)]],TODAY()))</f>
        <v>28.736111111111111</v>
      </c>
      <c r="AW462" s="141"/>
    </row>
    <row r="463" spans="1:49" s="27" customFormat="1" x14ac:dyDescent="0.25">
      <c r="A463" s="134">
        <v>468</v>
      </c>
      <c r="B463" s="27" t="s">
        <v>2941</v>
      </c>
      <c r="C463" s="27" t="s">
        <v>2942</v>
      </c>
      <c r="D463" s="27" t="s">
        <v>141</v>
      </c>
      <c r="E463" s="400">
        <v>6111804</v>
      </c>
      <c r="F463" s="27" t="s">
        <v>142</v>
      </c>
      <c r="G463" s="27" t="s">
        <v>143</v>
      </c>
      <c r="H463" s="136">
        <v>45410</v>
      </c>
      <c r="I463" s="136"/>
      <c r="J463" s="27" t="s">
        <v>144</v>
      </c>
      <c r="K463" s="138">
        <v>1300000</v>
      </c>
      <c r="L463" s="27" t="s">
        <v>145</v>
      </c>
      <c r="M463" s="27" t="s">
        <v>262</v>
      </c>
      <c r="N463" s="27" t="s">
        <v>145</v>
      </c>
      <c r="O463" s="139"/>
      <c r="Q463" s="27" t="s">
        <v>205</v>
      </c>
      <c r="U463" s="197">
        <v>25439</v>
      </c>
      <c r="V463" s="423" t="s">
        <v>2301</v>
      </c>
      <c r="W463" s="27">
        <v>3123941517</v>
      </c>
      <c r="X463" s="27" t="s">
        <v>2943</v>
      </c>
      <c r="Y463" s="27" t="s">
        <v>172</v>
      </c>
      <c r="Z463" s="27" t="s">
        <v>1840</v>
      </c>
      <c r="AA463" s="27" t="s">
        <v>211</v>
      </c>
      <c r="AB463" s="27" t="s">
        <v>175</v>
      </c>
      <c r="AC463" s="27" t="s">
        <v>159</v>
      </c>
      <c r="AD463" s="27" t="s">
        <v>160</v>
      </c>
      <c r="AE463" s="27" t="s">
        <v>1027</v>
      </c>
      <c r="AF463" s="27" t="s">
        <v>176</v>
      </c>
      <c r="AG463" s="27" t="s">
        <v>177</v>
      </c>
      <c r="AI463" s="179"/>
      <c r="AJ463" s="27" t="s">
        <v>145</v>
      </c>
      <c r="AK463" s="27" t="s">
        <v>2339</v>
      </c>
      <c r="AL463" s="27" t="s">
        <v>145</v>
      </c>
      <c r="AM463" s="27" t="s">
        <v>145</v>
      </c>
      <c r="AN463" s="27" t="s">
        <v>2339</v>
      </c>
      <c r="AO463" s="27" t="s">
        <v>145</v>
      </c>
      <c r="AP463" s="136"/>
      <c r="AT463" s="27" t="str">
        <f t="shared" si="14"/>
        <v>Activo</v>
      </c>
      <c r="AU463" s="27" cm="1">
        <f t="array" aca="1" ref="AU463" ca="1">_xlfn.IFS(AT463="","",AT463="Activo",TODAY()-H463,AT463="Inactivo",AP463-H463)</f>
        <v>50</v>
      </c>
      <c r="AV463" s="180">
        <f ca="1">IF(ISBLANK(Tabla1[[#This Row],[Fecha Nacimento (dd/mm/yyyy)]]),"",YEARFRAC(Tabla1[[#This Row],[Fecha Nacimento (dd/mm/yyyy)]],TODAY()))</f>
        <v>54.81388888888889</v>
      </c>
      <c r="AW463" s="141"/>
    </row>
    <row r="464" spans="1:49" s="27" customFormat="1" x14ac:dyDescent="0.25">
      <c r="A464" s="134">
        <v>469</v>
      </c>
      <c r="B464" s="27" t="s">
        <v>2950</v>
      </c>
      <c r="C464" s="27" t="s">
        <v>2951</v>
      </c>
      <c r="D464" s="27" t="s">
        <v>141</v>
      </c>
      <c r="E464" s="400">
        <v>1006439279</v>
      </c>
      <c r="F464" s="27" t="s">
        <v>142</v>
      </c>
      <c r="G464" s="27" t="s">
        <v>143</v>
      </c>
      <c r="H464" s="136">
        <v>45413</v>
      </c>
      <c r="I464" s="136"/>
      <c r="J464" s="27" t="s">
        <v>144</v>
      </c>
      <c r="K464" s="138">
        <v>1300000</v>
      </c>
      <c r="L464" s="27" t="s">
        <v>145</v>
      </c>
      <c r="M464" s="27" t="s">
        <v>227</v>
      </c>
      <c r="O464" s="213" t="s">
        <v>2997</v>
      </c>
      <c r="Q464" s="27" t="s">
        <v>148</v>
      </c>
      <c r="R464" s="27" t="s">
        <v>168</v>
      </c>
      <c r="S464" s="27" t="s">
        <v>150</v>
      </c>
      <c r="T464" s="28" t="s">
        <v>3012</v>
      </c>
      <c r="U464" s="197">
        <v>32977</v>
      </c>
      <c r="V464" s="27" t="s">
        <v>2961</v>
      </c>
      <c r="W464" s="27">
        <v>3136820949</v>
      </c>
      <c r="X464" s="27" t="s">
        <v>231</v>
      </c>
      <c r="Y464" s="27" t="s">
        <v>222</v>
      </c>
      <c r="Z464" s="27" t="s">
        <v>223</v>
      </c>
      <c r="AA464" s="27" t="s">
        <v>211</v>
      </c>
      <c r="AB464" s="27" t="s">
        <v>416</v>
      </c>
      <c r="AC464" s="27" t="s">
        <v>160</v>
      </c>
      <c r="AD464" s="27" t="s">
        <v>160</v>
      </c>
      <c r="AE464" s="27" t="s">
        <v>1369</v>
      </c>
      <c r="AF464" s="27" t="s">
        <v>176</v>
      </c>
      <c r="AG464" s="27" t="s">
        <v>177</v>
      </c>
      <c r="AI464" s="179"/>
      <c r="AJ464" s="27" t="s">
        <v>164</v>
      </c>
      <c r="AP464" s="136"/>
      <c r="AT464" s="27" t="str">
        <f t="shared" si="14"/>
        <v>Activo</v>
      </c>
      <c r="AU464" s="27" t="e" cm="1">
        <f t="array" aca="1" ref="AU464" ca="1">_xlfn.IFS(AT464="","",AT464="Activo",TODAY()-#REF!,AT464="Inactivo",AP464-#REF!)</f>
        <v>#REF!</v>
      </c>
      <c r="AV464" s="180">
        <f ca="1">IF(ISBLANK(Tabla1[[#This Row],[Fecha Nacimento (dd/mm/yyyy)]]),"",YEARFRAC(Tabla1[[#This Row],[Fecha Nacimento (dd/mm/yyyy)]],TODAY()))</f>
        <v>34.174999999999997</v>
      </c>
      <c r="AW464" s="141"/>
    </row>
    <row r="465" spans="1:49" s="27" customFormat="1" x14ac:dyDescent="0.25">
      <c r="A465" s="134">
        <v>470</v>
      </c>
      <c r="B465" s="27" t="s">
        <v>2952</v>
      </c>
      <c r="C465" s="27" t="s">
        <v>2964</v>
      </c>
      <c r="D465" s="27" t="s">
        <v>141</v>
      </c>
      <c r="E465" s="400">
        <v>1114208377</v>
      </c>
      <c r="F465" s="27" t="s">
        <v>142</v>
      </c>
      <c r="G465" s="27" t="s">
        <v>143</v>
      </c>
      <c r="H465" s="136">
        <v>45413</v>
      </c>
      <c r="I465" s="136"/>
      <c r="J465" s="27" t="s">
        <v>144</v>
      </c>
      <c r="K465" s="138">
        <v>1300000</v>
      </c>
      <c r="L465" s="27" t="s">
        <v>145</v>
      </c>
      <c r="M465" s="27" t="s">
        <v>203</v>
      </c>
      <c r="O465" s="213" t="s">
        <v>2965</v>
      </c>
      <c r="Q465" s="27" t="s">
        <v>148</v>
      </c>
      <c r="R465" s="27" t="s">
        <v>168</v>
      </c>
      <c r="S465" s="27" t="s">
        <v>150</v>
      </c>
      <c r="T465" s="28" t="s">
        <v>3015</v>
      </c>
      <c r="U465" s="197">
        <v>31102</v>
      </c>
      <c r="V465" s="27" t="s">
        <v>2959</v>
      </c>
      <c r="W465" s="27">
        <v>3217477604</v>
      </c>
      <c r="X465" s="27" t="s">
        <v>231</v>
      </c>
      <c r="Y465" s="27" t="s">
        <v>222</v>
      </c>
      <c r="Z465" s="27" t="s">
        <v>223</v>
      </c>
      <c r="AA465" s="27" t="s">
        <v>211</v>
      </c>
      <c r="AB465" s="27" t="s">
        <v>186</v>
      </c>
      <c r="AC465" s="27" t="s">
        <v>271</v>
      </c>
      <c r="AD465" s="27" t="s">
        <v>271</v>
      </c>
      <c r="AE465" s="27" t="s">
        <v>1369</v>
      </c>
      <c r="AF465" s="27" t="s">
        <v>176</v>
      </c>
      <c r="AG465" s="27" t="s">
        <v>177</v>
      </c>
      <c r="AI465" s="179"/>
      <c r="AP465" s="136"/>
      <c r="AT465" s="27" t="str">
        <f t="shared" si="14"/>
        <v>Activo</v>
      </c>
      <c r="AU465" s="27" cm="1">
        <f t="array" aca="1" ref="AU465" ca="1">_xlfn.IFS(AT465="","",AT465="Activo",TODAY()-H465,AT465="Inactivo",AP465-H465)</f>
        <v>47</v>
      </c>
      <c r="AV465" s="180">
        <f ca="1">IF(ISBLANK(Tabla1[[#This Row],[Fecha Nacimento (dd/mm/yyyy)]]),"",YEARFRAC(Tabla1[[#This Row],[Fecha Nacimento (dd/mm/yyyy)]],TODAY()))</f>
        <v>39.31388888888889</v>
      </c>
      <c r="AW465" s="141"/>
    </row>
    <row r="466" spans="1:49" s="27" customFormat="1" x14ac:dyDescent="0.25">
      <c r="A466" s="134">
        <v>471</v>
      </c>
      <c r="B466" s="27" t="s">
        <v>2953</v>
      </c>
      <c r="C466" s="27" t="s">
        <v>2954</v>
      </c>
      <c r="D466" s="27" t="s">
        <v>141</v>
      </c>
      <c r="E466" s="400">
        <v>1005958648</v>
      </c>
      <c r="F466" s="27" t="s">
        <v>142</v>
      </c>
      <c r="G466" s="27" t="s">
        <v>143</v>
      </c>
      <c r="H466" s="136">
        <v>45413</v>
      </c>
      <c r="I466" s="136"/>
      <c r="J466" s="27" t="s">
        <v>144</v>
      </c>
      <c r="K466" s="138">
        <v>1300000</v>
      </c>
      <c r="L466" s="27" t="s">
        <v>145</v>
      </c>
      <c r="M466" s="27" t="s">
        <v>203</v>
      </c>
      <c r="O466" s="139"/>
      <c r="Q466" s="27" t="s">
        <v>148</v>
      </c>
      <c r="R466" s="27" t="s">
        <v>168</v>
      </c>
      <c r="S466" s="27" t="s">
        <v>150</v>
      </c>
      <c r="T466" s="28" t="s">
        <v>3014</v>
      </c>
      <c r="U466" s="197">
        <v>35141</v>
      </c>
      <c r="V466" s="27" t="s">
        <v>2960</v>
      </c>
      <c r="W466" s="27">
        <v>3233969965</v>
      </c>
      <c r="X466" s="27" t="s">
        <v>231</v>
      </c>
      <c r="Y466" s="27" t="s">
        <v>222</v>
      </c>
      <c r="Z466" s="27" t="s">
        <v>223</v>
      </c>
      <c r="AA466" s="27" t="s">
        <v>211</v>
      </c>
      <c r="AB466" s="27" t="s">
        <v>233</v>
      </c>
      <c r="AC466" s="27" t="s">
        <v>271</v>
      </c>
      <c r="AD466" s="27" t="s">
        <v>271</v>
      </c>
      <c r="AE466" s="27" t="s">
        <v>1369</v>
      </c>
      <c r="AF466" s="27" t="s">
        <v>176</v>
      </c>
      <c r="AG466" s="27" t="s">
        <v>177</v>
      </c>
      <c r="AI466" s="179"/>
      <c r="AP466" s="136"/>
      <c r="AT466" s="27" t="str">
        <f t="shared" si="14"/>
        <v>Activo</v>
      </c>
      <c r="AU466" s="27" cm="1">
        <f t="array" aca="1" ref="AU466" ca="1">_xlfn.IFS(AT466="","",AT466="Activo",TODAY()-H467,AT466="Inactivo",AP466-H467)</f>
        <v>47</v>
      </c>
      <c r="AV466" s="180">
        <f ca="1">IF(ISBLANK(Tabla1[[#This Row],[Fecha Nacimento (dd/mm/yyyy)]]),"",YEARFRAC(Tabla1[[#This Row],[Fecha Nacimento (dd/mm/yyyy)]],TODAY()))</f>
        <v>28.25</v>
      </c>
      <c r="AW466" s="141"/>
    </row>
    <row r="467" spans="1:49" s="27" customFormat="1" x14ac:dyDescent="0.25">
      <c r="A467" s="134">
        <v>472</v>
      </c>
      <c r="B467" s="27" t="s">
        <v>2955</v>
      </c>
      <c r="C467" s="27" t="s">
        <v>2956</v>
      </c>
      <c r="D467" s="27" t="s">
        <v>141</v>
      </c>
      <c r="E467" s="400">
        <v>1144075404</v>
      </c>
      <c r="F467" s="27" t="s">
        <v>142</v>
      </c>
      <c r="G467" s="27" t="s">
        <v>143</v>
      </c>
      <c r="H467" s="136">
        <v>45413</v>
      </c>
      <c r="I467" s="136"/>
      <c r="J467" s="27" t="s">
        <v>144</v>
      </c>
      <c r="K467" s="138">
        <v>1300000</v>
      </c>
      <c r="L467" s="27" t="s">
        <v>145</v>
      </c>
      <c r="M467" s="27" t="s">
        <v>203</v>
      </c>
      <c r="O467" s="213" t="s">
        <v>2966</v>
      </c>
      <c r="Q467" s="27" t="s">
        <v>148</v>
      </c>
      <c r="R467" s="27" t="s">
        <v>426</v>
      </c>
      <c r="S467" s="27" t="s">
        <v>150</v>
      </c>
      <c r="T467" s="27">
        <v>3234189943</v>
      </c>
      <c r="U467" s="197">
        <v>34657</v>
      </c>
      <c r="V467" s="27" t="s">
        <v>2962</v>
      </c>
      <c r="W467" s="27">
        <v>3123927881</v>
      </c>
      <c r="X467" s="27" t="s">
        <v>231</v>
      </c>
      <c r="Y467" s="27" t="s">
        <v>222</v>
      </c>
      <c r="Z467" s="27" t="s">
        <v>223</v>
      </c>
      <c r="AA467" s="27" t="s">
        <v>211</v>
      </c>
      <c r="AB467" s="27" t="s">
        <v>233</v>
      </c>
      <c r="AC467" s="27" t="s">
        <v>160</v>
      </c>
      <c r="AD467" s="27" t="s">
        <v>160</v>
      </c>
      <c r="AE467" s="27" t="s">
        <v>1369</v>
      </c>
      <c r="AF467" s="27" t="s">
        <v>176</v>
      </c>
      <c r="AG467" s="27" t="s">
        <v>177</v>
      </c>
      <c r="AI467" s="179"/>
      <c r="AJ467" s="27" t="s">
        <v>1609</v>
      </c>
      <c r="AK467" s="27" t="s">
        <v>2339</v>
      </c>
      <c r="AP467" s="136">
        <v>45423</v>
      </c>
      <c r="AQ467" s="27" t="s">
        <v>1190</v>
      </c>
      <c r="AT467" s="27" t="str">
        <f t="shared" si="14"/>
        <v>Inactivo</v>
      </c>
      <c r="AU467" s="27" cm="1">
        <f t="array" aca="1" ref="AU467" ca="1">_xlfn.IFS(AT467="","",AT467="Activo",TODAY()-H467,AT467="Inactivo",AP467-H467)</f>
        <v>10</v>
      </c>
      <c r="AV467" s="180">
        <f ca="1">IF(ISBLANK(Tabla1[[#This Row],[Fecha Nacimento (dd/mm/yyyy)]]),"",YEARFRAC(Tabla1[[#This Row],[Fecha Nacimento (dd/mm/yyyy)]],TODAY()))</f>
        <v>29.577777777777779</v>
      </c>
      <c r="AW467" s="141"/>
    </row>
    <row r="468" spans="1:49" s="27" customFormat="1" x14ac:dyDescent="0.25">
      <c r="A468" s="134">
        <v>473</v>
      </c>
      <c r="B468" s="27" t="s">
        <v>2957</v>
      </c>
      <c r="C468" s="27" t="s">
        <v>2958</v>
      </c>
      <c r="D468" s="27" t="s">
        <v>141</v>
      </c>
      <c r="E468" s="400">
        <v>94232889</v>
      </c>
      <c r="F468" s="27" t="s">
        <v>142</v>
      </c>
      <c r="G468" s="27" t="s">
        <v>143</v>
      </c>
      <c r="H468" s="136">
        <v>45413</v>
      </c>
      <c r="I468" s="136"/>
      <c r="J468" s="27" t="s">
        <v>144</v>
      </c>
      <c r="K468" s="138">
        <v>1300000</v>
      </c>
      <c r="L468" s="27" t="s">
        <v>145</v>
      </c>
      <c r="M468" s="27" t="s">
        <v>203</v>
      </c>
      <c r="O468" s="213" t="s">
        <v>2963</v>
      </c>
      <c r="Q468" s="27" t="s">
        <v>148</v>
      </c>
      <c r="R468" s="27" t="s">
        <v>168</v>
      </c>
      <c r="S468" s="27" t="s">
        <v>150</v>
      </c>
      <c r="T468" s="28" t="s">
        <v>3013</v>
      </c>
      <c r="U468" s="197">
        <v>30299</v>
      </c>
      <c r="V468" s="27" t="s">
        <v>2961</v>
      </c>
      <c r="W468" s="27">
        <v>3148073485</v>
      </c>
      <c r="X468" s="27" t="s">
        <v>231</v>
      </c>
      <c r="Y468" s="27" t="s">
        <v>222</v>
      </c>
      <c r="Z468" s="27" t="s">
        <v>223</v>
      </c>
      <c r="AA468" s="27" t="s">
        <v>211</v>
      </c>
      <c r="AB468" s="27" t="s">
        <v>416</v>
      </c>
      <c r="AC468" s="27" t="s">
        <v>160</v>
      </c>
      <c r="AD468" s="27" t="s">
        <v>160</v>
      </c>
      <c r="AE468" s="27" t="s">
        <v>1369</v>
      </c>
      <c r="AF468" s="27" t="s">
        <v>176</v>
      </c>
      <c r="AG468" s="27" t="s">
        <v>177</v>
      </c>
      <c r="AI468" s="179"/>
      <c r="AJ468" s="27" t="s">
        <v>164</v>
      </c>
      <c r="AP468" s="136"/>
      <c r="AT468" s="27" t="str">
        <f t="shared" si="14"/>
        <v>Activo</v>
      </c>
      <c r="AU468" s="27" cm="1">
        <f t="array" aca="1" ref="AU468" ca="1">_xlfn.IFS(AT468="","",AT468="Activo",TODAY()-H468,AT468="Inactivo",AP468-H468)</f>
        <v>47</v>
      </c>
      <c r="AV468" s="180">
        <f ca="1">IF(ISBLANK(Tabla1[[#This Row],[Fecha Nacimento (dd/mm/yyyy)]]),"",YEARFRAC(Tabla1[[#This Row],[Fecha Nacimento (dd/mm/yyyy)]],TODAY()))</f>
        <v>41.508333333333333</v>
      </c>
      <c r="AW468" s="141"/>
    </row>
    <row r="469" spans="1:49" s="27" customFormat="1" x14ac:dyDescent="0.25">
      <c r="A469" s="134">
        <v>474</v>
      </c>
      <c r="B469" s="27" t="s">
        <v>2970</v>
      </c>
      <c r="C469" s="27" t="s">
        <v>2973</v>
      </c>
      <c r="D469" s="27" t="s">
        <v>141</v>
      </c>
      <c r="E469" s="400">
        <v>7560463</v>
      </c>
      <c r="F469" s="27" t="s">
        <v>142</v>
      </c>
      <c r="G469" s="27" t="s">
        <v>143</v>
      </c>
      <c r="H469" s="136">
        <v>45419</v>
      </c>
      <c r="I469" s="136"/>
      <c r="J469" s="27" t="s">
        <v>144</v>
      </c>
      <c r="K469" s="138">
        <v>1300000</v>
      </c>
      <c r="L469" s="27" t="s">
        <v>145</v>
      </c>
      <c r="M469" s="27" t="s">
        <v>203</v>
      </c>
      <c r="N469" s="27" t="s">
        <v>145</v>
      </c>
      <c r="O469" s="213" t="s">
        <v>2972</v>
      </c>
      <c r="Q469" s="27" t="s">
        <v>148</v>
      </c>
      <c r="R469" s="27" t="s">
        <v>168</v>
      </c>
      <c r="S469" s="27" t="s">
        <v>150</v>
      </c>
      <c r="T469" s="28" t="s">
        <v>2995</v>
      </c>
      <c r="U469" s="197">
        <v>25707</v>
      </c>
      <c r="V469" s="27" t="s">
        <v>2971</v>
      </c>
      <c r="W469" s="27">
        <v>3178521143</v>
      </c>
      <c r="X469" s="27" t="s">
        <v>154</v>
      </c>
      <c r="Y469" s="27" t="s">
        <v>222</v>
      </c>
      <c r="Z469" s="27" t="s">
        <v>552</v>
      </c>
      <c r="AA469" s="27" t="s">
        <v>211</v>
      </c>
      <c r="AB469" s="27" t="s">
        <v>2330</v>
      </c>
      <c r="AC469" s="27" t="s">
        <v>159</v>
      </c>
      <c r="AD469" s="27" t="s">
        <v>160</v>
      </c>
      <c r="AE469" s="27" t="s">
        <v>161</v>
      </c>
      <c r="AF469" s="27" t="s">
        <v>176</v>
      </c>
      <c r="AG469" s="27" t="s">
        <v>177</v>
      </c>
      <c r="AI469" s="179"/>
      <c r="AJ469" s="27" t="s">
        <v>164</v>
      </c>
      <c r="AK469" s="27" t="s">
        <v>214</v>
      </c>
      <c r="AL469" s="27" t="s">
        <v>214</v>
      </c>
      <c r="AM469" s="27" t="s">
        <v>164</v>
      </c>
      <c r="AN469" s="27" t="s">
        <v>214</v>
      </c>
      <c r="AO469" s="27" t="s">
        <v>214</v>
      </c>
      <c r="AP469" s="136"/>
      <c r="AT469" s="27" t="str">
        <f t="shared" si="14"/>
        <v>Activo</v>
      </c>
      <c r="AU469" s="27" cm="1">
        <f t="array" aca="1" ref="AU469" ca="1">_xlfn.IFS(AT469="","",AT469="Activo",TODAY()-H469,AT469="Inactivo",AP469-H469)</f>
        <v>41</v>
      </c>
      <c r="AV469" s="180">
        <f ca="1">IF(ISBLANK(Tabla1[[#This Row],[Fecha Nacimento (dd/mm/yyyy)]]),"",YEARFRAC(Tabla1[[#This Row],[Fecha Nacimento (dd/mm/yyyy)]],TODAY()))</f>
        <v>54.077777777777776</v>
      </c>
      <c r="AW469" s="141"/>
    </row>
    <row r="470" spans="1:49" s="27" customFormat="1" x14ac:dyDescent="0.25">
      <c r="A470" s="134">
        <v>475</v>
      </c>
      <c r="B470" s="27" t="s">
        <v>2974</v>
      </c>
      <c r="C470" s="27" t="s">
        <v>2975</v>
      </c>
      <c r="D470" s="27" t="s">
        <v>141</v>
      </c>
      <c r="E470" s="400">
        <v>1094955282</v>
      </c>
      <c r="F470" s="27" t="s">
        <v>142</v>
      </c>
      <c r="G470" s="27" t="s">
        <v>959</v>
      </c>
      <c r="H470" s="136">
        <v>45420</v>
      </c>
      <c r="I470" s="136">
        <v>45542</v>
      </c>
      <c r="J470" s="27" t="s">
        <v>144</v>
      </c>
      <c r="K470" s="138">
        <v>1300000</v>
      </c>
      <c r="L470" s="27" t="s">
        <v>145</v>
      </c>
      <c r="M470" s="27" t="s">
        <v>262</v>
      </c>
      <c r="N470" s="27" t="s">
        <v>145</v>
      </c>
      <c r="O470" s="213" t="s">
        <v>2976</v>
      </c>
      <c r="Q470" s="27" t="s">
        <v>148</v>
      </c>
      <c r="R470" s="27" t="s">
        <v>168</v>
      </c>
      <c r="S470" s="27" t="s">
        <v>150</v>
      </c>
      <c r="T470" s="28" t="s">
        <v>2994</v>
      </c>
      <c r="U470" s="197">
        <v>35161</v>
      </c>
      <c r="V470" s="27" t="s">
        <v>2977</v>
      </c>
      <c r="W470" s="27">
        <v>3188822183</v>
      </c>
      <c r="X470" s="27" t="s">
        <v>154</v>
      </c>
      <c r="Y470" s="27" t="s">
        <v>1075</v>
      </c>
      <c r="Z470" s="27" t="s">
        <v>2978</v>
      </c>
      <c r="AA470" s="27" t="s">
        <v>211</v>
      </c>
      <c r="AB470" s="27" t="s">
        <v>158</v>
      </c>
      <c r="AC470" s="27" t="s">
        <v>2157</v>
      </c>
      <c r="AD470" s="27" t="s">
        <v>2157</v>
      </c>
      <c r="AE470" s="27" t="s">
        <v>494</v>
      </c>
      <c r="AF470" s="27" t="s">
        <v>162</v>
      </c>
      <c r="AG470" s="27" t="s">
        <v>177</v>
      </c>
      <c r="AH470" s="27" t="s">
        <v>145</v>
      </c>
      <c r="AI470" s="179">
        <v>200000</v>
      </c>
      <c r="AJ470" s="27" t="s">
        <v>164</v>
      </c>
      <c r="AK470" s="27" t="s">
        <v>214</v>
      </c>
      <c r="AL470" s="27" t="s">
        <v>214</v>
      </c>
      <c r="AM470" s="27" t="s">
        <v>164</v>
      </c>
      <c r="AN470" s="27" t="s">
        <v>214</v>
      </c>
      <c r="AO470" s="27" t="s">
        <v>214</v>
      </c>
      <c r="AP470" s="136"/>
      <c r="AT470" s="27" t="str">
        <f t="shared" si="14"/>
        <v>Activo</v>
      </c>
      <c r="AU470" s="27" cm="1">
        <f t="array" aca="1" ref="AU470" ca="1">_xlfn.IFS(AT470="","",AT470="Activo",TODAY()-H470,AT470="Inactivo",AP470-H470)</f>
        <v>40</v>
      </c>
      <c r="AV470" s="180">
        <f ca="1">IF(ISBLANK(Tabla1[[#This Row],[Fecha Nacimento (dd/mm/yyyy)]]),"",YEARFRAC(Tabla1[[#This Row],[Fecha Nacimento (dd/mm/yyyy)]],TODAY()))</f>
        <v>28.197222222222223</v>
      </c>
      <c r="AW470" s="141"/>
    </row>
    <row r="471" spans="1:49" s="27" customFormat="1" x14ac:dyDescent="0.25">
      <c r="A471" s="134">
        <v>476</v>
      </c>
      <c r="B471" s="27" t="s">
        <v>2979</v>
      </c>
      <c r="C471" s="27" t="s">
        <v>2980</v>
      </c>
      <c r="D471" s="27" t="s">
        <v>141</v>
      </c>
      <c r="E471" s="400">
        <v>79277819</v>
      </c>
      <c r="F471" s="27" t="s">
        <v>142</v>
      </c>
      <c r="G471" s="27" t="s">
        <v>143</v>
      </c>
      <c r="H471" s="136">
        <v>45413</v>
      </c>
      <c r="I471" s="136"/>
      <c r="J471" s="27" t="s">
        <v>144</v>
      </c>
      <c r="K471" s="138">
        <v>1300000</v>
      </c>
      <c r="L471" s="27" t="s">
        <v>145</v>
      </c>
      <c r="M471" s="27" t="s">
        <v>262</v>
      </c>
      <c r="N471" s="27" t="s">
        <v>145</v>
      </c>
      <c r="O471" s="428" t="s">
        <v>2984</v>
      </c>
      <c r="Q471" s="27" t="s">
        <v>148</v>
      </c>
      <c r="R471" s="27" t="s">
        <v>168</v>
      </c>
      <c r="S471" s="27" t="s">
        <v>150</v>
      </c>
      <c r="T471" s="28" t="s">
        <v>2985</v>
      </c>
      <c r="U471" s="197">
        <v>23193</v>
      </c>
      <c r="V471" s="27" t="s">
        <v>2981</v>
      </c>
      <c r="W471" s="27">
        <v>3133502844</v>
      </c>
      <c r="X471" s="27" t="s">
        <v>154</v>
      </c>
      <c r="Y471" s="27" t="s">
        <v>1075</v>
      </c>
      <c r="Z471" s="27" t="s">
        <v>2983</v>
      </c>
      <c r="AA471" s="27" t="s">
        <v>211</v>
      </c>
      <c r="AB471" s="27" t="s">
        <v>259</v>
      </c>
      <c r="AC471" s="27" t="s">
        <v>160</v>
      </c>
      <c r="AD471" s="27" t="s">
        <v>160</v>
      </c>
      <c r="AE471" s="27" t="s">
        <v>161</v>
      </c>
      <c r="AF471" s="27" t="s">
        <v>176</v>
      </c>
      <c r="AG471" s="27" t="s">
        <v>177</v>
      </c>
      <c r="AI471" s="179"/>
      <c r="AJ471" s="27" t="s">
        <v>1537</v>
      </c>
      <c r="AK471" s="27" t="s">
        <v>214</v>
      </c>
      <c r="AL471" s="27" t="s">
        <v>214</v>
      </c>
      <c r="AM471" s="27" t="s">
        <v>164</v>
      </c>
      <c r="AN471" s="27" t="s">
        <v>214</v>
      </c>
      <c r="AO471" s="27" t="s">
        <v>214</v>
      </c>
      <c r="AP471" s="136"/>
      <c r="AT471" s="27" t="str">
        <f t="shared" si="14"/>
        <v>Activo</v>
      </c>
      <c r="AU471" s="27" cm="1">
        <f t="array" aca="1" ref="AU471" ca="1">_xlfn.IFS(AT471="","",AT471="Activo",TODAY()-H471,AT471="Inactivo",AP471-H471)</f>
        <v>47</v>
      </c>
      <c r="AV471" s="180">
        <f ca="1">IF(ISBLANK(Tabla1[[#This Row],[Fecha Nacimento (dd/mm/yyyy)]]),"",YEARFRAC(Tabla1[[#This Row],[Fecha Nacimento (dd/mm/yyyy)]],TODAY()))</f>
        <v>60.961111111111109</v>
      </c>
      <c r="AW471" s="141"/>
    </row>
    <row r="472" spans="1:49" s="27" customFormat="1" x14ac:dyDescent="0.25">
      <c r="A472" s="134">
        <v>477</v>
      </c>
      <c r="B472" s="400" t="s">
        <v>3001</v>
      </c>
      <c r="C472" s="400" t="s">
        <v>3002</v>
      </c>
      <c r="D472" s="400" t="s">
        <v>141</v>
      </c>
      <c r="E472" s="400">
        <v>6801996</v>
      </c>
      <c r="F472" s="27" t="s">
        <v>142</v>
      </c>
      <c r="G472" s="27" t="s">
        <v>143</v>
      </c>
      <c r="H472" s="136">
        <v>45423</v>
      </c>
      <c r="I472" s="136"/>
      <c r="J472" s="27" t="s">
        <v>144</v>
      </c>
      <c r="K472" s="138">
        <v>1300000</v>
      </c>
      <c r="L472" s="27" t="s">
        <v>164</v>
      </c>
      <c r="M472" s="27" t="s">
        <v>262</v>
      </c>
      <c r="N472" s="27" t="s">
        <v>145</v>
      </c>
      <c r="O472" s="23" t="s">
        <v>3003</v>
      </c>
      <c r="Q472" s="27" t="s">
        <v>205</v>
      </c>
      <c r="T472" s="28"/>
      <c r="U472" s="435">
        <v>29783</v>
      </c>
      <c r="V472" s="23" t="s">
        <v>3004</v>
      </c>
      <c r="W472" s="23" t="s">
        <v>3005</v>
      </c>
      <c r="X472" s="27" t="s">
        <v>3023</v>
      </c>
      <c r="Y472" s="27" t="s">
        <v>172</v>
      </c>
      <c r="Z472" s="27" t="s">
        <v>430</v>
      </c>
      <c r="AA472" s="27" t="s">
        <v>211</v>
      </c>
      <c r="AB472" s="27" t="s">
        <v>175</v>
      </c>
      <c r="AC472" s="27" t="s">
        <v>160</v>
      </c>
      <c r="AD472" s="27" t="s">
        <v>160</v>
      </c>
      <c r="AE472" s="27" t="s">
        <v>213</v>
      </c>
      <c r="AF472" s="27" t="s">
        <v>176</v>
      </c>
      <c r="AG472" s="27" t="s">
        <v>177</v>
      </c>
      <c r="AH472" s="27" t="s">
        <v>164</v>
      </c>
      <c r="AI472" s="179">
        <v>204000</v>
      </c>
      <c r="AP472" s="136"/>
      <c r="AT472" s="27" t="str">
        <f t="shared" si="14"/>
        <v>Activo</v>
      </c>
      <c r="AU472" s="27" cm="1">
        <f t="array" aca="1" ref="AU472" ca="1">_xlfn.IFS(AT472="","",AT472="Activo",TODAY()-H472,AT472="Inactivo",AP472-H472)</f>
        <v>37</v>
      </c>
      <c r="AV472" s="180">
        <f ca="1">IF(ISBLANK(Tabla1[[#This Row],[Fecha Nacimento (dd/mm/yyyy)]]),"",YEARFRAC(Tabla1[[#This Row],[Fecha Nacimento (dd/mm/yyyy)]],TODAY()))</f>
        <v>42.919444444444444</v>
      </c>
      <c r="AW472" s="141"/>
    </row>
    <row r="473" spans="1:49" s="27" customFormat="1" x14ac:dyDescent="0.25">
      <c r="A473" s="134">
        <v>478</v>
      </c>
      <c r="B473" s="27" t="s">
        <v>3006</v>
      </c>
      <c r="C473" s="27" t="s">
        <v>3007</v>
      </c>
      <c r="D473" s="27" t="s">
        <v>141</v>
      </c>
      <c r="E473" s="400">
        <v>80097057</v>
      </c>
      <c r="F473" s="27" t="s">
        <v>142</v>
      </c>
      <c r="G473" s="27" t="s">
        <v>143</v>
      </c>
      <c r="H473" s="136">
        <v>45427</v>
      </c>
      <c r="I473" s="136"/>
      <c r="J473" s="27" t="s">
        <v>144</v>
      </c>
      <c r="K473" s="138">
        <v>2200000</v>
      </c>
      <c r="L473" s="27" t="s">
        <v>145</v>
      </c>
      <c r="M473" s="27" t="s">
        <v>262</v>
      </c>
      <c r="N473" s="27" t="s">
        <v>145</v>
      </c>
      <c r="O473" s="213" t="s">
        <v>3008</v>
      </c>
      <c r="Q473" s="27" t="s">
        <v>148</v>
      </c>
      <c r="R473" s="27" t="s">
        <v>149</v>
      </c>
      <c r="S473" s="27" t="s">
        <v>150</v>
      </c>
      <c r="T473" s="27">
        <v>27019778105</v>
      </c>
      <c r="U473" s="197">
        <v>30275</v>
      </c>
      <c r="V473" s="27" t="s">
        <v>3009</v>
      </c>
      <c r="W473" s="27">
        <v>3115776032</v>
      </c>
      <c r="X473" s="27" t="s">
        <v>3010</v>
      </c>
      <c r="Y473" s="27" t="s">
        <v>172</v>
      </c>
      <c r="Z473" s="27" t="s">
        <v>3011</v>
      </c>
      <c r="AA473" s="27" t="s">
        <v>211</v>
      </c>
      <c r="AB473" s="27" t="s">
        <v>1996</v>
      </c>
      <c r="AC473" s="27" t="s">
        <v>159</v>
      </c>
      <c r="AD473" s="27" t="s">
        <v>160</v>
      </c>
      <c r="AE473" s="27" t="s">
        <v>1985</v>
      </c>
      <c r="AF473" s="27" t="s">
        <v>176</v>
      </c>
      <c r="AG473" s="27" t="s">
        <v>177</v>
      </c>
      <c r="AH473" s="27" t="s">
        <v>164</v>
      </c>
      <c r="AI473" s="179"/>
      <c r="AJ473" s="27" t="s">
        <v>164</v>
      </c>
      <c r="AK473" s="27" t="s">
        <v>214</v>
      </c>
      <c r="AL473" s="27" t="s">
        <v>214</v>
      </c>
      <c r="AM473" s="27" t="s">
        <v>164</v>
      </c>
      <c r="AN473" s="27" t="s">
        <v>214</v>
      </c>
      <c r="AO473" s="27" t="s">
        <v>214</v>
      </c>
      <c r="AP473" s="136"/>
      <c r="AT473" s="27" t="str">
        <f t="shared" si="14"/>
        <v>Activo</v>
      </c>
      <c r="AU473" s="27" cm="1">
        <f t="array" aca="1" ref="AU473" ca="1">_xlfn.IFS(AT473="","",AT473="Activo",TODAY()-H473,AT473="Inactivo",AP473-H473)</f>
        <v>33</v>
      </c>
      <c r="AV473" s="180">
        <f ca="1">IF(ISBLANK(Tabla1[[#This Row],[Fecha Nacimento (dd/mm/yyyy)]]),"",YEARFRAC(Tabla1[[#This Row],[Fecha Nacimento (dd/mm/yyyy)]],TODAY()))</f>
        <v>41.575000000000003</v>
      </c>
      <c r="AW473" s="141"/>
    </row>
    <row r="474" spans="1:49" s="27" customFormat="1" x14ac:dyDescent="0.25">
      <c r="A474" s="134">
        <v>479</v>
      </c>
      <c r="B474" s="27" t="s">
        <v>395</v>
      </c>
      <c r="C474" s="27" t="s">
        <v>3017</v>
      </c>
      <c r="D474" s="27" t="s">
        <v>141</v>
      </c>
      <c r="E474" s="400">
        <v>18419019</v>
      </c>
      <c r="F474" s="27" t="s">
        <v>142</v>
      </c>
      <c r="G474" s="27" t="s">
        <v>143</v>
      </c>
      <c r="H474" s="136">
        <v>45422</v>
      </c>
      <c r="I474" s="136"/>
      <c r="J474" s="27" t="s">
        <v>144</v>
      </c>
      <c r="K474" s="138">
        <v>1300000</v>
      </c>
      <c r="L474" s="27" t="s">
        <v>164</v>
      </c>
      <c r="M474" s="141" t="s">
        <v>203</v>
      </c>
      <c r="O474" s="213" t="s">
        <v>3018</v>
      </c>
      <c r="Q474" s="27" t="s">
        <v>148</v>
      </c>
      <c r="R474" s="27" t="s">
        <v>149</v>
      </c>
      <c r="S474" s="27" t="s">
        <v>150</v>
      </c>
      <c r="T474" s="27">
        <v>73232985388</v>
      </c>
      <c r="U474" s="197">
        <v>29815</v>
      </c>
      <c r="V474" s="141" t="s">
        <v>695</v>
      </c>
      <c r="W474" s="27">
        <v>3158153813</v>
      </c>
      <c r="X474" s="27" t="s">
        <v>697</v>
      </c>
      <c r="Y474" s="141" t="s">
        <v>484</v>
      </c>
      <c r="Z474" s="141" t="s">
        <v>430</v>
      </c>
      <c r="AA474" s="27" t="s">
        <v>847</v>
      </c>
      <c r="AB474" s="27" t="s">
        <v>212</v>
      </c>
      <c r="AC474" s="27" t="s">
        <v>159</v>
      </c>
      <c r="AD474" s="27" t="s">
        <v>160</v>
      </c>
      <c r="AE474" s="27" t="s">
        <v>485</v>
      </c>
      <c r="AF474" s="27" t="s">
        <v>176</v>
      </c>
      <c r="AG474" s="27" t="s">
        <v>177</v>
      </c>
      <c r="AH474" s="27" t="s">
        <v>164</v>
      </c>
      <c r="AI474" s="179"/>
      <c r="AJ474" s="27" t="s">
        <v>1609</v>
      </c>
      <c r="AK474" s="27" t="s">
        <v>2339</v>
      </c>
      <c r="AL474" s="27" t="s">
        <v>145</v>
      </c>
      <c r="AM474" s="27" t="s">
        <v>145</v>
      </c>
      <c r="AN474" s="27" t="s">
        <v>2339</v>
      </c>
      <c r="AP474" s="136"/>
      <c r="AT474" s="27" t="str">
        <f t="shared" si="14"/>
        <v>Activo</v>
      </c>
      <c r="AU474" s="27" cm="1">
        <f t="array" aca="1" ref="AU474" ca="1">_xlfn.IFS(AT474="","",AT474="Activo",TODAY()-H474,AT474="Inactivo",AP474-H474)</f>
        <v>38</v>
      </c>
      <c r="AV474" s="180">
        <f ca="1">IF(ISBLANK(Tabla1[[#This Row],[Fecha Nacimento (dd/mm/yyyy)]]),"",YEARFRAC(Tabla1[[#This Row],[Fecha Nacimento (dd/mm/yyyy)]],TODAY()))</f>
        <v>42.833333333333336</v>
      </c>
      <c r="AW474" s="141"/>
    </row>
    <row r="475" spans="1:49" s="27" customFormat="1" x14ac:dyDescent="0.25">
      <c r="A475" s="134">
        <v>480</v>
      </c>
      <c r="B475" s="27" t="s">
        <v>3019</v>
      </c>
      <c r="C475" s="27" t="s">
        <v>3020</v>
      </c>
      <c r="D475" s="27" t="s">
        <v>141</v>
      </c>
      <c r="E475" s="400">
        <v>1049606533</v>
      </c>
      <c r="F475" s="27" t="s">
        <v>142</v>
      </c>
      <c r="G475" s="27" t="s">
        <v>959</v>
      </c>
      <c r="H475" s="136">
        <v>45432</v>
      </c>
      <c r="I475" s="136">
        <v>45565</v>
      </c>
      <c r="J475" s="27" t="s">
        <v>144</v>
      </c>
      <c r="K475" s="138">
        <v>2000000</v>
      </c>
      <c r="L475" s="27" t="s">
        <v>145</v>
      </c>
      <c r="M475" s="27" t="s">
        <v>262</v>
      </c>
      <c r="N475" s="27" t="s">
        <v>145</v>
      </c>
      <c r="O475" s="213" t="s">
        <v>3021</v>
      </c>
      <c r="Q475" s="27" t="s">
        <v>148</v>
      </c>
      <c r="R475" s="27" t="s">
        <v>168</v>
      </c>
      <c r="S475" s="27" t="s">
        <v>150</v>
      </c>
      <c r="T475" s="28" t="s">
        <v>3024</v>
      </c>
      <c r="U475" s="197">
        <v>31859</v>
      </c>
      <c r="V475" s="27" t="s">
        <v>3022</v>
      </c>
      <c r="W475" s="27">
        <v>3156990970</v>
      </c>
      <c r="X475" s="27" t="s">
        <v>491</v>
      </c>
      <c r="Y475" s="27" t="s">
        <v>1075</v>
      </c>
      <c r="Z475" s="27" t="s">
        <v>2978</v>
      </c>
      <c r="AA475" s="27" t="s">
        <v>847</v>
      </c>
      <c r="AB475" s="27" t="s">
        <v>175</v>
      </c>
      <c r="AC475" s="27" t="s">
        <v>159</v>
      </c>
      <c r="AD475" s="27" t="s">
        <v>160</v>
      </c>
      <c r="AE475" s="27" t="s">
        <v>494</v>
      </c>
      <c r="AF475" s="27" t="s">
        <v>176</v>
      </c>
      <c r="AG475" s="27" t="s">
        <v>177</v>
      </c>
      <c r="AH475" s="27" t="s">
        <v>145</v>
      </c>
      <c r="AI475" s="179">
        <v>998000</v>
      </c>
      <c r="AJ475" s="27" t="s">
        <v>164</v>
      </c>
      <c r="AK475" s="27" t="s">
        <v>214</v>
      </c>
      <c r="AL475" s="27" t="s">
        <v>214</v>
      </c>
      <c r="AM475" s="27" t="s">
        <v>164</v>
      </c>
      <c r="AN475" s="27" t="s">
        <v>214</v>
      </c>
      <c r="AO475" s="27" t="s">
        <v>214</v>
      </c>
      <c r="AP475" s="136"/>
      <c r="AT475" s="27" t="str">
        <f t="shared" si="14"/>
        <v>Activo</v>
      </c>
      <c r="AU475" s="27" cm="1">
        <f t="array" aca="1" ref="AU475" ca="1">_xlfn.IFS(AT475="","",AT475="Activo",TODAY()-H475,AT475="Inactivo",AP475-H475)</f>
        <v>28</v>
      </c>
      <c r="AV475" s="180">
        <f ca="1">IF(ISBLANK(Tabla1[[#This Row],[Fecha Nacimento (dd/mm/yyyy)]]),"",YEARFRAC(Tabla1[[#This Row],[Fecha Nacimento (dd/mm/yyyy)]],TODAY()))</f>
        <v>37.233333333333334</v>
      </c>
      <c r="AW475" s="141"/>
    </row>
    <row r="476" spans="1:49" s="27" customFormat="1" x14ac:dyDescent="0.25">
      <c r="A476" s="134">
        <v>481</v>
      </c>
      <c r="B476" s="27" t="s">
        <v>3029</v>
      </c>
      <c r="C476" s="27" t="s">
        <v>3030</v>
      </c>
      <c r="D476" s="27" t="s">
        <v>141</v>
      </c>
      <c r="E476" s="400">
        <v>1005133041</v>
      </c>
      <c r="F476" s="27" t="s">
        <v>142</v>
      </c>
      <c r="G476" s="27" t="s">
        <v>143</v>
      </c>
      <c r="H476" s="136">
        <v>45434</v>
      </c>
      <c r="I476" s="136"/>
      <c r="J476" s="27" t="s">
        <v>144</v>
      </c>
      <c r="K476" s="138">
        <v>1300000</v>
      </c>
      <c r="L476" s="27" t="s">
        <v>145</v>
      </c>
      <c r="M476" s="27" t="s">
        <v>262</v>
      </c>
      <c r="N476" s="27" t="s">
        <v>145</v>
      </c>
      <c r="O476" s="213" t="s">
        <v>3032</v>
      </c>
      <c r="Q476" s="27" t="s">
        <v>148</v>
      </c>
      <c r="R476" s="27" t="s">
        <v>168</v>
      </c>
      <c r="S476" s="27" t="s">
        <v>150</v>
      </c>
      <c r="U476" s="197">
        <v>36426</v>
      </c>
      <c r="V476" s="27" t="s">
        <v>3031</v>
      </c>
      <c r="W476" s="27">
        <v>3126414470</v>
      </c>
      <c r="X476" s="27" t="s">
        <v>154</v>
      </c>
      <c r="Y476" s="27" t="s">
        <v>172</v>
      </c>
      <c r="Z476" s="27" t="s">
        <v>552</v>
      </c>
      <c r="AA476" s="27" t="s">
        <v>847</v>
      </c>
      <c r="AB476" s="27" t="s">
        <v>175</v>
      </c>
      <c r="AC476" s="27" t="s">
        <v>160</v>
      </c>
      <c r="AD476" s="27" t="s">
        <v>160</v>
      </c>
      <c r="AE476" s="27" t="s">
        <v>161</v>
      </c>
      <c r="AF476" s="27" t="s">
        <v>176</v>
      </c>
      <c r="AG476" s="27" t="s">
        <v>177</v>
      </c>
      <c r="AH476" s="27" t="s">
        <v>164</v>
      </c>
      <c r="AI476" s="179"/>
      <c r="AJ476" s="27" t="s">
        <v>164</v>
      </c>
      <c r="AK476" s="27" t="s">
        <v>214</v>
      </c>
      <c r="AL476" s="27" t="s">
        <v>214</v>
      </c>
      <c r="AM476" s="27" t="s">
        <v>164</v>
      </c>
      <c r="AN476" s="27" t="s">
        <v>214</v>
      </c>
      <c r="AO476" s="27" t="s">
        <v>214</v>
      </c>
      <c r="AP476" s="136"/>
      <c r="AT476" s="27" t="str">
        <f t="shared" si="14"/>
        <v>Activo</v>
      </c>
      <c r="AU476" s="27" cm="1">
        <f t="array" aca="1" ref="AU476" ca="1">_xlfn.IFS(AT476="","",AT476="Activo",TODAY()-H476,AT476="Inactivo",AP476-H476)</f>
        <v>26</v>
      </c>
      <c r="AV476" s="180">
        <f ca="1">IF(ISBLANK(Tabla1[[#This Row],[Fecha Nacimento (dd/mm/yyyy)]]),"",YEARFRAC(Tabla1[[#This Row],[Fecha Nacimento (dd/mm/yyyy)]],TODAY()))</f>
        <v>24.733333333333334</v>
      </c>
      <c r="AW476" s="141"/>
    </row>
    <row r="477" spans="1:49" s="27" customFormat="1" x14ac:dyDescent="0.25">
      <c r="A477" s="134">
        <v>482</v>
      </c>
      <c r="E477" s="400" t="s">
        <v>217</v>
      </c>
      <c r="F477" s="27" t="s">
        <v>217</v>
      </c>
      <c r="G477" s="27" t="s">
        <v>217</v>
      </c>
      <c r="H477" s="136" t="s">
        <v>217</v>
      </c>
      <c r="I477" s="136" t="s">
        <v>217</v>
      </c>
      <c r="J477" s="27" t="s">
        <v>217</v>
      </c>
      <c r="K477" s="138" t="s">
        <v>217</v>
      </c>
      <c r="L477" s="27" t="s">
        <v>217</v>
      </c>
      <c r="M477" s="27" t="s">
        <v>217</v>
      </c>
      <c r="N477" s="27" t="s">
        <v>217</v>
      </c>
      <c r="O477" s="139" t="s">
        <v>217</v>
      </c>
      <c r="Q477" s="27" t="s">
        <v>217</v>
      </c>
      <c r="R477" s="27" t="s">
        <v>217</v>
      </c>
      <c r="S477" s="27" t="s">
        <v>217</v>
      </c>
      <c r="T477" s="27" t="s">
        <v>217</v>
      </c>
      <c r="U477" s="197" t="s">
        <v>217</v>
      </c>
      <c r="V477" s="27" t="s">
        <v>217</v>
      </c>
      <c r="W477" s="27" t="s">
        <v>217</v>
      </c>
      <c r="X477" s="27" t="s">
        <v>217</v>
      </c>
      <c r="Y477" s="27" t="s">
        <v>217</v>
      </c>
      <c r="Z477" s="27" t="s">
        <v>217</v>
      </c>
      <c r="AB477" s="27" t="s">
        <v>217</v>
      </c>
      <c r="AC477" s="27" t="s">
        <v>217</v>
      </c>
      <c r="AD477" s="27" t="s">
        <v>217</v>
      </c>
      <c r="AE477" s="27" t="s">
        <v>217</v>
      </c>
      <c r="AF477" s="27" t="s">
        <v>217</v>
      </c>
      <c r="AG477" s="27" t="s">
        <v>217</v>
      </c>
      <c r="AH477" s="27" t="s">
        <v>217</v>
      </c>
      <c r="AI477" s="179" t="s">
        <v>217</v>
      </c>
      <c r="AJ477" s="27" t="s">
        <v>217</v>
      </c>
      <c r="AP477" s="136" t="s">
        <v>217</v>
      </c>
      <c r="AT477" s="27" t="str">
        <f>IF(ISBLANK(B478),"",IF(AP477="","Activo","Inactivo"))</f>
        <v/>
      </c>
      <c r="AU477" s="27" t="str" cm="1">
        <f t="array" aca="1" ref="AU477" ca="1">_xlfn.IFS(AT477="","",AT477="Activo",TODAY()-H477,AT477="Inactivo",AP477-H477)</f>
        <v/>
      </c>
      <c r="AV477" s="180" t="e">
        <f ca="1">IF(ISBLANK(Tabla1[[#This Row],[Fecha Nacimento (dd/mm/yyyy)]]),"",YEARFRAC(Tabla1[[#This Row],[Fecha Nacimento (dd/mm/yyyy)]],TODAY()))</f>
        <v>#VALUE!</v>
      </c>
      <c r="AW477" s="141"/>
    </row>
    <row r="478" spans="1:49" s="27" customFormat="1" x14ac:dyDescent="0.25">
      <c r="A478" s="134">
        <v>483</v>
      </c>
      <c r="E478" s="400"/>
      <c r="H478" s="136"/>
      <c r="I478" s="136"/>
      <c r="K478" s="138"/>
      <c r="O478" s="139"/>
      <c r="U478" s="197"/>
      <c r="AI478" s="179"/>
      <c r="AP478" s="136"/>
      <c r="AT478" s="27" t="str">
        <f>IF(ISBLANK(#REF!),"",IF(AP478="","Activo","Inactivo"))</f>
        <v>Activo</v>
      </c>
      <c r="AU478" s="27" cm="1">
        <f t="array" aca="1" ref="AU478" ca="1">_xlfn.IFS(AT478="","",AT478="Activo",TODAY()-H478,AT478="Inactivo",AP478-H478)</f>
        <v>45460</v>
      </c>
      <c r="AV478" s="180" t="str">
        <f ca="1">IF(ISBLANK(Tabla1[[#This Row],[Fecha Nacimento (dd/mm/yyyy)]]),"",YEARFRAC(Tabla1[[#This Row],[Fecha Nacimento (dd/mm/yyyy)]],TODAY()))</f>
        <v/>
      </c>
      <c r="AW478" s="141"/>
    </row>
    <row r="479" spans="1:49" s="27" customFormat="1" x14ac:dyDescent="0.25">
      <c r="A479" s="134">
        <v>484</v>
      </c>
      <c r="E479" s="400"/>
      <c r="H479" s="136"/>
      <c r="I479" s="136"/>
      <c r="K479" s="138"/>
      <c r="O479" s="139"/>
      <c r="U479" s="197"/>
      <c r="AI479" s="179"/>
      <c r="AP479" s="136"/>
      <c r="AT479" s="27" t="str">
        <f t="shared" ref="AT479:AT510" si="15">IF(ISBLANK(B479),"",IF(AP479="","Activo","Inactivo"))</f>
        <v/>
      </c>
      <c r="AU479" s="27" t="str" cm="1">
        <f t="array" aca="1" ref="AU479" ca="1">_xlfn.IFS(AT479="","",AT479="Activo",TODAY()-H479,AT479="Inactivo",AP479-H479)</f>
        <v/>
      </c>
      <c r="AV479" s="180" t="str">
        <f ca="1">IF(ISBLANK(Tabla1[[#This Row],[Fecha Nacimento (dd/mm/yyyy)]]),"",YEARFRAC(Tabla1[[#This Row],[Fecha Nacimento (dd/mm/yyyy)]],TODAY()))</f>
        <v/>
      </c>
      <c r="AW479" s="141"/>
    </row>
    <row r="480" spans="1:49" s="27" customFormat="1" x14ac:dyDescent="0.25">
      <c r="A480" s="134">
        <v>485</v>
      </c>
      <c r="E480" s="400"/>
      <c r="H480" s="136"/>
      <c r="I480" s="136"/>
      <c r="K480" s="138"/>
      <c r="O480" s="139"/>
      <c r="U480" s="197"/>
      <c r="AI480" s="179"/>
      <c r="AP480" s="136"/>
      <c r="AT480" s="27" t="str">
        <f t="shared" si="15"/>
        <v/>
      </c>
      <c r="AU480" s="27" t="str" cm="1">
        <f t="array" aca="1" ref="AU480" ca="1">_xlfn.IFS(AT480="","",AT480="Activo",TODAY()-H480,AT480="Inactivo",AP480-H480)</f>
        <v/>
      </c>
      <c r="AV480" s="180" t="str">
        <f ca="1">IF(ISBLANK(Tabla1[[#This Row],[Fecha Nacimento (dd/mm/yyyy)]]),"",YEARFRAC(Tabla1[[#This Row],[Fecha Nacimento (dd/mm/yyyy)]],TODAY()))</f>
        <v/>
      </c>
      <c r="AW480" s="141"/>
    </row>
    <row r="481" spans="1:49" s="27" customFormat="1" x14ac:dyDescent="0.25">
      <c r="A481" s="134">
        <v>486</v>
      </c>
      <c r="E481" s="400"/>
      <c r="H481" s="136"/>
      <c r="I481" s="136"/>
      <c r="K481" s="138"/>
      <c r="O481" s="139"/>
      <c r="U481" s="197"/>
      <c r="AI481" s="179"/>
      <c r="AP481" s="136"/>
      <c r="AT481" s="27" t="str">
        <f t="shared" si="15"/>
        <v/>
      </c>
      <c r="AU481" s="27" t="str" cm="1">
        <f t="array" aca="1" ref="AU481" ca="1">_xlfn.IFS(AT481="","",AT481="Activo",TODAY()-H481,AT481="Inactivo",AP481-H481)</f>
        <v/>
      </c>
      <c r="AV481" s="180" t="str">
        <f ca="1">IF(ISBLANK(Tabla1[[#This Row],[Fecha Nacimento (dd/mm/yyyy)]]),"",YEARFRAC(Tabla1[[#This Row],[Fecha Nacimento (dd/mm/yyyy)]],TODAY()))</f>
        <v/>
      </c>
      <c r="AW481" s="141"/>
    </row>
    <row r="482" spans="1:49" s="27" customFormat="1" x14ac:dyDescent="0.25">
      <c r="A482" s="134">
        <v>487</v>
      </c>
      <c r="E482" s="400"/>
      <c r="H482" s="136"/>
      <c r="I482" s="136"/>
      <c r="K482" s="138"/>
      <c r="O482" s="139"/>
      <c r="U482" s="197"/>
      <c r="AI482" s="179"/>
      <c r="AP482" s="136"/>
      <c r="AT482" s="27" t="str">
        <f t="shared" si="15"/>
        <v/>
      </c>
      <c r="AU482" s="27" t="str" cm="1">
        <f t="array" aca="1" ref="AU482" ca="1">_xlfn.IFS(AT482="","",AT482="Activo",TODAY()-H482,AT482="Inactivo",AP482-H482)</f>
        <v/>
      </c>
      <c r="AV482" s="180" t="str">
        <f ca="1">IF(ISBLANK(Tabla1[[#This Row],[Fecha Nacimento (dd/mm/yyyy)]]),"",YEARFRAC(Tabla1[[#This Row],[Fecha Nacimento (dd/mm/yyyy)]],TODAY()))</f>
        <v/>
      </c>
      <c r="AW482" s="141"/>
    </row>
    <row r="483" spans="1:49" s="27" customFormat="1" x14ac:dyDescent="0.25">
      <c r="A483" s="134">
        <v>488</v>
      </c>
      <c r="E483" s="400"/>
      <c r="H483" s="136"/>
      <c r="I483" s="136"/>
      <c r="K483" s="138"/>
      <c r="O483" s="139"/>
      <c r="U483" s="197"/>
      <c r="AI483" s="179"/>
      <c r="AP483" s="136"/>
      <c r="AT483" s="27" t="str">
        <f t="shared" si="15"/>
        <v/>
      </c>
      <c r="AU483" s="27" t="str" cm="1">
        <f t="array" aca="1" ref="AU483" ca="1">_xlfn.IFS(AT483="","",AT483="Activo",TODAY()-H483,AT483="Inactivo",AP483-H483)</f>
        <v/>
      </c>
      <c r="AV483" s="180" t="str">
        <f ca="1">IF(ISBLANK(Tabla1[[#This Row],[Fecha Nacimento (dd/mm/yyyy)]]),"",YEARFRAC(Tabla1[[#This Row],[Fecha Nacimento (dd/mm/yyyy)]],TODAY()))</f>
        <v/>
      </c>
      <c r="AW483" s="141"/>
    </row>
    <row r="484" spans="1:49" s="27" customFormat="1" x14ac:dyDescent="0.25">
      <c r="A484" s="134">
        <v>489</v>
      </c>
      <c r="E484" s="400"/>
      <c r="H484" s="136"/>
      <c r="I484" s="136"/>
      <c r="K484" s="138"/>
      <c r="O484" s="139"/>
      <c r="U484" s="197"/>
      <c r="AI484" s="179"/>
      <c r="AP484" s="136"/>
      <c r="AT484" s="27" t="str">
        <f t="shared" si="15"/>
        <v/>
      </c>
      <c r="AU484" s="27" t="str" cm="1">
        <f t="array" aca="1" ref="AU484" ca="1">_xlfn.IFS(AT484="","",AT484="Activo",TODAY()-H484,AT484="Inactivo",AP484-H484)</f>
        <v/>
      </c>
      <c r="AV484" s="180" t="str">
        <f ca="1">IF(ISBLANK(Tabla1[[#This Row],[Fecha Nacimento (dd/mm/yyyy)]]),"",YEARFRAC(Tabla1[[#This Row],[Fecha Nacimento (dd/mm/yyyy)]],TODAY()))</f>
        <v/>
      </c>
    </row>
    <row r="485" spans="1:49" s="27" customFormat="1" x14ac:dyDescent="0.25">
      <c r="A485" s="134">
        <v>490</v>
      </c>
      <c r="E485" s="400"/>
      <c r="H485" s="136"/>
      <c r="I485" s="136"/>
      <c r="K485" s="138"/>
      <c r="O485" s="139"/>
      <c r="U485" s="197"/>
      <c r="AI485" s="179"/>
      <c r="AP485" s="136"/>
      <c r="AT485" s="27" t="str">
        <f t="shared" si="15"/>
        <v/>
      </c>
      <c r="AU485" s="27" t="str" cm="1">
        <f t="array" aca="1" ref="AU485" ca="1">_xlfn.IFS(AT485="","",AT485="Activo",TODAY()-H485,AT485="Inactivo",AP485-H485)</f>
        <v/>
      </c>
      <c r="AV485" s="180" t="str">
        <f ca="1">IF(ISBLANK(Tabla1[[#This Row],[Fecha Nacimento (dd/mm/yyyy)]]),"",YEARFRAC(Tabla1[[#This Row],[Fecha Nacimento (dd/mm/yyyy)]],TODAY()))</f>
        <v/>
      </c>
    </row>
    <row r="486" spans="1:49" s="27" customFormat="1" x14ac:dyDescent="0.25">
      <c r="A486" s="134">
        <v>491</v>
      </c>
      <c r="E486" s="400"/>
      <c r="H486" s="136"/>
      <c r="I486" s="136"/>
      <c r="K486" s="138"/>
      <c r="O486" s="139"/>
      <c r="U486" s="197"/>
      <c r="AI486" s="179"/>
      <c r="AP486" s="136"/>
      <c r="AT486" s="27" t="str">
        <f t="shared" si="15"/>
        <v/>
      </c>
      <c r="AU486" s="27" t="str" cm="1">
        <f t="array" aca="1" ref="AU486" ca="1">_xlfn.IFS(AT486="","",AT486="Activo",TODAY()-H486,AT486="Inactivo",AP486-H486)</f>
        <v/>
      </c>
      <c r="AV486" s="180" t="str">
        <f ca="1">IF(ISBLANK(Tabla1[[#This Row],[Fecha Nacimento (dd/mm/yyyy)]]),"",YEARFRAC(Tabla1[[#This Row],[Fecha Nacimento (dd/mm/yyyy)]],TODAY()))</f>
        <v/>
      </c>
    </row>
    <row r="487" spans="1:49" s="27" customFormat="1" x14ac:dyDescent="0.25">
      <c r="A487" s="134">
        <v>492</v>
      </c>
      <c r="E487" s="400"/>
      <c r="H487" s="136"/>
      <c r="I487" s="136"/>
      <c r="K487" s="138"/>
      <c r="O487" s="139"/>
      <c r="U487" s="197"/>
      <c r="AI487" s="179"/>
      <c r="AP487" s="136"/>
      <c r="AT487" s="27" t="str">
        <f t="shared" si="15"/>
        <v/>
      </c>
      <c r="AU487" s="27" t="str" cm="1">
        <f t="array" aca="1" ref="AU487" ca="1">_xlfn.IFS(AT487="","",AT487="Activo",TODAY()-H487,AT487="Inactivo",AP487-H487)</f>
        <v/>
      </c>
      <c r="AV487" s="180" t="str">
        <f ca="1">IF(ISBLANK(Tabla1[[#This Row],[Fecha Nacimento (dd/mm/yyyy)]]),"",YEARFRAC(Tabla1[[#This Row],[Fecha Nacimento (dd/mm/yyyy)]],TODAY()))</f>
        <v/>
      </c>
    </row>
    <row r="488" spans="1:49" s="27" customFormat="1" x14ac:dyDescent="0.25">
      <c r="A488" s="134">
        <v>493</v>
      </c>
      <c r="E488" s="400"/>
      <c r="H488" s="136"/>
      <c r="I488" s="136"/>
      <c r="K488" s="138"/>
      <c r="O488" s="139"/>
      <c r="U488" s="197"/>
      <c r="AI488" s="179"/>
      <c r="AP488" s="136"/>
      <c r="AT488" s="27" t="str">
        <f t="shared" si="15"/>
        <v/>
      </c>
      <c r="AU488" s="27" t="str" cm="1">
        <f t="array" aca="1" ref="AU488" ca="1">_xlfn.IFS(AT488="","",AT488="Activo",TODAY()-H488,AT488="Inactivo",AP488-H488)</f>
        <v/>
      </c>
      <c r="AV488" s="180" t="str">
        <f ca="1">IF(ISBLANK(Tabla1[[#This Row],[Fecha Nacimento (dd/mm/yyyy)]]),"",YEARFRAC(Tabla1[[#This Row],[Fecha Nacimento (dd/mm/yyyy)]],TODAY()))</f>
        <v/>
      </c>
    </row>
    <row r="489" spans="1:49" s="27" customFormat="1" x14ac:dyDescent="0.25">
      <c r="A489" s="134">
        <v>494</v>
      </c>
      <c r="E489" s="400"/>
      <c r="H489" s="136"/>
      <c r="I489" s="136"/>
      <c r="K489" s="138"/>
      <c r="O489" s="139"/>
      <c r="U489" s="197"/>
      <c r="AI489" s="179"/>
      <c r="AP489" s="136"/>
      <c r="AT489" s="27" t="str">
        <f t="shared" si="15"/>
        <v/>
      </c>
      <c r="AU489" s="27" t="str" cm="1">
        <f t="array" aca="1" ref="AU489" ca="1">_xlfn.IFS(AT489="","",AT489="Activo",TODAY()-H489,AT489="Inactivo",AP489-H489)</f>
        <v/>
      </c>
      <c r="AV489" s="180" t="str">
        <f ca="1">IF(ISBLANK(Tabla1[[#This Row],[Fecha Nacimento (dd/mm/yyyy)]]),"",YEARFRAC(Tabla1[[#This Row],[Fecha Nacimento (dd/mm/yyyy)]],TODAY()))</f>
        <v/>
      </c>
    </row>
    <row r="490" spans="1:49" s="27" customFormat="1" x14ac:dyDescent="0.25">
      <c r="A490" s="134">
        <v>495</v>
      </c>
      <c r="E490" s="400"/>
      <c r="H490" s="136"/>
      <c r="I490" s="136"/>
      <c r="K490" s="138"/>
      <c r="O490" s="139"/>
      <c r="U490" s="197"/>
      <c r="AI490" s="179"/>
      <c r="AP490" s="136"/>
      <c r="AT490" s="27" t="str">
        <f t="shared" si="15"/>
        <v/>
      </c>
      <c r="AU490" s="27" t="str" cm="1">
        <f t="array" aca="1" ref="AU490" ca="1">_xlfn.IFS(AT490="","",AT490="Activo",TODAY()-H490,AT490="Inactivo",AP490-H490)</f>
        <v/>
      </c>
      <c r="AV490" s="180" t="str">
        <f ca="1">IF(ISBLANK(Tabla1[[#This Row],[Fecha Nacimento (dd/mm/yyyy)]]),"",YEARFRAC(Tabla1[[#This Row],[Fecha Nacimento (dd/mm/yyyy)]],TODAY()))</f>
        <v/>
      </c>
    </row>
    <row r="491" spans="1:49" s="27" customFormat="1" x14ac:dyDescent="0.25">
      <c r="A491" s="134">
        <v>496</v>
      </c>
      <c r="E491" s="400"/>
      <c r="H491" s="136"/>
      <c r="I491" s="136"/>
      <c r="K491" s="138"/>
      <c r="O491" s="139"/>
      <c r="U491" s="197"/>
      <c r="AI491" s="179"/>
      <c r="AP491" s="136"/>
      <c r="AT491" s="27" t="str">
        <f t="shared" si="15"/>
        <v/>
      </c>
      <c r="AU491" s="27" t="str" cm="1">
        <f t="array" aca="1" ref="AU491" ca="1">_xlfn.IFS(AT491="","",AT491="Activo",TODAY()-H491,AT491="Inactivo",AP491-H491)</f>
        <v/>
      </c>
      <c r="AV491" s="180" t="str">
        <f ca="1">IF(ISBLANK(Tabla1[[#This Row],[Fecha Nacimento (dd/mm/yyyy)]]),"",YEARFRAC(Tabla1[[#This Row],[Fecha Nacimento (dd/mm/yyyy)]],TODAY()))</f>
        <v/>
      </c>
    </row>
    <row r="492" spans="1:49" s="27" customFormat="1" x14ac:dyDescent="0.25">
      <c r="A492" s="134">
        <v>497</v>
      </c>
      <c r="E492" s="400"/>
      <c r="H492" s="136"/>
      <c r="I492" s="136"/>
      <c r="K492" s="138"/>
      <c r="O492" s="139"/>
      <c r="U492" s="197"/>
      <c r="AI492" s="179"/>
      <c r="AP492" s="136"/>
      <c r="AT492" s="27" t="str">
        <f t="shared" si="15"/>
        <v/>
      </c>
      <c r="AU492" s="27" t="str" cm="1">
        <f t="array" aca="1" ref="AU492" ca="1">_xlfn.IFS(AT492="","",AT492="Activo",TODAY()-H492,AT492="Inactivo",AP492-H492)</f>
        <v/>
      </c>
      <c r="AV492" s="180" t="str">
        <f ca="1">IF(ISBLANK(Tabla1[[#This Row],[Fecha Nacimento (dd/mm/yyyy)]]),"",YEARFRAC(Tabla1[[#This Row],[Fecha Nacimento (dd/mm/yyyy)]],TODAY()))</f>
        <v/>
      </c>
    </row>
    <row r="493" spans="1:49" s="27" customFormat="1" x14ac:dyDescent="0.25">
      <c r="A493" s="134">
        <v>498</v>
      </c>
      <c r="E493" s="400"/>
      <c r="H493" s="136"/>
      <c r="I493" s="136"/>
      <c r="K493" s="138"/>
      <c r="O493" s="139"/>
      <c r="U493" s="197"/>
      <c r="AI493" s="179"/>
      <c r="AP493" s="136"/>
      <c r="AT493" s="27" t="str">
        <f t="shared" si="15"/>
        <v/>
      </c>
      <c r="AU493" s="27" t="str" cm="1">
        <f t="array" aca="1" ref="AU493" ca="1">_xlfn.IFS(AT493="","",AT493="Activo",TODAY()-H493,AT493="Inactivo",AP493-H493)</f>
        <v/>
      </c>
      <c r="AV493" s="180" t="str">
        <f ca="1">IF(ISBLANK(Tabla1[[#This Row],[Fecha Nacimento (dd/mm/yyyy)]]),"",YEARFRAC(Tabla1[[#This Row],[Fecha Nacimento (dd/mm/yyyy)]],TODAY()))</f>
        <v/>
      </c>
    </row>
    <row r="494" spans="1:49" s="27" customFormat="1" x14ac:dyDescent="0.25">
      <c r="A494" s="134">
        <v>499</v>
      </c>
      <c r="E494" s="400"/>
      <c r="H494" s="136"/>
      <c r="I494" s="136"/>
      <c r="K494" s="138"/>
      <c r="O494" s="139"/>
      <c r="U494" s="197"/>
      <c r="AI494" s="179"/>
      <c r="AP494" s="136"/>
      <c r="AT494" s="27" t="str">
        <f t="shared" si="15"/>
        <v/>
      </c>
      <c r="AU494" s="27" t="str" cm="1">
        <f t="array" aca="1" ref="AU494" ca="1">_xlfn.IFS(AT494="","",AT494="Activo",TODAY()-H494,AT494="Inactivo",AP494-H494)</f>
        <v/>
      </c>
      <c r="AV494" s="180" t="str">
        <f ca="1">IF(ISBLANK(Tabla1[[#This Row],[Fecha Nacimento (dd/mm/yyyy)]]),"",YEARFRAC(Tabla1[[#This Row],[Fecha Nacimento (dd/mm/yyyy)]],TODAY()))</f>
        <v/>
      </c>
    </row>
    <row r="495" spans="1:49" s="27" customFormat="1" x14ac:dyDescent="0.25">
      <c r="A495" s="134">
        <v>500</v>
      </c>
      <c r="E495" s="400"/>
      <c r="H495" s="136"/>
      <c r="I495" s="136"/>
      <c r="K495" s="138"/>
      <c r="O495" s="139"/>
      <c r="U495" s="197"/>
      <c r="AI495" s="179"/>
      <c r="AP495" s="136"/>
      <c r="AT495" s="27" t="str">
        <f t="shared" si="15"/>
        <v/>
      </c>
      <c r="AU495" s="27" t="str" cm="1">
        <f t="array" aca="1" ref="AU495" ca="1">_xlfn.IFS(AT495="","",AT495="Activo",TODAY()-H495,AT495="Inactivo",AP495-H495)</f>
        <v/>
      </c>
      <c r="AV495" s="180" t="str">
        <f ca="1">IF(ISBLANK(Tabla1[[#This Row],[Fecha Nacimento (dd/mm/yyyy)]]),"",YEARFRAC(Tabla1[[#This Row],[Fecha Nacimento (dd/mm/yyyy)]],TODAY()))</f>
        <v/>
      </c>
    </row>
    <row r="496" spans="1:49" s="27" customFormat="1" x14ac:dyDescent="0.25">
      <c r="A496" s="134">
        <v>501</v>
      </c>
      <c r="E496" s="400"/>
      <c r="H496" s="136"/>
      <c r="I496" s="136"/>
      <c r="K496" s="138"/>
      <c r="O496" s="139"/>
      <c r="U496" s="197"/>
      <c r="AI496" s="179"/>
      <c r="AP496" s="136"/>
      <c r="AT496" s="27" t="str">
        <f t="shared" si="15"/>
        <v/>
      </c>
      <c r="AU496" s="27" t="str" cm="1">
        <f t="array" aca="1" ref="AU496" ca="1">_xlfn.IFS(AT496="","",AT496="Activo",TODAY()-H496,AT496="Inactivo",AP496-H496)</f>
        <v/>
      </c>
      <c r="AV496" s="180" t="str">
        <f ca="1">IF(ISBLANK(Tabla1[[#This Row],[Fecha Nacimento (dd/mm/yyyy)]]),"",YEARFRAC(Tabla1[[#This Row],[Fecha Nacimento (dd/mm/yyyy)]],TODAY()))</f>
        <v/>
      </c>
    </row>
    <row r="497" spans="1:48" s="27" customFormat="1" x14ac:dyDescent="0.25">
      <c r="A497" s="134">
        <v>502</v>
      </c>
      <c r="E497" s="400"/>
      <c r="H497" s="136"/>
      <c r="I497" s="136"/>
      <c r="K497" s="138"/>
      <c r="O497" s="139"/>
      <c r="U497" s="197"/>
      <c r="AI497" s="179"/>
      <c r="AP497" s="136"/>
      <c r="AT497" s="27" t="str">
        <f t="shared" si="15"/>
        <v/>
      </c>
      <c r="AU497" s="27" t="str" cm="1">
        <f t="array" aca="1" ref="AU497" ca="1">_xlfn.IFS(AT497="","",AT497="Activo",TODAY()-H497,AT497="Inactivo",AP497-H497)</f>
        <v/>
      </c>
      <c r="AV497" s="180" t="str">
        <f ca="1">IF(ISBLANK(Tabla1[[#This Row],[Fecha Nacimento (dd/mm/yyyy)]]),"",YEARFRAC(Tabla1[[#This Row],[Fecha Nacimento (dd/mm/yyyy)]],TODAY()))</f>
        <v/>
      </c>
    </row>
    <row r="498" spans="1:48" s="27" customFormat="1" x14ac:dyDescent="0.25">
      <c r="A498" s="134">
        <v>503</v>
      </c>
      <c r="E498" s="400"/>
      <c r="H498" s="136"/>
      <c r="I498" s="136"/>
      <c r="K498" s="138"/>
      <c r="O498" s="139"/>
      <c r="U498" s="197"/>
      <c r="AI498" s="179"/>
      <c r="AP498" s="136"/>
      <c r="AT498" s="27" t="str">
        <f t="shared" si="15"/>
        <v/>
      </c>
      <c r="AU498" s="27" t="str" cm="1">
        <f t="array" aca="1" ref="AU498" ca="1">_xlfn.IFS(AT498="","",AT498="Activo",TODAY()-H498,AT498="Inactivo",AP498-H498)</f>
        <v/>
      </c>
      <c r="AV498" s="180" t="str">
        <f ca="1">IF(ISBLANK(Tabla1[[#This Row],[Fecha Nacimento (dd/mm/yyyy)]]),"",YEARFRAC(Tabla1[[#This Row],[Fecha Nacimento (dd/mm/yyyy)]],TODAY()))</f>
        <v/>
      </c>
    </row>
    <row r="499" spans="1:48" s="27" customFormat="1" x14ac:dyDescent="0.25">
      <c r="A499" s="134">
        <v>504</v>
      </c>
      <c r="E499" s="400"/>
      <c r="H499" s="136"/>
      <c r="I499" s="136"/>
      <c r="K499" s="138"/>
      <c r="O499" s="139"/>
      <c r="U499" s="197"/>
      <c r="AI499" s="179"/>
      <c r="AP499" s="136"/>
      <c r="AT499" s="27" t="str">
        <f t="shared" si="15"/>
        <v/>
      </c>
      <c r="AU499" s="27" t="str" cm="1">
        <f t="array" aca="1" ref="AU499" ca="1">_xlfn.IFS(AT499="","",AT499="Activo",TODAY()-H499,AT499="Inactivo",AP499-H499)</f>
        <v/>
      </c>
      <c r="AV499" s="180" t="str">
        <f ca="1">IF(ISBLANK(Tabla1[[#This Row],[Fecha Nacimento (dd/mm/yyyy)]]),"",YEARFRAC(Tabla1[[#This Row],[Fecha Nacimento (dd/mm/yyyy)]],TODAY()))</f>
        <v/>
      </c>
    </row>
    <row r="500" spans="1:48" s="27" customFormat="1" x14ac:dyDescent="0.25">
      <c r="A500" s="134">
        <v>505</v>
      </c>
      <c r="E500" s="400"/>
      <c r="H500" s="136"/>
      <c r="I500" s="136"/>
      <c r="K500" s="138"/>
      <c r="O500" s="139"/>
      <c r="U500" s="197"/>
      <c r="AI500" s="179"/>
      <c r="AP500" s="136"/>
      <c r="AT500" s="27" t="str">
        <f t="shared" si="15"/>
        <v/>
      </c>
      <c r="AU500" s="27" t="str" cm="1">
        <f t="array" aca="1" ref="AU500" ca="1">_xlfn.IFS(AT500="","",AT500="Activo",TODAY()-H500,AT500="Inactivo",AP500-H500)</f>
        <v/>
      </c>
      <c r="AV500" s="180" t="str">
        <f ca="1">IF(ISBLANK(Tabla1[[#This Row],[Fecha Nacimento (dd/mm/yyyy)]]),"",YEARFRAC(Tabla1[[#This Row],[Fecha Nacimento (dd/mm/yyyy)]],TODAY()))</f>
        <v/>
      </c>
    </row>
    <row r="501" spans="1:48" s="27" customFormat="1" x14ac:dyDescent="0.25">
      <c r="A501" s="134">
        <v>506</v>
      </c>
      <c r="E501" s="400"/>
      <c r="H501" s="136"/>
      <c r="I501" s="136"/>
      <c r="K501" s="138"/>
      <c r="O501" s="139"/>
      <c r="U501" s="197"/>
      <c r="AI501" s="179"/>
      <c r="AP501" s="136"/>
      <c r="AT501" s="27" t="str">
        <f t="shared" si="15"/>
        <v/>
      </c>
      <c r="AU501" s="27" t="str" cm="1">
        <f t="array" aca="1" ref="AU501" ca="1">_xlfn.IFS(AT501="","",AT501="Activo",TODAY()-H501,AT501="Inactivo",AP501-H501)</f>
        <v/>
      </c>
      <c r="AV501" s="180" t="str">
        <f ca="1">IF(ISBLANK(Tabla1[[#This Row],[Fecha Nacimento (dd/mm/yyyy)]]),"",YEARFRAC(Tabla1[[#This Row],[Fecha Nacimento (dd/mm/yyyy)]],TODAY()))</f>
        <v/>
      </c>
    </row>
    <row r="502" spans="1:48" s="27" customFormat="1" x14ac:dyDescent="0.25">
      <c r="A502" s="134">
        <v>507</v>
      </c>
      <c r="E502" s="400"/>
      <c r="H502" s="136"/>
      <c r="I502" s="136"/>
      <c r="K502" s="138"/>
      <c r="O502" s="139"/>
      <c r="U502" s="197"/>
      <c r="AI502" s="179"/>
      <c r="AP502" s="136"/>
      <c r="AT502" s="27" t="str">
        <f t="shared" si="15"/>
        <v/>
      </c>
      <c r="AU502" s="27" t="str" cm="1">
        <f t="array" aca="1" ref="AU502" ca="1">_xlfn.IFS(AT502="","",AT502="Activo",TODAY()-H502,AT502="Inactivo",AP502-H502)</f>
        <v/>
      </c>
      <c r="AV502" s="180" t="str">
        <f ca="1">IF(ISBLANK(Tabla1[[#This Row],[Fecha Nacimento (dd/mm/yyyy)]]),"",YEARFRAC(Tabla1[[#This Row],[Fecha Nacimento (dd/mm/yyyy)]],TODAY()))</f>
        <v/>
      </c>
    </row>
    <row r="503" spans="1:48" s="27" customFormat="1" x14ac:dyDescent="0.25">
      <c r="A503" s="134">
        <v>508</v>
      </c>
      <c r="E503" s="400"/>
      <c r="H503" s="136"/>
      <c r="I503" s="136"/>
      <c r="K503" s="138"/>
      <c r="O503" s="139"/>
      <c r="U503" s="197"/>
      <c r="AI503" s="179"/>
      <c r="AP503" s="136"/>
      <c r="AT503" s="27" t="str">
        <f t="shared" si="15"/>
        <v/>
      </c>
      <c r="AU503" s="27" t="str" cm="1">
        <f t="array" aca="1" ref="AU503" ca="1">_xlfn.IFS(AT503="","",AT503="Activo",TODAY()-H503,AT503="Inactivo",AP503-H503)</f>
        <v/>
      </c>
      <c r="AV503" s="180" t="str">
        <f ca="1">IF(ISBLANK(Tabla1[[#This Row],[Fecha Nacimento (dd/mm/yyyy)]]),"",YEARFRAC(Tabla1[[#This Row],[Fecha Nacimento (dd/mm/yyyy)]],TODAY()))</f>
        <v/>
      </c>
    </row>
    <row r="504" spans="1:48" s="27" customFormat="1" x14ac:dyDescent="0.25">
      <c r="A504" s="134">
        <v>509</v>
      </c>
      <c r="E504" s="400"/>
      <c r="H504" s="136"/>
      <c r="I504" s="136"/>
      <c r="K504" s="138"/>
      <c r="O504" s="139"/>
      <c r="U504" s="197"/>
      <c r="AI504" s="179"/>
      <c r="AP504" s="136"/>
      <c r="AT504" s="27" t="str">
        <f t="shared" si="15"/>
        <v/>
      </c>
      <c r="AU504" s="27" t="str" cm="1">
        <f t="array" aca="1" ref="AU504" ca="1">_xlfn.IFS(AT504="","",AT504="Activo",TODAY()-H504,AT504="Inactivo",AP504-H504)</f>
        <v/>
      </c>
      <c r="AV504" s="180" t="str">
        <f ca="1">IF(ISBLANK(Tabla1[[#This Row],[Fecha Nacimento (dd/mm/yyyy)]]),"",YEARFRAC(Tabla1[[#This Row],[Fecha Nacimento (dd/mm/yyyy)]],TODAY()))</f>
        <v/>
      </c>
    </row>
    <row r="505" spans="1:48" s="27" customFormat="1" x14ac:dyDescent="0.25">
      <c r="A505" s="134">
        <v>510</v>
      </c>
      <c r="E505" s="400"/>
      <c r="H505" s="136"/>
      <c r="I505" s="136"/>
      <c r="K505" s="138"/>
      <c r="O505" s="139"/>
      <c r="U505" s="197"/>
      <c r="AI505" s="179"/>
      <c r="AP505" s="136"/>
      <c r="AT505" s="27" t="str">
        <f t="shared" si="15"/>
        <v/>
      </c>
      <c r="AU505" s="27" t="str" cm="1">
        <f t="array" aca="1" ref="AU505" ca="1">_xlfn.IFS(AT505="","",AT505="Activo",TODAY()-H505,AT505="Inactivo",AP505-H505)</f>
        <v/>
      </c>
      <c r="AV505" s="180" t="str">
        <f ca="1">IF(ISBLANK(Tabla1[[#This Row],[Fecha Nacimento (dd/mm/yyyy)]]),"",YEARFRAC(Tabla1[[#This Row],[Fecha Nacimento (dd/mm/yyyy)]],TODAY()))</f>
        <v/>
      </c>
    </row>
    <row r="506" spans="1:48" s="27" customFormat="1" x14ac:dyDescent="0.25">
      <c r="A506" s="134">
        <v>511</v>
      </c>
      <c r="E506" s="400"/>
      <c r="H506" s="136"/>
      <c r="I506" s="136"/>
      <c r="K506" s="138"/>
      <c r="O506" s="139"/>
      <c r="U506" s="197"/>
      <c r="AI506" s="179"/>
      <c r="AP506" s="136"/>
      <c r="AT506" s="27" t="str">
        <f t="shared" si="15"/>
        <v/>
      </c>
      <c r="AU506" s="27" t="str" cm="1">
        <f t="array" aca="1" ref="AU506" ca="1">_xlfn.IFS(AT506="","",AT506="Activo",TODAY()-H506,AT506="Inactivo",AP506-H506)</f>
        <v/>
      </c>
      <c r="AV506" s="180" t="str">
        <f ca="1">IF(ISBLANK(Tabla1[[#This Row],[Fecha Nacimento (dd/mm/yyyy)]]),"",YEARFRAC(Tabla1[[#This Row],[Fecha Nacimento (dd/mm/yyyy)]],TODAY()))</f>
        <v/>
      </c>
    </row>
    <row r="507" spans="1:48" s="27" customFormat="1" x14ac:dyDescent="0.25">
      <c r="A507" s="134">
        <v>512</v>
      </c>
      <c r="E507" s="400"/>
      <c r="H507" s="136"/>
      <c r="I507" s="136"/>
      <c r="K507" s="138"/>
      <c r="O507" s="139"/>
      <c r="U507" s="197"/>
      <c r="AI507" s="179"/>
      <c r="AP507" s="136"/>
      <c r="AT507" s="27" t="str">
        <f t="shared" si="15"/>
        <v/>
      </c>
      <c r="AU507" s="27" t="str" cm="1">
        <f t="array" aca="1" ref="AU507" ca="1">_xlfn.IFS(AT507="","",AT507="Activo",TODAY()-H507,AT507="Inactivo",AP507-H507)</f>
        <v/>
      </c>
      <c r="AV507" s="180" t="str">
        <f ca="1">IF(ISBLANK(Tabla1[[#This Row],[Fecha Nacimento (dd/mm/yyyy)]]),"",YEARFRAC(Tabla1[[#This Row],[Fecha Nacimento (dd/mm/yyyy)]],TODAY()))</f>
        <v/>
      </c>
    </row>
    <row r="508" spans="1:48" s="27" customFormat="1" x14ac:dyDescent="0.25">
      <c r="A508" s="134">
        <v>513</v>
      </c>
      <c r="E508" s="400"/>
      <c r="H508" s="136"/>
      <c r="I508" s="136"/>
      <c r="K508" s="138"/>
      <c r="O508" s="139"/>
      <c r="U508" s="197"/>
      <c r="AI508" s="179"/>
      <c r="AP508" s="136"/>
      <c r="AT508" s="27" t="str">
        <f t="shared" si="15"/>
        <v/>
      </c>
      <c r="AU508" s="27" t="str" cm="1">
        <f t="array" aca="1" ref="AU508" ca="1">_xlfn.IFS(AT508="","",AT508="Activo",TODAY()-H508,AT508="Inactivo",AP508-H508)</f>
        <v/>
      </c>
      <c r="AV508" s="180" t="str">
        <f ca="1">IF(ISBLANK(Tabla1[[#This Row],[Fecha Nacimento (dd/mm/yyyy)]]),"",YEARFRAC(Tabla1[[#This Row],[Fecha Nacimento (dd/mm/yyyy)]],TODAY()))</f>
        <v/>
      </c>
    </row>
    <row r="509" spans="1:48" s="27" customFormat="1" x14ac:dyDescent="0.25">
      <c r="A509" s="134">
        <v>514</v>
      </c>
      <c r="E509" s="400"/>
      <c r="H509" s="136"/>
      <c r="I509" s="136"/>
      <c r="K509" s="138"/>
      <c r="O509" s="139"/>
      <c r="U509" s="197"/>
      <c r="AI509" s="179"/>
      <c r="AP509" s="136"/>
      <c r="AT509" s="27" t="str">
        <f t="shared" si="15"/>
        <v/>
      </c>
      <c r="AU509" s="27" t="str" cm="1">
        <f t="array" aca="1" ref="AU509" ca="1">_xlfn.IFS(AT509="","",AT509="Activo",TODAY()-H509,AT509="Inactivo",AP509-H509)</f>
        <v/>
      </c>
      <c r="AV509" s="180" t="str">
        <f ca="1">IF(ISBLANK(Tabla1[[#This Row],[Fecha Nacimento (dd/mm/yyyy)]]),"",YEARFRAC(Tabla1[[#This Row],[Fecha Nacimento (dd/mm/yyyy)]],TODAY()))</f>
        <v/>
      </c>
    </row>
    <row r="510" spans="1:48" s="27" customFormat="1" x14ac:dyDescent="0.25">
      <c r="A510" s="134">
        <v>515</v>
      </c>
      <c r="E510" s="400"/>
      <c r="H510" s="136"/>
      <c r="I510" s="136"/>
      <c r="K510" s="138"/>
      <c r="O510" s="139"/>
      <c r="U510" s="197"/>
      <c r="AI510" s="179"/>
      <c r="AP510" s="136"/>
      <c r="AT510" s="27" t="str">
        <f t="shared" si="15"/>
        <v/>
      </c>
      <c r="AU510" s="27" t="str" cm="1">
        <f t="array" aca="1" ref="AU510" ca="1">_xlfn.IFS(AT510="","",AT510="Activo",TODAY()-H510,AT510="Inactivo",AP510-H510)</f>
        <v/>
      </c>
      <c r="AV510" s="180" t="str">
        <f ca="1">IF(ISBLANK(Tabla1[[#This Row],[Fecha Nacimento (dd/mm/yyyy)]]),"",YEARFRAC(Tabla1[[#This Row],[Fecha Nacimento (dd/mm/yyyy)]],TODAY()))</f>
        <v/>
      </c>
    </row>
    <row r="511" spans="1:48" s="27" customFormat="1" x14ac:dyDescent="0.25">
      <c r="A511" s="134">
        <v>516</v>
      </c>
      <c r="E511" s="400"/>
      <c r="H511" s="136"/>
      <c r="I511" s="136"/>
      <c r="K511" s="138"/>
      <c r="O511" s="139"/>
      <c r="U511" s="197"/>
      <c r="AI511" s="179"/>
      <c r="AP511" s="136"/>
      <c r="AT511" s="27" t="str">
        <f t="shared" ref="AT511:AT546" si="16">IF(ISBLANK(B511),"",IF(AP511="","Activo","Inactivo"))</f>
        <v/>
      </c>
      <c r="AU511" s="27" t="str" cm="1">
        <f t="array" aca="1" ref="AU511" ca="1">_xlfn.IFS(AT511="","",AT511="Activo",TODAY()-H511,AT511="Inactivo",AP511-H511)</f>
        <v/>
      </c>
      <c r="AV511" s="180" t="str">
        <f ca="1">IF(ISBLANK(Tabla1[[#This Row],[Fecha Nacimento (dd/mm/yyyy)]]),"",YEARFRAC(Tabla1[[#This Row],[Fecha Nacimento (dd/mm/yyyy)]],TODAY()))</f>
        <v/>
      </c>
    </row>
    <row r="512" spans="1:48" s="27" customFormat="1" x14ac:dyDescent="0.25">
      <c r="A512" s="134">
        <v>517</v>
      </c>
      <c r="E512" s="400"/>
      <c r="H512" s="136"/>
      <c r="I512" s="136"/>
      <c r="K512" s="138"/>
      <c r="O512" s="139"/>
      <c r="U512" s="197"/>
      <c r="AI512" s="179"/>
      <c r="AP512" s="136"/>
      <c r="AT512" s="27" t="str">
        <f t="shared" si="16"/>
        <v/>
      </c>
      <c r="AU512" s="27" t="str" cm="1">
        <f t="array" aca="1" ref="AU512" ca="1">_xlfn.IFS(AT512="","",AT512="Activo",TODAY()-H512,AT512="Inactivo",AP512-H512)</f>
        <v/>
      </c>
      <c r="AV512" s="180" t="str">
        <f ca="1">IF(ISBLANK(Tabla1[[#This Row],[Fecha Nacimento (dd/mm/yyyy)]]),"",YEARFRAC(Tabla1[[#This Row],[Fecha Nacimento (dd/mm/yyyy)]],TODAY()))</f>
        <v/>
      </c>
    </row>
    <row r="513" spans="1:48" s="27" customFormat="1" x14ac:dyDescent="0.25">
      <c r="A513" s="134">
        <v>518</v>
      </c>
      <c r="E513" s="400"/>
      <c r="H513" s="136"/>
      <c r="I513" s="136"/>
      <c r="K513" s="138"/>
      <c r="O513" s="139"/>
      <c r="U513" s="197"/>
      <c r="AI513" s="179"/>
      <c r="AP513" s="136"/>
      <c r="AT513" s="27" t="str">
        <f t="shared" si="16"/>
        <v/>
      </c>
      <c r="AU513" s="27" t="str" cm="1">
        <f t="array" aca="1" ref="AU513" ca="1">_xlfn.IFS(AT513="","",AT513="Activo",TODAY()-H513,AT513="Inactivo",AP513-H513)</f>
        <v/>
      </c>
      <c r="AV513" s="180" t="str">
        <f ca="1">IF(ISBLANK(Tabla1[[#This Row],[Fecha Nacimento (dd/mm/yyyy)]]),"",YEARFRAC(Tabla1[[#This Row],[Fecha Nacimento (dd/mm/yyyy)]],TODAY()))</f>
        <v/>
      </c>
    </row>
    <row r="514" spans="1:48" s="27" customFormat="1" x14ac:dyDescent="0.25">
      <c r="A514" s="134">
        <v>519</v>
      </c>
      <c r="E514" s="400"/>
      <c r="H514" s="136"/>
      <c r="I514" s="136"/>
      <c r="K514" s="138"/>
      <c r="O514" s="139"/>
      <c r="U514" s="197"/>
      <c r="AI514" s="179"/>
      <c r="AP514" s="136"/>
      <c r="AT514" s="27" t="str">
        <f t="shared" si="16"/>
        <v/>
      </c>
      <c r="AU514" s="27" t="str" cm="1">
        <f t="array" aca="1" ref="AU514" ca="1">_xlfn.IFS(AT514="","",AT514="Activo",TODAY()-H514,AT514="Inactivo",AP514-H514)</f>
        <v/>
      </c>
      <c r="AV514" s="180" t="str">
        <f ca="1">IF(ISBLANK(Tabla1[[#This Row],[Fecha Nacimento (dd/mm/yyyy)]]),"",YEARFRAC(Tabla1[[#This Row],[Fecha Nacimento (dd/mm/yyyy)]],TODAY()))</f>
        <v/>
      </c>
    </row>
    <row r="515" spans="1:48" s="27" customFormat="1" x14ac:dyDescent="0.25">
      <c r="A515" s="134">
        <v>520</v>
      </c>
      <c r="E515" s="400"/>
      <c r="H515" s="136"/>
      <c r="I515" s="136"/>
      <c r="K515" s="138"/>
      <c r="O515" s="139"/>
      <c r="U515" s="197"/>
      <c r="AI515" s="179"/>
      <c r="AP515" s="136"/>
      <c r="AT515" s="27" t="str">
        <f t="shared" si="16"/>
        <v/>
      </c>
      <c r="AU515" s="27" t="str" cm="1">
        <f t="array" aca="1" ref="AU515" ca="1">_xlfn.IFS(AT515="","",AT515="Activo",TODAY()-H515,AT515="Inactivo",AP515-H515)</f>
        <v/>
      </c>
      <c r="AV515" s="180" t="str">
        <f ca="1">IF(ISBLANK(Tabla1[[#This Row],[Fecha Nacimento (dd/mm/yyyy)]]),"",YEARFRAC(Tabla1[[#This Row],[Fecha Nacimento (dd/mm/yyyy)]],TODAY()))</f>
        <v/>
      </c>
    </row>
    <row r="516" spans="1:48" s="27" customFormat="1" x14ac:dyDescent="0.25">
      <c r="A516" s="134">
        <v>521</v>
      </c>
      <c r="E516" s="400"/>
      <c r="H516" s="136"/>
      <c r="I516" s="136"/>
      <c r="K516" s="138"/>
      <c r="O516" s="139"/>
      <c r="U516" s="197"/>
      <c r="AI516" s="179"/>
      <c r="AP516" s="136"/>
      <c r="AT516" s="27" t="str">
        <f t="shared" si="16"/>
        <v/>
      </c>
      <c r="AU516" s="27" t="str" cm="1">
        <f t="array" aca="1" ref="AU516" ca="1">_xlfn.IFS(AT516="","",AT516="Activo",TODAY()-H516,AT516="Inactivo",AP516-H516)</f>
        <v/>
      </c>
      <c r="AV516" s="180" t="str">
        <f ca="1">IF(ISBLANK(Tabla1[[#This Row],[Fecha Nacimento (dd/mm/yyyy)]]),"",YEARFRAC(Tabla1[[#This Row],[Fecha Nacimento (dd/mm/yyyy)]],TODAY()))</f>
        <v/>
      </c>
    </row>
    <row r="517" spans="1:48" s="27" customFormat="1" x14ac:dyDescent="0.25">
      <c r="A517" s="134">
        <v>522</v>
      </c>
      <c r="E517" s="400"/>
      <c r="H517" s="136"/>
      <c r="I517" s="136"/>
      <c r="K517" s="138"/>
      <c r="O517" s="139"/>
      <c r="U517" s="197"/>
      <c r="AI517" s="179"/>
      <c r="AP517" s="136"/>
      <c r="AT517" s="27" t="str">
        <f t="shared" si="16"/>
        <v/>
      </c>
      <c r="AU517" s="27" t="str" cm="1">
        <f t="array" aca="1" ref="AU517" ca="1">_xlfn.IFS(AT517="","",AT517="Activo",TODAY()-H517,AT517="Inactivo",AP517-H517)</f>
        <v/>
      </c>
      <c r="AV517" s="180" t="str">
        <f ca="1">IF(ISBLANK(Tabla1[[#This Row],[Fecha Nacimento (dd/mm/yyyy)]]),"",YEARFRAC(Tabla1[[#This Row],[Fecha Nacimento (dd/mm/yyyy)]],TODAY()))</f>
        <v/>
      </c>
    </row>
    <row r="518" spans="1:48" s="27" customFormat="1" x14ac:dyDescent="0.25">
      <c r="A518" s="134">
        <v>523</v>
      </c>
      <c r="E518" s="400"/>
      <c r="H518" s="136"/>
      <c r="I518" s="136"/>
      <c r="K518" s="138"/>
      <c r="O518" s="139"/>
      <c r="U518" s="197"/>
      <c r="AI518" s="179"/>
      <c r="AP518" s="136"/>
      <c r="AT518" s="27" t="str">
        <f t="shared" si="16"/>
        <v/>
      </c>
      <c r="AU518" s="27" t="str" cm="1">
        <f t="array" aca="1" ref="AU518" ca="1">_xlfn.IFS(AT518="","",AT518="Activo",TODAY()-H518,AT518="Inactivo",AP518-H518)</f>
        <v/>
      </c>
      <c r="AV518" s="180" t="str">
        <f ca="1">IF(ISBLANK(Tabla1[[#This Row],[Fecha Nacimento (dd/mm/yyyy)]]),"",YEARFRAC(Tabla1[[#This Row],[Fecha Nacimento (dd/mm/yyyy)]],TODAY()))</f>
        <v/>
      </c>
    </row>
    <row r="519" spans="1:48" s="27" customFormat="1" x14ac:dyDescent="0.25">
      <c r="A519" s="134">
        <v>524</v>
      </c>
      <c r="E519" s="400"/>
      <c r="H519" s="136"/>
      <c r="I519" s="136"/>
      <c r="K519" s="138"/>
      <c r="O519" s="139"/>
      <c r="U519" s="197"/>
      <c r="AI519" s="179"/>
      <c r="AP519" s="136"/>
      <c r="AT519" s="27" t="str">
        <f t="shared" si="16"/>
        <v/>
      </c>
      <c r="AU519" s="27" t="str" cm="1">
        <f t="array" aca="1" ref="AU519" ca="1">_xlfn.IFS(AT519="","",AT519="Activo",TODAY()-H519,AT519="Inactivo",AP519-H519)</f>
        <v/>
      </c>
      <c r="AV519" s="180" t="str">
        <f ca="1">IF(ISBLANK(Tabla1[[#This Row],[Fecha Nacimento (dd/mm/yyyy)]]),"",YEARFRAC(Tabla1[[#This Row],[Fecha Nacimento (dd/mm/yyyy)]],TODAY()))</f>
        <v/>
      </c>
    </row>
    <row r="520" spans="1:48" s="27" customFormat="1" x14ac:dyDescent="0.25">
      <c r="A520" s="134">
        <v>525</v>
      </c>
      <c r="E520" s="400"/>
      <c r="H520" s="136"/>
      <c r="I520" s="136"/>
      <c r="K520" s="138"/>
      <c r="O520" s="139"/>
      <c r="U520" s="197"/>
      <c r="AI520" s="179"/>
      <c r="AP520" s="136"/>
      <c r="AT520" s="27" t="str">
        <f t="shared" si="16"/>
        <v/>
      </c>
      <c r="AU520" s="27" t="str" cm="1">
        <f t="array" aca="1" ref="AU520" ca="1">_xlfn.IFS(AT520="","",AT520="Activo",TODAY()-H520,AT520="Inactivo",AP520-H520)</f>
        <v/>
      </c>
      <c r="AV520" s="180" t="str">
        <f ca="1">IF(ISBLANK(Tabla1[[#This Row],[Fecha Nacimento (dd/mm/yyyy)]]),"",YEARFRAC(Tabla1[[#This Row],[Fecha Nacimento (dd/mm/yyyy)]],TODAY()))</f>
        <v/>
      </c>
    </row>
    <row r="521" spans="1:48" s="27" customFormat="1" x14ac:dyDescent="0.25">
      <c r="A521" s="134">
        <v>526</v>
      </c>
      <c r="E521" s="400"/>
      <c r="H521" s="136"/>
      <c r="I521" s="136"/>
      <c r="K521" s="138"/>
      <c r="O521" s="139"/>
      <c r="U521" s="197"/>
      <c r="AI521" s="179"/>
      <c r="AP521" s="136"/>
      <c r="AT521" s="27" t="str">
        <f t="shared" si="16"/>
        <v/>
      </c>
      <c r="AU521" s="27" t="str" cm="1">
        <f t="array" aca="1" ref="AU521" ca="1">_xlfn.IFS(AT521="","",AT521="Activo",TODAY()-H521,AT521="Inactivo",AP521-H521)</f>
        <v/>
      </c>
      <c r="AV521" s="180" t="str">
        <f ca="1">IF(ISBLANK(Tabla1[[#This Row],[Fecha Nacimento (dd/mm/yyyy)]]),"",YEARFRAC(Tabla1[[#This Row],[Fecha Nacimento (dd/mm/yyyy)]],TODAY()))</f>
        <v/>
      </c>
    </row>
    <row r="522" spans="1:48" s="27" customFormat="1" x14ac:dyDescent="0.25">
      <c r="A522" s="134">
        <v>527</v>
      </c>
      <c r="E522" s="400"/>
      <c r="H522" s="136"/>
      <c r="I522" s="136"/>
      <c r="K522" s="138"/>
      <c r="O522" s="139"/>
      <c r="U522" s="197"/>
      <c r="AI522" s="179"/>
      <c r="AP522" s="136"/>
      <c r="AT522" s="27" t="str">
        <f t="shared" si="16"/>
        <v/>
      </c>
      <c r="AU522" s="27" t="str" cm="1">
        <f t="array" aca="1" ref="AU522" ca="1">_xlfn.IFS(AT522="","",AT522="Activo",TODAY()-H522,AT522="Inactivo",AP522-H522)</f>
        <v/>
      </c>
      <c r="AV522" s="180" t="str">
        <f ca="1">IF(ISBLANK(Tabla1[[#This Row],[Fecha Nacimento (dd/mm/yyyy)]]),"",YEARFRAC(Tabla1[[#This Row],[Fecha Nacimento (dd/mm/yyyy)]],TODAY()))</f>
        <v/>
      </c>
    </row>
    <row r="523" spans="1:48" s="27" customFormat="1" x14ac:dyDescent="0.25">
      <c r="A523" s="134">
        <v>528</v>
      </c>
      <c r="E523" s="400"/>
      <c r="H523" s="136"/>
      <c r="I523" s="136"/>
      <c r="K523" s="138"/>
      <c r="O523" s="139"/>
      <c r="U523" s="197"/>
      <c r="AI523" s="179"/>
      <c r="AP523" s="136"/>
      <c r="AT523" s="27" t="str">
        <f t="shared" si="16"/>
        <v/>
      </c>
      <c r="AU523" s="27" t="str" cm="1">
        <f t="array" aca="1" ref="AU523" ca="1">_xlfn.IFS(AT523="","",AT523="Activo",TODAY()-H523,AT523="Inactivo",AP523-H523)</f>
        <v/>
      </c>
      <c r="AV523" s="180" t="str">
        <f ca="1">IF(ISBLANK(Tabla1[[#This Row],[Fecha Nacimento (dd/mm/yyyy)]]),"",YEARFRAC(Tabla1[[#This Row],[Fecha Nacimento (dd/mm/yyyy)]],TODAY()))</f>
        <v/>
      </c>
    </row>
    <row r="524" spans="1:48" s="27" customFormat="1" x14ac:dyDescent="0.25">
      <c r="A524" s="134">
        <v>529</v>
      </c>
      <c r="E524" s="400"/>
      <c r="H524" s="136"/>
      <c r="I524" s="136"/>
      <c r="K524" s="138"/>
      <c r="O524" s="139"/>
      <c r="U524" s="197"/>
      <c r="AI524" s="179"/>
      <c r="AP524" s="136"/>
      <c r="AT524" s="27" t="str">
        <f t="shared" si="16"/>
        <v/>
      </c>
      <c r="AU524" s="27" t="str" cm="1">
        <f t="array" aca="1" ref="AU524" ca="1">_xlfn.IFS(AT524="","",AT524="Activo",TODAY()-H524,AT524="Inactivo",AP524-H524)</f>
        <v/>
      </c>
      <c r="AV524" s="180" t="str">
        <f ca="1">IF(ISBLANK(Tabla1[[#This Row],[Fecha Nacimento (dd/mm/yyyy)]]),"",YEARFRAC(Tabla1[[#This Row],[Fecha Nacimento (dd/mm/yyyy)]],TODAY()))</f>
        <v/>
      </c>
    </row>
    <row r="525" spans="1:48" s="27" customFormat="1" x14ac:dyDescent="0.25">
      <c r="A525" s="134">
        <v>530</v>
      </c>
      <c r="E525" s="400"/>
      <c r="H525" s="136"/>
      <c r="I525" s="136"/>
      <c r="K525" s="138"/>
      <c r="O525" s="139"/>
      <c r="U525" s="197"/>
      <c r="AI525" s="179"/>
      <c r="AP525" s="136"/>
      <c r="AT525" s="27" t="str">
        <f t="shared" si="16"/>
        <v/>
      </c>
      <c r="AU525" s="27" t="str" cm="1">
        <f t="array" aca="1" ref="AU525" ca="1">_xlfn.IFS(AT525="","",AT525="Activo",TODAY()-H525,AT525="Inactivo",AP525-H525)</f>
        <v/>
      </c>
      <c r="AV525" s="180" t="str">
        <f ca="1">IF(ISBLANK(Tabla1[[#This Row],[Fecha Nacimento (dd/mm/yyyy)]]),"",YEARFRAC(Tabla1[[#This Row],[Fecha Nacimento (dd/mm/yyyy)]],TODAY()))</f>
        <v/>
      </c>
    </row>
    <row r="526" spans="1:48" s="27" customFormat="1" x14ac:dyDescent="0.25">
      <c r="A526" s="134">
        <v>531</v>
      </c>
      <c r="E526" s="400"/>
      <c r="H526" s="136"/>
      <c r="I526" s="136"/>
      <c r="K526" s="138"/>
      <c r="O526" s="139"/>
      <c r="U526" s="197"/>
      <c r="AI526" s="179"/>
      <c r="AP526" s="136"/>
      <c r="AT526" s="27" t="str">
        <f t="shared" si="16"/>
        <v/>
      </c>
      <c r="AU526" s="27" t="str" cm="1">
        <f t="array" aca="1" ref="AU526" ca="1">_xlfn.IFS(AT526="","",AT526="Activo",TODAY()-H526,AT526="Inactivo",AP526-H526)</f>
        <v/>
      </c>
      <c r="AV526" s="180" t="str">
        <f ca="1">IF(ISBLANK(Tabla1[[#This Row],[Fecha Nacimento (dd/mm/yyyy)]]),"",YEARFRAC(Tabla1[[#This Row],[Fecha Nacimento (dd/mm/yyyy)]],TODAY()))</f>
        <v/>
      </c>
    </row>
    <row r="527" spans="1:48" s="27" customFormat="1" x14ac:dyDescent="0.25">
      <c r="A527" s="134">
        <v>532</v>
      </c>
      <c r="E527" s="400"/>
      <c r="H527" s="136"/>
      <c r="I527" s="136"/>
      <c r="K527" s="138"/>
      <c r="O527" s="139"/>
      <c r="U527" s="197"/>
      <c r="AI527" s="179"/>
      <c r="AP527" s="136"/>
      <c r="AT527" s="27" t="str">
        <f t="shared" si="16"/>
        <v/>
      </c>
      <c r="AU527" s="27" t="str" cm="1">
        <f t="array" aca="1" ref="AU527" ca="1">_xlfn.IFS(AT527="","",AT527="Activo",TODAY()-H527,AT527="Inactivo",AP527-H527)</f>
        <v/>
      </c>
      <c r="AV527" s="180" t="str">
        <f ca="1">IF(ISBLANK(Tabla1[[#This Row],[Fecha Nacimento (dd/mm/yyyy)]]),"",YEARFRAC(Tabla1[[#This Row],[Fecha Nacimento (dd/mm/yyyy)]],TODAY()))</f>
        <v/>
      </c>
    </row>
    <row r="528" spans="1:48" s="27" customFormat="1" x14ac:dyDescent="0.25">
      <c r="A528" s="134">
        <v>533</v>
      </c>
      <c r="E528" s="400"/>
      <c r="H528" s="136"/>
      <c r="I528" s="136"/>
      <c r="K528" s="138"/>
      <c r="O528" s="139"/>
      <c r="U528" s="197"/>
      <c r="AI528" s="179"/>
      <c r="AP528" s="136"/>
      <c r="AT528" s="27" t="str">
        <f t="shared" si="16"/>
        <v/>
      </c>
      <c r="AU528" s="27" t="str" cm="1">
        <f t="array" aca="1" ref="AU528" ca="1">_xlfn.IFS(AT528="","",AT528="Activo",TODAY()-H528,AT528="Inactivo",AP528-H528)</f>
        <v/>
      </c>
      <c r="AV528" s="180" t="str">
        <f ca="1">IF(ISBLANK(Tabla1[[#This Row],[Fecha Nacimento (dd/mm/yyyy)]]),"",YEARFRAC(Tabla1[[#This Row],[Fecha Nacimento (dd/mm/yyyy)]],TODAY()))</f>
        <v/>
      </c>
    </row>
    <row r="529" spans="1:48" s="27" customFormat="1" x14ac:dyDescent="0.25">
      <c r="A529" s="134">
        <v>534</v>
      </c>
      <c r="E529" s="400"/>
      <c r="H529" s="136"/>
      <c r="I529" s="136"/>
      <c r="K529" s="138"/>
      <c r="O529" s="139"/>
      <c r="U529" s="197"/>
      <c r="AI529" s="179"/>
      <c r="AP529" s="136"/>
      <c r="AT529" s="27" t="str">
        <f t="shared" si="16"/>
        <v/>
      </c>
      <c r="AU529" s="27" t="str" cm="1">
        <f t="array" aca="1" ref="AU529" ca="1">_xlfn.IFS(AT529="","",AT529="Activo",TODAY()-H529,AT529="Inactivo",AP529-H529)</f>
        <v/>
      </c>
      <c r="AV529" s="180" t="str">
        <f ca="1">IF(ISBLANK(Tabla1[[#This Row],[Fecha Nacimento (dd/mm/yyyy)]]),"",YEARFRAC(Tabla1[[#This Row],[Fecha Nacimento (dd/mm/yyyy)]],TODAY()))</f>
        <v/>
      </c>
    </row>
    <row r="530" spans="1:48" s="27" customFormat="1" x14ac:dyDescent="0.25">
      <c r="A530" s="134">
        <v>535</v>
      </c>
      <c r="E530" s="400"/>
      <c r="H530" s="136"/>
      <c r="I530" s="136"/>
      <c r="K530" s="138"/>
      <c r="O530" s="139"/>
      <c r="U530" s="197"/>
      <c r="AI530" s="179"/>
      <c r="AP530" s="136"/>
      <c r="AT530" s="27" t="str">
        <f t="shared" si="16"/>
        <v/>
      </c>
      <c r="AU530" s="27" t="str" cm="1">
        <f t="array" aca="1" ref="AU530" ca="1">_xlfn.IFS(AT530="","",AT530="Activo",TODAY()-H530,AT530="Inactivo",AP530-H530)</f>
        <v/>
      </c>
      <c r="AV530" s="180" t="str">
        <f ca="1">IF(ISBLANK(Tabla1[[#This Row],[Fecha Nacimento (dd/mm/yyyy)]]),"",YEARFRAC(Tabla1[[#This Row],[Fecha Nacimento (dd/mm/yyyy)]],TODAY()))</f>
        <v/>
      </c>
    </row>
    <row r="531" spans="1:48" s="27" customFormat="1" x14ac:dyDescent="0.25">
      <c r="A531" s="134">
        <v>536</v>
      </c>
      <c r="E531" s="400"/>
      <c r="H531" s="136"/>
      <c r="I531" s="136"/>
      <c r="K531" s="138"/>
      <c r="O531" s="139"/>
      <c r="U531" s="197"/>
      <c r="AI531" s="179"/>
      <c r="AP531" s="136"/>
      <c r="AT531" s="27" t="str">
        <f t="shared" si="16"/>
        <v/>
      </c>
      <c r="AU531" s="27" t="str" cm="1">
        <f t="array" aca="1" ref="AU531" ca="1">_xlfn.IFS(AT531="","",AT531="Activo",TODAY()-H531,AT531="Inactivo",AP531-H531)</f>
        <v/>
      </c>
      <c r="AV531" s="180" t="str">
        <f ca="1">IF(ISBLANK(Tabla1[[#This Row],[Fecha Nacimento (dd/mm/yyyy)]]),"",YEARFRAC(Tabla1[[#This Row],[Fecha Nacimento (dd/mm/yyyy)]],TODAY()))</f>
        <v/>
      </c>
    </row>
    <row r="532" spans="1:48" s="27" customFormat="1" x14ac:dyDescent="0.25">
      <c r="A532" s="134">
        <v>537</v>
      </c>
      <c r="E532" s="400"/>
      <c r="H532" s="136"/>
      <c r="I532" s="136"/>
      <c r="K532" s="138"/>
      <c r="O532" s="139"/>
      <c r="U532" s="197"/>
      <c r="AI532" s="179"/>
      <c r="AP532" s="136"/>
      <c r="AT532" s="27" t="str">
        <f t="shared" si="16"/>
        <v/>
      </c>
      <c r="AU532" s="27" t="str" cm="1">
        <f t="array" aca="1" ref="AU532" ca="1">_xlfn.IFS(AT532="","",AT532="Activo",TODAY()-H532,AT532="Inactivo",AP532-H532)</f>
        <v/>
      </c>
      <c r="AV532" s="180" t="str">
        <f ca="1">IF(ISBLANK(Tabla1[[#This Row],[Fecha Nacimento (dd/mm/yyyy)]]),"",YEARFRAC(Tabla1[[#This Row],[Fecha Nacimento (dd/mm/yyyy)]],TODAY()))</f>
        <v/>
      </c>
    </row>
    <row r="533" spans="1:48" s="27" customFormat="1" x14ac:dyDescent="0.25">
      <c r="A533" s="134">
        <v>538</v>
      </c>
      <c r="E533" s="400"/>
      <c r="H533" s="136"/>
      <c r="I533" s="136"/>
      <c r="K533" s="138"/>
      <c r="O533" s="139"/>
      <c r="U533" s="197"/>
      <c r="AI533" s="179"/>
      <c r="AP533" s="136"/>
      <c r="AT533" s="27" t="str">
        <f t="shared" si="16"/>
        <v/>
      </c>
      <c r="AU533" s="27" t="str" cm="1">
        <f t="array" aca="1" ref="AU533" ca="1">_xlfn.IFS(AT533="","",AT533="Activo",TODAY()-H533,AT533="Inactivo",AP533-H533)</f>
        <v/>
      </c>
      <c r="AV533" s="180" t="str">
        <f ca="1">IF(ISBLANK(Tabla1[[#This Row],[Fecha Nacimento (dd/mm/yyyy)]]),"",YEARFRAC(Tabla1[[#This Row],[Fecha Nacimento (dd/mm/yyyy)]],TODAY()))</f>
        <v/>
      </c>
    </row>
    <row r="534" spans="1:48" s="27" customFormat="1" x14ac:dyDescent="0.25">
      <c r="A534" s="134">
        <v>539</v>
      </c>
      <c r="E534" s="400"/>
      <c r="H534" s="136"/>
      <c r="I534" s="136"/>
      <c r="K534" s="138"/>
      <c r="O534" s="139"/>
      <c r="U534" s="197"/>
      <c r="AI534" s="179"/>
      <c r="AP534" s="136"/>
      <c r="AT534" s="27" t="str">
        <f t="shared" si="16"/>
        <v/>
      </c>
      <c r="AU534" s="27" t="str" cm="1">
        <f t="array" aca="1" ref="AU534" ca="1">_xlfn.IFS(AT534="","",AT534="Activo",TODAY()-H534,AT534="Inactivo",AP534-H534)</f>
        <v/>
      </c>
      <c r="AV534" s="180" t="str">
        <f ca="1">IF(ISBLANK(Tabla1[[#This Row],[Fecha Nacimento (dd/mm/yyyy)]]),"",YEARFRAC(Tabla1[[#This Row],[Fecha Nacimento (dd/mm/yyyy)]],TODAY()))</f>
        <v/>
      </c>
    </row>
    <row r="535" spans="1:48" s="27" customFormat="1" x14ac:dyDescent="0.25">
      <c r="A535" s="134">
        <v>540</v>
      </c>
      <c r="E535" s="400"/>
      <c r="H535" s="136"/>
      <c r="I535" s="136"/>
      <c r="K535" s="138"/>
      <c r="O535" s="139"/>
      <c r="U535" s="197"/>
      <c r="AI535" s="179"/>
      <c r="AP535" s="136"/>
      <c r="AT535" s="27" t="str">
        <f t="shared" si="16"/>
        <v/>
      </c>
      <c r="AU535" s="27" t="str" cm="1">
        <f t="array" aca="1" ref="AU535" ca="1">_xlfn.IFS(AT535="","",AT535="Activo",TODAY()-H535,AT535="Inactivo",AP535-H535)</f>
        <v/>
      </c>
      <c r="AV535" s="180" t="str">
        <f ca="1">IF(ISBLANK(Tabla1[[#This Row],[Fecha Nacimento (dd/mm/yyyy)]]),"",YEARFRAC(Tabla1[[#This Row],[Fecha Nacimento (dd/mm/yyyy)]],TODAY()))</f>
        <v/>
      </c>
    </row>
    <row r="536" spans="1:48" s="27" customFormat="1" x14ac:dyDescent="0.25">
      <c r="A536" s="134">
        <v>541</v>
      </c>
      <c r="E536" s="400"/>
      <c r="H536" s="136"/>
      <c r="I536" s="136"/>
      <c r="K536" s="138"/>
      <c r="O536" s="139"/>
      <c r="U536" s="197"/>
      <c r="AI536" s="179"/>
      <c r="AP536" s="136"/>
      <c r="AT536" s="27" t="str">
        <f t="shared" si="16"/>
        <v/>
      </c>
      <c r="AU536" s="27" t="str" cm="1">
        <f t="array" aca="1" ref="AU536" ca="1">_xlfn.IFS(AT536="","",AT536="Activo",TODAY()-H536,AT536="Inactivo",AP536-H536)</f>
        <v/>
      </c>
      <c r="AV536" s="180" t="str">
        <f ca="1">IF(ISBLANK(Tabla1[[#This Row],[Fecha Nacimento (dd/mm/yyyy)]]),"",YEARFRAC(Tabla1[[#This Row],[Fecha Nacimento (dd/mm/yyyy)]],TODAY()))</f>
        <v/>
      </c>
    </row>
    <row r="537" spans="1:48" s="27" customFormat="1" x14ac:dyDescent="0.25">
      <c r="A537" s="134">
        <v>542</v>
      </c>
      <c r="E537" s="400"/>
      <c r="H537" s="136"/>
      <c r="I537" s="136"/>
      <c r="K537" s="138"/>
      <c r="O537" s="139"/>
      <c r="U537" s="197"/>
      <c r="AI537" s="179"/>
      <c r="AP537" s="136"/>
      <c r="AT537" s="27" t="str">
        <f t="shared" si="16"/>
        <v/>
      </c>
      <c r="AU537" s="27" t="str" cm="1">
        <f t="array" aca="1" ref="AU537" ca="1">_xlfn.IFS(AT537="","",AT537="Activo",TODAY()-H537,AT537="Inactivo",AP537-H537)</f>
        <v/>
      </c>
      <c r="AV537" s="180" t="str">
        <f ca="1">IF(ISBLANK(Tabla1[[#This Row],[Fecha Nacimento (dd/mm/yyyy)]]),"",YEARFRAC(Tabla1[[#This Row],[Fecha Nacimento (dd/mm/yyyy)]],TODAY()))</f>
        <v/>
      </c>
    </row>
    <row r="538" spans="1:48" s="27" customFormat="1" x14ac:dyDescent="0.25">
      <c r="A538" s="134">
        <v>543</v>
      </c>
      <c r="E538" s="400"/>
      <c r="H538" s="136"/>
      <c r="I538" s="136"/>
      <c r="K538" s="138"/>
      <c r="O538" s="139"/>
      <c r="U538" s="197"/>
      <c r="AI538" s="179"/>
      <c r="AP538" s="136"/>
      <c r="AT538" s="27" t="str">
        <f t="shared" si="16"/>
        <v/>
      </c>
      <c r="AU538" s="27" t="str" cm="1">
        <f t="array" aca="1" ref="AU538" ca="1">_xlfn.IFS(AT538="","",AT538="Activo",TODAY()-H538,AT538="Inactivo",AP538-H538)</f>
        <v/>
      </c>
      <c r="AV538" s="180" t="str">
        <f ca="1">IF(ISBLANK(Tabla1[[#This Row],[Fecha Nacimento (dd/mm/yyyy)]]),"",YEARFRAC(Tabla1[[#This Row],[Fecha Nacimento (dd/mm/yyyy)]],TODAY()))</f>
        <v/>
      </c>
    </row>
    <row r="539" spans="1:48" s="27" customFormat="1" x14ac:dyDescent="0.25">
      <c r="A539" s="134">
        <v>544</v>
      </c>
      <c r="E539" s="400"/>
      <c r="H539" s="136"/>
      <c r="I539" s="136"/>
      <c r="K539" s="138"/>
      <c r="O539" s="139"/>
      <c r="U539" s="197"/>
      <c r="AI539" s="179"/>
      <c r="AP539" s="136"/>
      <c r="AT539" s="27" t="str">
        <f t="shared" si="16"/>
        <v/>
      </c>
      <c r="AU539" s="27" t="str" cm="1">
        <f t="array" aca="1" ref="AU539" ca="1">_xlfn.IFS(AT539="","",AT539="Activo",TODAY()-H539,AT539="Inactivo",AP539-H539)</f>
        <v/>
      </c>
      <c r="AV539" s="180" t="str">
        <f ca="1">IF(ISBLANK(Tabla1[[#This Row],[Fecha Nacimento (dd/mm/yyyy)]]),"",YEARFRAC(Tabla1[[#This Row],[Fecha Nacimento (dd/mm/yyyy)]],TODAY()))</f>
        <v/>
      </c>
    </row>
    <row r="540" spans="1:48" s="27" customFormat="1" x14ac:dyDescent="0.25">
      <c r="A540" s="134">
        <v>545</v>
      </c>
      <c r="E540" s="400"/>
      <c r="H540" s="136"/>
      <c r="I540" s="136"/>
      <c r="K540" s="138"/>
      <c r="O540" s="139"/>
      <c r="U540" s="197"/>
      <c r="AI540" s="179"/>
      <c r="AP540" s="136"/>
      <c r="AT540" s="27" t="str">
        <f t="shared" si="16"/>
        <v/>
      </c>
      <c r="AU540" s="27" t="str" cm="1">
        <f t="array" aca="1" ref="AU540" ca="1">_xlfn.IFS(AT540="","",AT540="Activo",TODAY()-H540,AT540="Inactivo",AP540-H540)</f>
        <v/>
      </c>
      <c r="AV540" s="180" t="str">
        <f ca="1">IF(ISBLANK(Tabla1[[#This Row],[Fecha Nacimento (dd/mm/yyyy)]]),"",YEARFRAC(Tabla1[[#This Row],[Fecha Nacimento (dd/mm/yyyy)]],TODAY()))</f>
        <v/>
      </c>
    </row>
    <row r="541" spans="1:48" s="27" customFormat="1" x14ac:dyDescent="0.25">
      <c r="A541" s="134" t="s">
        <v>2416</v>
      </c>
      <c r="B541" s="27" t="s">
        <v>2417</v>
      </c>
      <c r="C541" s="27" t="s">
        <v>2418</v>
      </c>
      <c r="D541" s="27" t="s">
        <v>141</v>
      </c>
      <c r="E541" s="400">
        <v>1013683026</v>
      </c>
      <c r="F541" s="27" t="s">
        <v>142</v>
      </c>
      <c r="G541" s="27" t="s">
        <v>143</v>
      </c>
      <c r="H541" s="322">
        <v>45413</v>
      </c>
      <c r="I541" s="136"/>
      <c r="J541" s="27" t="s">
        <v>144</v>
      </c>
      <c r="K541" s="137">
        <v>1300000</v>
      </c>
      <c r="L541" s="27" t="s">
        <v>145</v>
      </c>
      <c r="N541" s="27" t="s">
        <v>145</v>
      </c>
      <c r="O541" s="213" t="s">
        <v>2419</v>
      </c>
      <c r="Q541" s="27" t="s">
        <v>148</v>
      </c>
      <c r="R541" s="27" t="s">
        <v>2420</v>
      </c>
      <c r="S541" s="27" t="s">
        <v>2421</v>
      </c>
      <c r="T541" s="27">
        <v>4662055384</v>
      </c>
      <c r="U541" s="197">
        <v>36000</v>
      </c>
      <c r="V541" s="27" t="s">
        <v>2422</v>
      </c>
      <c r="W541" s="27">
        <v>3007343298</v>
      </c>
      <c r="X541" s="27" t="s">
        <v>1977</v>
      </c>
      <c r="Y541" s="27" t="s">
        <v>155</v>
      </c>
      <c r="Z541" s="27" t="s">
        <v>2423</v>
      </c>
      <c r="AA541" s="27" t="s">
        <v>302</v>
      </c>
      <c r="AB541" s="27" t="s">
        <v>259</v>
      </c>
      <c r="AC541" s="27" t="s">
        <v>160</v>
      </c>
      <c r="AD541" s="27" t="s">
        <v>160</v>
      </c>
      <c r="AE541" s="27" t="s">
        <v>1979</v>
      </c>
      <c r="AF541" s="27" t="s">
        <v>162</v>
      </c>
      <c r="AG541" s="27" t="s">
        <v>163</v>
      </c>
      <c r="AH541" s="27" t="s">
        <v>145</v>
      </c>
      <c r="AI541" s="179">
        <v>1280000</v>
      </c>
      <c r="AP541" s="136"/>
      <c r="AT541" s="27" t="str">
        <f t="shared" si="16"/>
        <v>Activo</v>
      </c>
      <c r="AU541" s="27" cm="1">
        <f t="array" aca="1" ref="AU541" ca="1">_xlfn.IFS(AT541="","",AT541="Activo",TODAY()-H542,AT541="Inactivo",AP541-H542)</f>
        <v>133</v>
      </c>
      <c r="AV541" s="180">
        <f ca="1">IF(ISBLANK(Tabla1[[#This Row],[Fecha Nacimento (dd/mm/yyyy)]]),"",YEARFRAC(Tabla1[[#This Row],[Fecha Nacimento (dd/mm/yyyy)]],TODAY()))</f>
        <v>25.897222222222222</v>
      </c>
    </row>
    <row r="542" spans="1:48" s="27" customFormat="1" x14ac:dyDescent="0.25">
      <c r="A542" s="134" t="s">
        <v>2424</v>
      </c>
      <c r="B542" s="27" t="s">
        <v>2425</v>
      </c>
      <c r="C542" s="27" t="s">
        <v>2426</v>
      </c>
      <c r="D542" s="27" t="s">
        <v>141</v>
      </c>
      <c r="E542" s="400">
        <v>18414953</v>
      </c>
      <c r="F542" s="27" t="s">
        <v>142</v>
      </c>
      <c r="G542" s="27" t="s">
        <v>143</v>
      </c>
      <c r="H542" s="136">
        <v>45327</v>
      </c>
      <c r="I542" s="136"/>
      <c r="J542" s="27" t="s">
        <v>144</v>
      </c>
      <c r="K542" s="138">
        <v>1300000</v>
      </c>
      <c r="L542" s="27" t="s">
        <v>164</v>
      </c>
      <c r="M542" s="27" t="s">
        <v>203</v>
      </c>
      <c r="N542" s="27" t="s">
        <v>145</v>
      </c>
      <c r="O542" s="139" t="s">
        <v>2427</v>
      </c>
      <c r="Q542" s="27" t="s">
        <v>148</v>
      </c>
      <c r="R542" s="27" t="s">
        <v>426</v>
      </c>
      <c r="S542" s="27" t="s">
        <v>150</v>
      </c>
      <c r="T542" s="27">
        <v>3123263532</v>
      </c>
      <c r="U542" s="197">
        <v>25903</v>
      </c>
      <c r="V542" s="27" t="s">
        <v>2428</v>
      </c>
      <c r="W542" s="27">
        <v>3123263532</v>
      </c>
      <c r="X542" s="27" t="s">
        <v>2429</v>
      </c>
      <c r="Y542" s="27" t="s">
        <v>155</v>
      </c>
      <c r="Z542" s="27" t="s">
        <v>1784</v>
      </c>
      <c r="AA542" s="27" t="s">
        <v>302</v>
      </c>
      <c r="AB542" s="27" t="s">
        <v>175</v>
      </c>
      <c r="AC542" s="27" t="s">
        <v>159</v>
      </c>
      <c r="AD542" s="27" t="s">
        <v>160</v>
      </c>
      <c r="AE542" s="27" t="s">
        <v>431</v>
      </c>
      <c r="AF542" s="27" t="s">
        <v>176</v>
      </c>
      <c r="AG542" s="27" t="s">
        <v>177</v>
      </c>
      <c r="AH542" s="27" t="s">
        <v>164</v>
      </c>
      <c r="AI542" s="179"/>
      <c r="AJ542" s="27" t="s">
        <v>1745</v>
      </c>
      <c r="AK542" s="27" t="s">
        <v>2225</v>
      </c>
      <c r="AL542" s="27" t="s">
        <v>145</v>
      </c>
      <c r="AP542" s="136"/>
      <c r="AT542" s="27" t="str">
        <f t="shared" si="16"/>
        <v>Activo</v>
      </c>
      <c r="AU542" s="27" cm="1">
        <f t="array" aca="1" ref="AU542" ca="1">_xlfn.IFS(AT542="","",AT542="Activo",TODAY()-H542,AT542="Inactivo",AP542-H542)</f>
        <v>133</v>
      </c>
      <c r="AV542" s="180">
        <f ca="1">IF(ISBLANK(Tabla1[[#This Row],[Fecha Nacimento (dd/mm/yyyy)]]),"",YEARFRAC(Tabla1[[#This Row],[Fecha Nacimento (dd/mm/yyyy)]],TODAY()))</f>
        <v>53.544444444444444</v>
      </c>
    </row>
    <row r="543" spans="1:48" s="27" customFormat="1" x14ac:dyDescent="0.25">
      <c r="A543" s="134"/>
      <c r="E543" s="403"/>
      <c r="F543" s="135"/>
      <c r="H543" s="136"/>
      <c r="I543" s="136"/>
      <c r="K543" s="137"/>
      <c r="M543" s="135"/>
      <c r="N543" s="135"/>
      <c r="O543" s="139"/>
      <c r="Q543" s="135"/>
      <c r="R543" s="135"/>
      <c r="S543" s="135"/>
      <c r="T543" s="28"/>
      <c r="U543" s="37"/>
      <c r="AC543" s="135"/>
      <c r="AD543" s="135"/>
      <c r="AI543" s="184"/>
      <c r="AP543" s="189"/>
      <c r="AQ543" s="186"/>
      <c r="AR543" s="186"/>
      <c r="AT543" s="27" t="str">
        <f t="shared" si="16"/>
        <v/>
      </c>
      <c r="AU543" s="27" t="str" cm="1">
        <f t="array" aca="1" ref="AU543" ca="1">_xlfn.IFS(AT543="","",AT543="Activo",TODAY()-H543,AT543="Inactivo",AP543-H543)</f>
        <v/>
      </c>
      <c r="AV543" s="180" t="str">
        <f ca="1">IF(ISBLANK(Tabla1[[#This Row],[Fecha Nacimento (dd/mm/yyyy)]]),"",YEARFRAC(Tabla1[[#This Row],[Fecha Nacimento (dd/mm/yyyy)]],TODAY()))</f>
        <v/>
      </c>
    </row>
    <row r="544" spans="1:48" x14ac:dyDescent="0.25">
      <c r="A544" s="134"/>
      <c r="B544" s="27"/>
      <c r="C544" s="27"/>
      <c r="D544" s="27"/>
      <c r="E544" s="403"/>
      <c r="F544" s="27"/>
      <c r="G544" s="27"/>
      <c r="H544" s="322"/>
      <c r="I544" s="136"/>
      <c r="J544" s="27"/>
      <c r="K544" s="137"/>
      <c r="L544" s="27"/>
      <c r="M544" s="27"/>
      <c r="N544" s="27"/>
      <c r="O544" s="27"/>
      <c r="P544" s="27"/>
      <c r="Q544" s="27"/>
      <c r="R544" s="27"/>
      <c r="S544" s="27"/>
      <c r="T544" s="28"/>
      <c r="U544" s="437"/>
      <c r="V544" s="27"/>
      <c r="W544" s="27"/>
      <c r="X544" s="27"/>
      <c r="Y544" s="27"/>
      <c r="Z544" s="27" t="e">
        <f>VLOOKUP(A544,#REF!,11,FALSE)</f>
        <v>#REF!</v>
      </c>
      <c r="AA544" s="27"/>
      <c r="AB544" s="27"/>
      <c r="AC544" s="27"/>
      <c r="AD544" s="27"/>
      <c r="AE544" s="27" t="e">
        <f>VLOOKUP(A544,#REF!,2,FALSE)</f>
        <v>#REF!</v>
      </c>
      <c r="AF544" s="27"/>
      <c r="AG544" s="27"/>
      <c r="AH544" s="27"/>
      <c r="AI544" s="179"/>
      <c r="AJ544" s="27"/>
      <c r="AK544" s="27"/>
      <c r="AL544" s="27"/>
      <c r="AM544" s="27"/>
      <c r="AN544" s="27"/>
      <c r="AO544" s="27"/>
      <c r="AP544" s="136"/>
      <c r="AQ544" s="27"/>
      <c r="AR544" s="27"/>
      <c r="AS544" s="27"/>
      <c r="AT544" s="27" t="str">
        <f t="shared" si="16"/>
        <v/>
      </c>
      <c r="AU544" s="27" t="str" cm="1">
        <f t="array" aca="1" ref="AU544" ca="1">_xlfn.IFS(AT544="","",AT544="Activo",TODAY()-H544,AT544="Inactivo",AP544-H544)</f>
        <v/>
      </c>
      <c r="AV544" s="180" t="str">
        <f ca="1">IF(ISBLANK(Tabla1[[#This Row],[Fecha Nacimento (dd/mm/yyyy)]]),"",YEARFRAC(Tabla1[[#This Row],[Fecha Nacimento (dd/mm/yyyy)]],TODAY()))</f>
        <v/>
      </c>
    </row>
    <row r="545" spans="1:48" x14ac:dyDescent="0.25">
      <c r="A545" s="134"/>
      <c r="B545" s="27"/>
      <c r="C545" s="27"/>
      <c r="D545" s="27"/>
      <c r="E545" s="403"/>
      <c r="F545" s="27"/>
      <c r="G545" s="27" t="e">
        <f>VLOOKUP(A545,#REF!,4,FALSE)</f>
        <v>#REF!</v>
      </c>
      <c r="H545" s="322" t="e">
        <f>VLOOKUP(A545,#REF!,5,FALSE)</f>
        <v>#REF!</v>
      </c>
      <c r="I545" s="136" t="e">
        <f>VLOOKUP(A545,#REF!,6,FALSE)</f>
        <v>#REF!</v>
      </c>
      <c r="J545" s="27" t="e">
        <f>VLOOKUP(A545,#REF!,7,FALSE)</f>
        <v>#REF!</v>
      </c>
      <c r="K545" s="137" t="e">
        <f>VLOOKUP(A545,#REF!,8,FALSE)</f>
        <v>#REF!</v>
      </c>
      <c r="L545" s="27" t="e">
        <f>VLOOKUP(A545,#REF!,9,FALSE)</f>
        <v>#REF!</v>
      </c>
      <c r="M545" s="27"/>
      <c r="N545" s="27"/>
      <c r="O545" s="27"/>
      <c r="P545" s="27"/>
      <c r="Q545" s="27"/>
      <c r="R545" s="27"/>
      <c r="S545" s="27"/>
      <c r="T545" s="28"/>
      <c r="U545" s="437"/>
      <c r="V545" s="27"/>
      <c r="W545" s="27" t="e">
        <f>VLOOKUP(A545,#REF!,10,FALSE)</f>
        <v>#REF!</v>
      </c>
      <c r="X545" s="27"/>
      <c r="Y545" s="27"/>
      <c r="Z545" s="27" t="e">
        <f>VLOOKUP(A545,#REF!,11,FALSE)</f>
        <v>#REF!</v>
      </c>
      <c r="AA545" s="27"/>
      <c r="AB545" s="27"/>
      <c r="AC545" s="27"/>
      <c r="AD545" s="27"/>
      <c r="AE545" s="27" t="e">
        <f>VLOOKUP(A545,#REF!,2,FALSE)</f>
        <v>#REF!</v>
      </c>
      <c r="AF545" s="27"/>
      <c r="AG545" s="27"/>
      <c r="AH545" s="27"/>
      <c r="AI545" s="179"/>
      <c r="AJ545" s="27"/>
      <c r="AK545" s="27"/>
      <c r="AL545" s="27"/>
      <c r="AM545" s="27"/>
      <c r="AN545" s="27"/>
      <c r="AO545" s="27"/>
      <c r="AP545" s="136"/>
      <c r="AQ545" s="27"/>
      <c r="AR545" s="27"/>
      <c r="AS545" s="27"/>
      <c r="AT545" s="27" t="str">
        <f t="shared" si="16"/>
        <v/>
      </c>
      <c r="AU545" s="27" t="str" cm="1">
        <f t="array" aca="1" ref="AU545" ca="1">_xlfn.IFS(AT545="","",AT545="Activo",TODAY()-H545,AT545="Inactivo",AP545-H545)</f>
        <v/>
      </c>
      <c r="AV545" s="180" t="str">
        <f ca="1">IF(ISBLANK(Tabla1[[#This Row],[Fecha Nacimento (dd/mm/yyyy)]]),"",YEARFRAC(Tabla1[[#This Row],[Fecha Nacimento (dd/mm/yyyy)]],TODAY()))</f>
        <v/>
      </c>
    </row>
    <row r="546" spans="1:48" x14ac:dyDescent="0.25">
      <c r="A546" s="134"/>
      <c r="B546" s="27"/>
      <c r="C546" s="27"/>
      <c r="D546" s="27"/>
      <c r="E546" s="403"/>
      <c r="F546" s="27"/>
      <c r="G546" s="27" t="e">
        <f>VLOOKUP(A546,#REF!,4,FALSE)</f>
        <v>#REF!</v>
      </c>
      <c r="H546" s="322" t="e">
        <f>VLOOKUP(A546,#REF!,5,FALSE)</f>
        <v>#REF!</v>
      </c>
      <c r="I546" s="136" t="e">
        <f>VLOOKUP(A546,#REF!,6,FALSE)</f>
        <v>#REF!</v>
      </c>
      <c r="J546" s="27" t="e">
        <f>VLOOKUP(A546,#REF!,7,FALSE)</f>
        <v>#REF!</v>
      </c>
      <c r="K546" s="137" t="e">
        <f>VLOOKUP(A546,#REF!,8,FALSE)</f>
        <v>#REF!</v>
      </c>
      <c r="L546" s="27" t="e">
        <f>VLOOKUP(A546,#REF!,9,FALSE)</f>
        <v>#REF!</v>
      </c>
      <c r="M546" s="27"/>
      <c r="N546" s="27"/>
      <c r="O546" s="27"/>
      <c r="P546" s="27"/>
      <c r="Q546" s="27"/>
      <c r="R546" s="27"/>
      <c r="S546" s="27"/>
      <c r="T546" s="28"/>
      <c r="U546" s="437"/>
      <c r="V546" s="27"/>
      <c r="W546" s="27" t="e">
        <f>VLOOKUP(A546,#REF!,10,FALSE)</f>
        <v>#REF!</v>
      </c>
      <c r="X546" s="27"/>
      <c r="Y546" s="27"/>
      <c r="Z546" s="27" t="e">
        <f>VLOOKUP(A546,#REF!,11,FALSE)</f>
        <v>#REF!</v>
      </c>
      <c r="AA546" s="27"/>
      <c r="AB546" s="27"/>
      <c r="AC546" s="27"/>
      <c r="AD546" s="27"/>
      <c r="AE546" s="27" t="e">
        <f>VLOOKUP(A546,#REF!,2,FALSE)</f>
        <v>#REF!</v>
      </c>
      <c r="AF546" s="27"/>
      <c r="AG546" s="27"/>
      <c r="AH546" s="27"/>
      <c r="AI546" s="179"/>
      <c r="AJ546" s="27"/>
      <c r="AK546" s="27"/>
      <c r="AL546" s="27"/>
      <c r="AM546" s="27"/>
      <c r="AN546" s="27"/>
      <c r="AO546" s="27"/>
      <c r="AP546" s="136"/>
      <c r="AQ546" s="27"/>
      <c r="AR546" s="27"/>
      <c r="AS546" s="27"/>
      <c r="AT546" s="27" t="str">
        <f t="shared" si="16"/>
        <v/>
      </c>
      <c r="AU546" s="27" t="str" cm="1">
        <f t="array" aca="1" ref="AU546" ca="1">_xlfn.IFS(AT546="","",AT546="Activo",TODAY()-H546,AT546="Inactivo",AP546-H546)</f>
        <v/>
      </c>
      <c r="AV546" s="180" t="str">
        <f ca="1">IF(ISBLANK(Tabla1[[#This Row],[Fecha Nacimento (dd/mm/yyyy)]]),"",YEARFRAC(Tabla1[[#This Row],[Fecha Nacimento (dd/mm/yyyy)]],TODAY()))</f>
        <v/>
      </c>
    </row>
    <row r="550" spans="1:48" x14ac:dyDescent="0.25">
      <c r="E550" s="23"/>
      <c r="F550" s="401"/>
    </row>
    <row r="551" spans="1:48" x14ac:dyDescent="0.25">
      <c r="E551" s="23"/>
      <c r="F551" s="401"/>
    </row>
  </sheetData>
  <autoFilter ref="A1:AE1" xr:uid="{DBAEE710-2BAD-A241-A758-A8A378AB44A3}">
    <filterColumn colId="0" showButton="0"/>
    <filterColumn colId="1" showButton="0"/>
    <filterColumn colId="2" showButton="0"/>
    <filterColumn colId="3" showButton="0"/>
    <filterColumn colId="4" showButton="0"/>
    <filterColumn colId="5" showButton="0"/>
    <filterColumn colId="6" showButton="0"/>
    <filterColumn colId="7" showButton="0"/>
    <filterColumn colId="8" showButton="0"/>
    <filterColumn colId="9" showButton="0"/>
    <filterColumn colId="10" showButton="0"/>
    <filterColumn colId="11" showButton="0"/>
    <filterColumn colId="12" showButton="0"/>
    <filterColumn colId="13" showButton="0"/>
    <filterColumn colId="14" showButton="0"/>
    <filterColumn colId="15" showButton="0"/>
    <filterColumn colId="16" showButton="0"/>
    <filterColumn colId="17" showButton="0"/>
    <filterColumn colId="18" showButton="0"/>
    <filterColumn colId="19" showButton="0"/>
    <filterColumn colId="20" showButton="0"/>
    <filterColumn colId="21" showButton="0"/>
    <filterColumn colId="22" showButton="0"/>
    <filterColumn colId="23" showButton="0"/>
    <filterColumn colId="24" showButton="0"/>
    <filterColumn colId="25" showButton="0"/>
    <filterColumn colId="26" showButton="0"/>
    <filterColumn colId="27" showButton="0"/>
    <filterColumn colId="28" showButton="0"/>
  </autoFilter>
  <mergeCells count="4">
    <mergeCell ref="A1:AD1"/>
    <mergeCell ref="AG1:AI1"/>
    <mergeCell ref="AJ1:AL1"/>
    <mergeCell ref="AM1:AO1"/>
  </mergeCells>
  <phoneticPr fontId="18" type="noConversion"/>
  <dataValidations count="13">
    <dataValidation type="list" allowBlank="1" showInputMessage="1" showErrorMessage="1" sqref="AC310:AC312 AC3:AC148 AC438" xr:uid="{7038C673-F506-744C-B2DF-A2B3DEDD9731}">
      <formula1>"Caxdac,Colfondos,Colpensiones,Fonprecon,Pensones de Antioquia,Porvenir,Protección,Skandia"</formula1>
    </dataValidation>
    <dataValidation type="list" allowBlank="1" showInputMessage="1" showErrorMessage="1" sqref="Q31 Q3:Q19 Q122" xr:uid="{AFB8DF81-32D2-3A46-A7EC-02F0B4F52C27}">
      <formula1>"Transferencia Bancaria, Efectivo, Cheque"</formula1>
    </dataValidation>
    <dataValidation allowBlank="1" showErrorMessage="1" sqref="AP15" xr:uid="{A1800658-FDA0-E84E-BDD9-AE7D044F7E97}"/>
    <dataValidation type="list" allowBlank="1" showInputMessage="1" showErrorMessage="1" sqref="AC153" xr:uid="{319CA88B-2DBC-49AF-852A-20DF3EB84AB9}">
      <formula1>"Caxdac,Colfondos,Colpensiones,Fonprecon,Pensones de Antioquia,Porvenir,Protección,Skandia,No aplica"</formula1>
    </dataValidation>
    <dataValidation type="list" allowBlank="1" showErrorMessage="1" sqref="AJ3:AJ19 AM3:AM6 AM8:AM543" xr:uid="{7EF48CD4-2894-8D47-93DF-F49BBFB75A77}">
      <formula1>"Si,No"</formula1>
    </dataValidation>
    <dataValidation type="list" allowBlank="1" showErrorMessage="1" sqref="AN3:AN6 AN8:AN543" xr:uid="{7CADF9AF-D318-4E4B-92AE-83EA9D6B64DC}">
      <formula1>"Padres,Cónyuge,Compañero/a permanente,Hijos,Todos,No aplica"</formula1>
    </dataValidation>
    <dataValidation type="list" allowBlank="1" showErrorMessage="1" sqref="AK3:AK546" xr:uid="{B5B7759F-702B-ED47-8C5D-042E50843FB1}">
      <formula1>"Padres,Cónyuge,Compañero/a permanente,Hijos,No aplica"</formula1>
    </dataValidation>
    <dataValidation type="list" allowBlank="1" showErrorMessage="1" sqref="AO3:AO546 AL3:AL546" xr:uid="{0C97C2C7-E6BB-F24F-B915-EEE6C7EECE1A}">
      <formula1>"Si,No,No aplica"</formula1>
    </dataValidation>
    <dataValidation type="list" allowBlank="1" showInputMessage="1" showErrorMessage="1" sqref="AF3:AF546" xr:uid="{415C3299-A10E-4EFA-AD98-4634E3E4F32B}">
      <formula1>"Hombre,Mujer"</formula1>
    </dataValidation>
    <dataValidation type="list" allowBlank="1" showInputMessage="1" showErrorMessage="1" sqref="M3:M543" xr:uid="{2C3E3B24-ADB9-2D46-A430-47E54C04AB74}">
      <formula1>"Centro de trabajo Riesgo 1, Centro de trabajo Riesgo 2,Centro de trabajo Riesgo 3,Centro de trabajo Riesgo 4, Centro de trabajo Riesgo 5"</formula1>
    </dataValidation>
    <dataValidation type="list" allowBlank="1" showInputMessage="1" showErrorMessage="1" sqref="N3:N546" xr:uid="{9DFFBDF1-2613-AB4D-B3DD-AD010E4599D3}">
      <formula1>"Si, No"</formula1>
    </dataValidation>
    <dataValidation allowBlank="1" sqref="U3:U546" xr:uid="{94516A62-1BE2-4B3F-9A64-3224A6E07F78}"/>
    <dataValidation type="list" allowBlank="1" showInputMessage="1" showErrorMessage="1" sqref="S27 S77:S80 S72 S63:S66 S35:S36 S30:S31 S3:S19 S137:S140 S135 S98:S100 S74 S297 S251:S252 S244 S230 S227 S212 S205 S181 S162 S153 S150:S151 S144 S130 S119:S122 S114 S91:S93 S89 S69 S55:S57 S49:S50 S46 S44 S38" xr:uid="{ABE8377E-52D8-0A46-B3DC-BAF354525A1B}">
      <formula1>"Cuenta Corriente, Cuenta de Ahorros"</formula1>
    </dataValidation>
  </dataValidations>
  <hyperlinks>
    <hyperlink ref="O141" r:id="rId1" xr:uid="{E6287E86-032C-468F-8B54-88B790021E87}"/>
    <hyperlink ref="O142" r:id="rId2" xr:uid="{3EFD93CB-EA86-4608-A6F0-7A9A8A0DC19B}"/>
    <hyperlink ref="O148" r:id="rId3" xr:uid="{707ED491-0120-924E-8844-38AFD0D688D1}"/>
    <hyperlink ref="O151" r:id="rId4" xr:uid="{C328B53C-68F2-41B4-8250-75136B466B82}"/>
    <hyperlink ref="O150" r:id="rId5" xr:uid="{F7505EA7-49E2-4435-BDCB-338F9902D43A}"/>
    <hyperlink ref="O152" r:id="rId6" xr:uid="{75AA8C5A-9DFC-4943-9709-53F61ABCAB09}"/>
    <hyperlink ref="O153" r:id="rId7" xr:uid="{6DDB06DC-C1CC-44DE-A9A4-0A723D5B9BFE}"/>
    <hyperlink ref="O154" r:id="rId8" xr:uid="{5F14BBF8-064E-410F-8315-40014C288BF8}"/>
    <hyperlink ref="O155" r:id="rId9" xr:uid="{EFF68A60-B20B-40A4-906A-7D900D9CD01D}"/>
    <hyperlink ref="O156" r:id="rId10" xr:uid="{964CA4F6-6407-4CFA-B685-7BF3EA9997B4}"/>
    <hyperlink ref="O159" r:id="rId11" xr:uid="{F3A3BD31-1104-43CE-BBF1-DA3EB36E0E90}"/>
    <hyperlink ref="O157" r:id="rId12" xr:uid="{FB6C8244-98D7-46D6-AC0B-094C4F9CD9E2}"/>
    <hyperlink ref="O161" r:id="rId13" xr:uid="{2743C21A-83E0-4F1C-9071-75CE6D4C6C57}"/>
    <hyperlink ref="O168" r:id="rId14" xr:uid="{65361DEE-3DF5-43D7-B021-33EF27254A56}"/>
    <hyperlink ref="O165" r:id="rId15" xr:uid="{82B46821-88FB-4EDD-B020-D5C8C6D4B87D}"/>
    <hyperlink ref="O163" r:id="rId16" xr:uid="{139D8D39-DD12-4190-8F66-44DDFCE659A8}"/>
    <hyperlink ref="O162" r:id="rId17" xr:uid="{A25A3435-476F-4CA5-9F82-3F3C18469EAE}"/>
    <hyperlink ref="O166" r:id="rId18" xr:uid="{18650240-0421-48C0-9451-BEA95EDAA0AB}"/>
    <hyperlink ref="O186" r:id="rId19" xr:uid="{CC54689B-6341-40DE-AB19-45189D316611}"/>
    <hyperlink ref="O172" r:id="rId20" xr:uid="{DD970B19-B18D-430B-B275-C86F272855E0}"/>
    <hyperlink ref="O179" r:id="rId21" xr:uid="{2806D933-4E4F-4847-B7C1-75ECFBA1E07A}"/>
    <hyperlink ref="O174" r:id="rId22" xr:uid="{D380FEB5-2296-4DDA-A120-482EEF41DF6C}"/>
    <hyperlink ref="O182" r:id="rId23" xr:uid="{DF1019A5-8D3F-49F4-BEBA-D7B525363E11}"/>
    <hyperlink ref="O181" r:id="rId24" xr:uid="{A0F7478D-067E-48E8-9F1E-5DF70898E3BC}"/>
    <hyperlink ref="O176" r:id="rId25" xr:uid="{A9690FA5-2C44-4D0D-94C2-2AC7B2B813A3}"/>
    <hyperlink ref="O175" r:id="rId26" xr:uid="{6D6AD8CA-D5A7-4C31-9AC2-FCA5D4D9E64E}"/>
    <hyperlink ref="O187" r:id="rId27" xr:uid="{2A7A66D5-60F9-4166-B810-8171CD5B7679}"/>
    <hyperlink ref="O183" r:id="rId28" xr:uid="{F6C5E6E0-4281-43A8-BC13-F7DAE7328126}"/>
    <hyperlink ref="O180" r:id="rId29" xr:uid="{049284E2-C807-4662-8842-FF5AC83060F4}"/>
    <hyperlink ref="O177" r:id="rId30" xr:uid="{39A2AE5B-EC98-4C57-8230-BB3E640E394E}"/>
    <hyperlink ref="O178" r:id="rId31" xr:uid="{518FA6E3-24F8-4EF2-971B-BD954FA3DD4D}"/>
    <hyperlink ref="O188" r:id="rId32" xr:uid="{7E70CBAE-47B0-49EA-B577-199190CE66C4}"/>
    <hyperlink ref="O184" r:id="rId33" xr:uid="{7E76B7AC-1EF9-4E02-B6E8-56C673781D09}"/>
    <hyperlink ref="O147" r:id="rId34" xr:uid="{0DE56358-D184-488E-8524-F2059B789D06}"/>
    <hyperlink ref="O146" r:id="rId35" xr:uid="{4B436250-0322-4CE8-90D0-206A6CE1A811}"/>
    <hyperlink ref="O160" r:id="rId36" xr:uid="{C21D764F-C80D-4563-949D-9B3A0A63C78B}"/>
    <hyperlink ref="O173" r:id="rId37" xr:uid="{3B3BD70E-0E39-422C-BF5F-B2D32A104769}"/>
    <hyperlink ref="O189" r:id="rId38" xr:uid="{C0E6E478-0FBD-44C2-8190-A5202AD3081C}"/>
    <hyperlink ref="O185" r:id="rId39" xr:uid="{92988FF5-4D7F-41EC-936F-DDA3FE975363}"/>
    <hyperlink ref="O192" r:id="rId40" xr:uid="{520C51E2-203C-41D1-8B72-3E3A61567544}"/>
    <hyperlink ref="O190" r:id="rId41" xr:uid="{CB6AC2A0-2D44-4A71-AAAB-AC59298AF658}"/>
    <hyperlink ref="O193" r:id="rId42" xr:uid="{FD0F9149-80DC-4670-BA16-FB323BE7D44D}"/>
    <hyperlink ref="O29" r:id="rId43" xr:uid="{8EA3406A-0CD2-4177-A549-DC36E9DE555F}"/>
    <hyperlink ref="O128" r:id="rId44" xr:uid="{D9921A73-DEB3-4D6F-A22E-DD05ACE40922}"/>
    <hyperlink ref="O140" r:id="rId45" xr:uid="{BB4F7B65-9B4E-4DB7-A032-20E658154E19}"/>
    <hyperlink ref="O130" r:id="rId46" xr:uid="{10FFBB55-2FEC-452A-9F7E-4937FB8F1F39}"/>
    <hyperlink ref="O195" r:id="rId47" xr:uid="{0A33D734-76CE-451F-931C-72B86033E126}"/>
    <hyperlink ref="O194" r:id="rId48" xr:uid="{5CC109A0-D7C2-4462-A75F-31FF79CF8DF8}"/>
    <hyperlink ref="O197" r:id="rId49" xr:uid="{30A22521-3BAF-4A4A-9745-50ECCC461511}"/>
    <hyperlink ref="O198" r:id="rId50" xr:uid="{D22FBA26-DF05-4CAD-9147-176F6A8ED263}"/>
    <hyperlink ref="O139" r:id="rId51" xr:uid="{F4E75856-3E0E-4275-B284-18589F031A51}"/>
    <hyperlink ref="O143" r:id="rId52" xr:uid="{C99D41DA-2CB2-46FC-9E05-93B4BF97B2EF}"/>
    <hyperlink ref="O207" r:id="rId53" xr:uid="{4D8A121B-05D6-4B39-9CA6-8389F48564D2}"/>
    <hyperlink ref="O191" r:id="rId54" xr:uid="{971B7115-99D8-420B-9DB5-398FF17FDACF}"/>
    <hyperlink ref="O199" r:id="rId55" xr:uid="{B7B0DFCF-D90A-4C2D-A1EA-444CC31DF822}"/>
    <hyperlink ref="O208" r:id="rId56" xr:uid="{60F5052D-C7CE-4B63-8572-73B36D485018}"/>
    <hyperlink ref="O211" r:id="rId57" xr:uid="{C92EB6C5-16FE-415F-9709-8721AAEB5673}"/>
    <hyperlink ref="O210" r:id="rId58" xr:uid="{DA6ACC5A-F8A1-43E1-9F1F-C4B61B8770E4}"/>
    <hyperlink ref="O212" r:id="rId59" xr:uid="{089B8E0F-4C5B-45BA-A42D-4323E873DEDB}"/>
    <hyperlink ref="O209" r:id="rId60" xr:uid="{34BC6D68-00E0-437F-915D-666102383D12}"/>
    <hyperlink ref="O206" r:id="rId61" xr:uid="{97FC4E5D-02A1-45B7-B8D0-1B96EF1D0CED}"/>
    <hyperlink ref="O214" r:id="rId62" xr:uid="{7711F260-F130-40C2-9FD8-3CCBF365CC74}"/>
    <hyperlink ref="O215" r:id="rId63" xr:uid="{42CA5F51-F8C7-452E-8D7F-86ACC658B52D}"/>
    <hyperlink ref="O169" r:id="rId64" xr:uid="{284DC70E-2926-46F5-93BE-90766CB48C07}"/>
    <hyperlink ref="O170" r:id="rId65" xr:uid="{CE034F2F-4F77-4F8A-A62B-7FC395DE2BBD}"/>
    <hyperlink ref="O217" r:id="rId66" xr:uid="{EFBD9955-541B-4B16-9C24-E5D85A323CCC}"/>
    <hyperlink ref="O216" r:id="rId67" xr:uid="{8CD75475-1A44-4B44-B92F-10BB250D06FF}"/>
    <hyperlink ref="O52" r:id="rId68" xr:uid="{3EF60F20-E470-48F8-9B90-CE6A7318F163}"/>
    <hyperlink ref="O219" r:id="rId69" xr:uid="{67CB1A2F-1629-422A-847B-BD91D9D45A10}"/>
    <hyperlink ref="O221" r:id="rId70" xr:uid="{A69C02D9-18B0-4B59-B510-F342860D8DA9}"/>
    <hyperlink ref="O220" r:id="rId71" xr:uid="{3355A787-C4A9-4801-8DBF-D63B831A6034}"/>
    <hyperlink ref="O79" r:id="rId72" xr:uid="{776AF2EE-09A9-4676-8FBC-5E5A9DE12349}"/>
    <hyperlink ref="O95" r:id="rId73" xr:uid="{C443BCED-5B9D-44CD-B223-9BF7CC9787D4}"/>
    <hyperlink ref="O203" r:id="rId74" xr:uid="{0FE6C198-2EF5-4982-9F8D-C623C3AF3108}"/>
    <hyperlink ref="O204" r:id="rId75" xr:uid="{DDE448E7-9737-4E1C-B14E-824E7B4DB3A3}"/>
    <hyperlink ref="O96" r:id="rId76" xr:uid="{11A5DCB2-95B5-4375-8E4E-10AB99F21B15}"/>
    <hyperlink ref="O116" r:id="rId77" xr:uid="{4CD1B128-75C6-4F2F-8EFB-4EC63DF73FF9}"/>
    <hyperlink ref="O205" r:id="rId78" xr:uid="{19D832B5-F4A7-433B-B5A6-4248937EE0A6}"/>
    <hyperlink ref="O117" r:id="rId79" xr:uid="{FA5C62D7-3127-4EBC-A3B5-F924429AD111}"/>
    <hyperlink ref="O127" r:id="rId80" xr:uid="{BDFC3B62-A658-4A52-8AA7-78409BA01CB7}"/>
    <hyperlink ref="O92" r:id="rId81" xr:uid="{3709C61D-C5AE-4572-B6A4-F94ACE4B0DEC}"/>
    <hyperlink ref="O57" r:id="rId82" xr:uid="{A428158D-43CA-4E96-82A3-858F239D4958}"/>
    <hyperlink ref="O111" r:id="rId83" xr:uid="{1F1BD4FD-5307-41E2-9CCF-5BFFA1CB28C9}"/>
    <hyperlink ref="O58" r:id="rId84" xr:uid="{60BF8612-AA9D-4610-A9BF-0A95C291D052}"/>
    <hyperlink ref="O56" r:id="rId85" xr:uid="{B709D8DF-CB51-4C03-9413-2CFA41D9E9B4}"/>
    <hyperlink ref="O99" r:id="rId86" xr:uid="{4D33641B-25F8-4245-8AF0-E09D4CAD913A}"/>
    <hyperlink ref="O41" r:id="rId87" xr:uid="{470C8453-F825-4499-AF02-37C4B519D7D8}"/>
    <hyperlink ref="O120" r:id="rId88" xr:uid="{B7E85C2F-BDD5-451F-A342-41366602A275}"/>
    <hyperlink ref="O259" r:id="rId89" xr:uid="{82DEDD1A-9428-419C-BEE5-B1B96903C39E}"/>
    <hyperlink ref="O158" r:id="rId90" xr:uid="{34992BD1-4197-45A0-95EF-36BC6340BB0A}"/>
    <hyperlink ref="O224" r:id="rId91" xr:uid="{31E345BF-CB04-49EC-8398-9CF3010034CE}"/>
    <hyperlink ref="O231" r:id="rId92" xr:uid="{AB42195D-A3BB-4867-BCD4-E20D1E2CA951}"/>
    <hyperlink ref="O53" r:id="rId93" xr:uid="{73EBD0FE-B7CF-4B5B-ACAE-832B16382165}"/>
    <hyperlink ref="O54" r:id="rId94" xr:uid="{CF390C6D-1F7C-4040-802A-3B0B0EBF952C}"/>
    <hyperlink ref="O55" r:id="rId95" xr:uid="{AF0E188A-57CF-4476-86AE-629166225C35}"/>
    <hyperlink ref="O238" r:id="rId96" xr:uid="{914C406E-943D-46EE-A83E-24F84F36CA8A}"/>
    <hyperlink ref="O239" r:id="rId97" xr:uid="{06CDCFE8-8458-4208-A6FE-9842A7A94401}"/>
    <hyperlink ref="O243" r:id="rId98" xr:uid="{A3F1BFCB-A96B-4124-B951-C2CA3E21482B}"/>
    <hyperlink ref="O241" r:id="rId99" xr:uid="{C41775F7-D1F0-41C0-B78D-0AAE8844E35C}"/>
    <hyperlink ref="O247" r:id="rId100" xr:uid="{96053153-D83B-4473-A1F1-4A3B8FDC31AA}"/>
    <hyperlink ref="O240" r:id="rId101" xr:uid="{E1C9AAB7-37E2-4946-94E0-BBFEAE205253}"/>
    <hyperlink ref="O251" r:id="rId102" xr:uid="{7BCD19FA-9243-4F9B-8F73-5E6328152C9C}"/>
    <hyperlink ref="O245" r:id="rId103" xr:uid="{A1E8139C-0994-4B6D-B355-0FD9CC335158}"/>
    <hyperlink ref="O115" r:id="rId104" xr:uid="{89D8EA31-0D45-4DC5-9932-EB2A6D13E8C5}"/>
    <hyperlink ref="O250" r:id="rId105" xr:uid="{AC2D9716-441A-4EF8-B155-03A3008F2BD3}"/>
    <hyperlink ref="O249" r:id="rId106" xr:uid="{3825BA26-EE3F-4ED8-8E2F-FC893CAE27AF}"/>
    <hyperlink ref="O254" r:id="rId107" xr:uid="{C7923F02-EF72-4BB2-8511-19E10D5EA074}"/>
    <hyperlink ref="O255" r:id="rId108" xr:uid="{F3D3956A-1BEF-418D-BC48-09E477E81C41}"/>
    <hyperlink ref="O257" r:id="rId109" xr:uid="{1B9A9D93-4291-4D94-90A4-EA7C45F23354}"/>
    <hyperlink ref="O50" r:id="rId110" xr:uid="{45C56E09-C157-4048-8010-915EB74EF2BF}"/>
    <hyperlink ref="O107" r:id="rId111" xr:uid="{4662ACE7-51DE-48BD-B762-698E02DE5924}"/>
    <hyperlink ref="O94" r:id="rId112" xr:uid="{E81F1BA0-483E-4F29-856F-BA27A3E5EFF5}"/>
    <hyperlink ref="O112" r:id="rId113" xr:uid="{34B3A6FA-E053-4A44-977B-0037B4CBB3AA}"/>
    <hyperlink ref="O68" r:id="rId114" xr:uid="{08322686-EA69-49CA-A3B2-3FD16D932C5D}"/>
    <hyperlink ref="O123" r:id="rId115" xr:uid="{1CB15675-E87D-42AD-A763-BAB29876B6CB}"/>
    <hyperlink ref="O90" r:id="rId116" xr:uid="{47877BBA-E573-4490-8F7C-1228903FBA39}"/>
    <hyperlink ref="O218" r:id="rId117" xr:uid="{33DA02F7-CFB5-44CE-BEAD-413D7709CA97}"/>
    <hyperlink ref="O49" r:id="rId118" xr:uid="{7EC9063D-69A3-4F29-A7B0-74B8290CEA12}"/>
    <hyperlink ref="O85" r:id="rId119" xr:uid="{9C255F81-2153-456C-ACF9-4A3835F01ACF}"/>
    <hyperlink ref="O48" r:id="rId120" xr:uid="{A7C829A9-F6A3-4171-9DC2-CC0A1EB7C877}"/>
    <hyperlink ref="O106" r:id="rId121" xr:uid="{53936F72-3BEA-4071-A438-8A7BD6A1B857}"/>
    <hyperlink ref="O233" r:id="rId122" xr:uid="{D9A626AD-94B9-48CC-966F-291507EC633B}"/>
    <hyperlink ref="O118" r:id="rId123" xr:uid="{BEF7D968-B166-4B1C-BD66-4DD7BE6A0012}"/>
    <hyperlink ref="O258" r:id="rId124" xr:uid="{D9F7462A-47A7-4573-BBB1-9F1485B092EC}"/>
    <hyperlink ref="O171" r:id="rId125" xr:uid="{47737B68-4D3E-4FFF-B469-D084042824D7}"/>
    <hyperlink ref="O261" r:id="rId126" xr:uid="{8FD42545-AE58-4A3D-9F28-41FFE2B20E86}"/>
    <hyperlink ref="O260" r:id="rId127" xr:uid="{59E14326-EB6B-460A-B477-FFD62191DFC5}"/>
    <hyperlink ref="O269" r:id="rId128" xr:uid="{CE046053-40C2-4B2D-9B4F-65E4B557D9AC}"/>
    <hyperlink ref="O268" r:id="rId129" xr:uid="{E9697913-CE50-47AE-90BF-81CCC29E8D1D}"/>
    <hyperlink ref="O288" r:id="rId130" xr:uid="{EBD06948-0524-42D3-B6D9-D392D7187339}"/>
    <hyperlink ref="O275" r:id="rId131" xr:uid="{C7113D03-4156-44ED-9BDE-E01503A91F66}"/>
    <hyperlink ref="O302" r:id="rId132" xr:uid="{3FD9B883-233D-4D0F-9C6C-BE0379297A64}"/>
    <hyperlink ref="O286" r:id="rId133" xr:uid="{FBEE7ECC-BE55-4223-9BC3-F8765D5A101B}"/>
    <hyperlink ref="O284" r:id="rId134" xr:uid="{EC271FEB-1C79-4831-BAAE-236FCAE98BFD}"/>
    <hyperlink ref="O295" r:id="rId135" xr:uid="{00C84A0E-68E7-448D-8A03-602AFBD497DA}"/>
    <hyperlink ref="O285" r:id="rId136" xr:uid="{36C62F47-4B68-4100-B775-49532A3CB8EE}"/>
    <hyperlink ref="O304" r:id="rId137" xr:uid="{23A7E27B-4F45-4F2A-95D5-9A2A10ACC66A}"/>
    <hyperlink ref="O276" r:id="rId138" xr:uid="{F42E3AB6-C4F8-45C7-82F5-0F8D59AC3596}"/>
    <hyperlink ref="O298" r:id="rId139" xr:uid="{49ED945F-8A31-493B-B3CE-010B41CDE3B1}"/>
    <hyperlink ref="O300" r:id="rId140" xr:uid="{FF3799BA-0009-4EDD-95BB-16943669EDD3}"/>
    <hyperlink ref="O297" r:id="rId141" xr:uid="{60207409-3E43-499A-8008-D151B0ECE4E0}"/>
    <hyperlink ref="O292" r:id="rId142" xr:uid="{BB3897A9-20E8-4539-A4A4-5ACE9A995F7D}"/>
    <hyperlink ref="O274" r:id="rId143" xr:uid="{64F88C94-4500-49AE-A167-A073BFA6018A}"/>
    <hyperlink ref="O277" r:id="rId144" xr:uid="{7FE9EEFE-1520-483D-AB24-C8ED070E3A37}"/>
    <hyperlink ref="O294" r:id="rId145" xr:uid="{C39874F1-BE44-408F-BDFA-4288ADE940A1}"/>
    <hyperlink ref="O272" r:id="rId146" xr:uid="{7816D4C6-E483-4CE0-BE75-D54C57AB2492}"/>
    <hyperlink ref="O287" r:id="rId147" xr:uid="{9F232195-38C0-4C2D-A54D-10447F33BED6}"/>
    <hyperlink ref="O299" r:id="rId148" xr:uid="{0523E349-A674-423B-B6AB-045B82B2E643}"/>
    <hyperlink ref="O278" r:id="rId149" xr:uid="{3D8A02DF-B159-486D-92E9-16B5A1F9960B}"/>
    <hyperlink ref="O291" r:id="rId150" xr:uid="{CC8F5317-2078-406A-9063-651B2BBE2DEA}"/>
    <hyperlink ref="O281" r:id="rId151" xr:uid="{165C18A5-6A20-465B-BDE5-91D3B99B1BD7}"/>
    <hyperlink ref="O280" r:id="rId152" xr:uid="{E5F61CCA-1E36-47CF-9E08-C5E4287550FA}"/>
    <hyperlink ref="O301" r:id="rId153" xr:uid="{0D5D0214-BE29-4FE2-8AA1-1B3341F5CC4F}"/>
    <hyperlink ref="O21" r:id="rId154" xr:uid="{585CBF5C-76CA-49C5-94F6-55E2F135059E}"/>
    <hyperlink ref="O22" r:id="rId155" xr:uid="{131CC2C3-1B16-46DE-900E-E1DEECC4927D}"/>
    <hyperlink ref="O306" r:id="rId156" xr:uid="{ECBCDFBE-759D-48BD-ADC4-8480EFF009ED}"/>
    <hyperlink ref="O305" r:id="rId157" xr:uid="{87A33B0D-F857-4B48-8651-C8F287FF5CC6}"/>
    <hyperlink ref="O307" r:id="rId158" xr:uid="{4987D818-EDCF-4352-BD9F-505E54256BC5}"/>
    <hyperlink ref="O82" r:id="rId159" xr:uid="{C3DBACF7-EE15-4E4F-B923-32A35BD1E6A3}"/>
    <hyperlink ref="O293" r:id="rId160" xr:uid="{FA6F074B-8E74-463B-9F21-02813CD7AA12}"/>
    <hyperlink ref="O103" r:id="rId161" xr:uid="{9D0DBF9E-932C-4946-9BF1-2E9E1236B0F4}"/>
    <hyperlink ref="O25" r:id="rId162" xr:uid="{09282305-4108-41C4-936E-D157E46DEE69}"/>
    <hyperlink ref="O273" r:id="rId163" xr:uid="{9F83856C-0F56-4786-804B-E0034071D9C5}"/>
    <hyperlink ref="O266" r:id="rId164" xr:uid="{C7956FE4-1238-4AE2-B8BE-598A31C8D9AD}"/>
    <hyperlink ref="O69" r:id="rId165" xr:uid="{E489EBA0-1B6A-4778-BFC2-75CB761EFBB8}"/>
    <hyperlink ref="O129" r:id="rId166" xr:uid="{101525E0-4557-44B8-B435-2DECBADBA85D}"/>
    <hyperlink ref="O113" r:id="rId167" xr:uid="{0CBAF6EA-4C11-41C0-B328-E21473CEE6EA}"/>
    <hyperlink ref="O23" r:id="rId168" xr:uid="{03C4F9CA-4315-4F6D-80B0-C4EA6CA3B353}"/>
    <hyperlink ref="O40" r:id="rId169" xr:uid="{5665E678-9C4B-4CA7-BD09-661E646FFC17}"/>
    <hyperlink ref="O91" r:id="rId170" xr:uid="{417A4F04-6D1E-4A00-8CF5-D534CCBB3FE3}"/>
    <hyperlink ref="O145" r:id="rId171" xr:uid="{C07E5BBC-817B-4C64-9945-EB7D007F952C}"/>
    <hyperlink ref="O88" r:id="rId172" xr:uid="{58DB1CF2-BADE-4187-9D87-DDE3E6B203DF}"/>
    <hyperlink ref="O81" r:id="rId173" xr:uid="{DA8C6817-1CB1-4AA4-AC30-11C8E6EE2EF2}"/>
    <hyperlink ref="O124" r:id="rId174" xr:uid="{E561710F-9105-4F6A-B577-7F3AEB608904}"/>
    <hyperlink ref="O262" r:id="rId175" xr:uid="{5BBA41BF-568E-4B76-8E60-C843D150C11C}"/>
    <hyperlink ref="O100" r:id="rId176" xr:uid="{E2971987-91A8-4504-8512-2804280DBD8F}"/>
    <hyperlink ref="O73" r:id="rId177" xr:uid="{94FA0086-21DF-4C18-9C37-BA60513FA9F2}"/>
    <hyperlink ref="O303" r:id="rId178" xr:uid="{C4F76E12-B53D-49B4-9A83-953317565E2A}"/>
    <hyperlink ref="O282" r:id="rId179" xr:uid="{CA8F4CBB-0030-49B9-B9CE-765BDAC398A8}"/>
    <hyperlink ref="O222" r:id="rId180" xr:uid="{115D897D-C9B5-4BC9-BDB6-69C74F540C61}"/>
    <hyperlink ref="O102" r:id="rId181" xr:uid="{410935DF-2ACD-4A87-A90E-53CB6E5A3528}"/>
    <hyperlink ref="O70" r:id="rId182" xr:uid="{F0672D18-5E64-4DCF-BF16-E7FEAC406AF6}"/>
    <hyperlink ref="O283" r:id="rId183" xr:uid="{2DB4D12B-C3D5-4EA0-A4C5-A26586144328}"/>
    <hyperlink ref="O76" r:id="rId184" xr:uid="{071B6BDF-49BB-4727-9C19-62FF7A282CC2}"/>
    <hyperlink ref="O26" r:id="rId185" xr:uid="{E146F233-B3C3-4ECD-933A-A3B0FE6EBBFC}"/>
    <hyperlink ref="O93" r:id="rId186" xr:uid="{D7EC959C-641C-4FA6-B610-4A296ECBF389}"/>
    <hyperlink ref="O296" r:id="rId187" xr:uid="{2C033219-0911-49F8-A227-0006616FB729}"/>
    <hyperlink ref="O263" r:id="rId188" xr:uid="{574100E7-0C1A-4B68-BBBB-625F6D9822C8}"/>
    <hyperlink ref="O200" r:id="rId189" xr:uid="{25DFA9CC-0C76-4228-9162-561FDB0E585C}"/>
    <hyperlink ref="O89" r:id="rId190" xr:uid="{7F17379F-0A0D-4026-974A-E0BDB2CE372A}"/>
    <hyperlink ref="O114" r:id="rId191" xr:uid="{1E3819AE-4F81-4ABB-B03C-F2BFFB12F160}"/>
    <hyperlink ref="O30" r:id="rId192" xr:uid="{38153E71-83B3-452F-99A5-6546D82F0C94}"/>
    <hyperlink ref="O271" r:id="rId193" xr:uid="{86624E67-DF15-4F92-A0B7-E9B8BCCD7B44}"/>
    <hyperlink ref="O104" r:id="rId194" xr:uid="{4E0B5FAC-AACC-4B75-A1E3-F7BDA84B4C11}"/>
    <hyperlink ref="O51" r:id="rId195" xr:uid="{5DC943CD-FE7A-4ABE-A9CD-DD61F86A5A60}"/>
    <hyperlink ref="O61" r:id="rId196" xr:uid="{32D65719-D3E1-4986-9D3F-396F8D85751C}"/>
    <hyperlink ref="O67" r:id="rId197" xr:uid="{88BC1E15-E026-4EA9-AD15-FC2667EE7166}"/>
    <hyperlink ref="O64" r:id="rId198" xr:uid="{32A01514-3A70-4E50-A676-035065043E54}"/>
    <hyperlink ref="O20" r:id="rId199" xr:uid="{29DC56A3-54AA-48DC-8C97-F70790467BF4}"/>
    <hyperlink ref="O19" r:id="rId200" xr:uid="{05D55386-EFFC-4B5E-908F-3005745BA029}"/>
    <hyperlink ref="O60" r:id="rId201" xr:uid="{B1F4A37E-6E20-4351-8983-D4D44437841D}"/>
    <hyperlink ref="O265" r:id="rId202" xr:uid="{B7A6A1C2-A950-4312-B867-2BA114A54408}"/>
    <hyperlink ref="O80" r:id="rId203" xr:uid="{2BF74E5C-03F2-40B0-BAE0-98957112E2A5}"/>
    <hyperlink ref="O105" r:id="rId204" xr:uid="{DF9FDADE-6E37-48EC-ADA0-D64119F6ABC9}"/>
    <hyperlink ref="O15" r:id="rId205" xr:uid="{88C184C2-E24A-4207-A0A1-17E5C1E1A52C}"/>
    <hyperlink ref="O71" r:id="rId206" xr:uid="{3AEEBAC3-E7BF-420B-9BDC-EE0F9BF10DAA}"/>
    <hyperlink ref="O65" r:id="rId207" xr:uid="{340539DC-B37F-4362-99AB-8052284FCCEB}"/>
    <hyperlink ref="O149" r:id="rId208" xr:uid="{F4F19290-9C11-4E14-9293-BB295DBB8EC4}"/>
    <hyperlink ref="O232" r:id="rId209" xr:uid="{779490CF-C710-47DE-BC6A-90C13B983DBE}"/>
    <hyperlink ref="O97" r:id="rId210" xr:uid="{E14B4717-DAAC-447D-90FD-099D85FC12AC}"/>
    <hyperlink ref="O267" r:id="rId211" xr:uid="{74FC4212-063F-4D9E-AF2F-A34FB4C42D1C}"/>
    <hyperlink ref="O126" r:id="rId212" xr:uid="{7D4DE23D-A74F-4D1C-AF49-E747E8E0C262}"/>
    <hyperlink ref="O108" r:id="rId213" xr:uid="{5DD6521C-8AA1-42F3-8844-BF6202E5CDFF}"/>
    <hyperlink ref="O6" r:id="rId214" xr:uid="{CD95F125-255E-41EA-BB2A-FE35EC4645EE}"/>
    <hyperlink ref="O101" r:id="rId215" xr:uid="{0BEF6C8E-952F-4796-B0DE-682360DD6143}"/>
    <hyperlink ref="O132" r:id="rId216" xr:uid="{04AF83A9-CDA4-4F1A-B708-E51F422AAC28}"/>
    <hyperlink ref="O59" r:id="rId217" xr:uid="{9066B2D4-1790-41D7-9CE0-616B0D7E3C0C}"/>
    <hyperlink ref="O8" r:id="rId218" xr:uid="{F92AB648-D26C-4446-A68E-D3044384FACF}"/>
    <hyperlink ref="O78" r:id="rId219" xr:uid="{9935D3EB-9C5E-4A9B-8A56-4890D9C5E5DB}"/>
    <hyperlink ref="O75" r:id="rId220" xr:uid="{88CF2331-F6B3-4F81-8984-23BA202C7DF5}"/>
    <hyperlink ref="O134" r:id="rId221" xr:uid="{5A5E1119-D70E-4A3B-8211-8DD4C28C1CAB}"/>
    <hyperlink ref="O264" r:id="rId222" xr:uid="{FF8A84A6-14F5-4A80-A3C4-52C3D66E2435}"/>
    <hyperlink ref="O18" r:id="rId223" xr:uid="{9359BA23-AF74-4C7E-B753-4F600B63FA06}"/>
    <hyperlink ref="O131" r:id="rId224" xr:uid="{BB550B04-AC67-4388-B6EE-1F8BE9A73F6F}"/>
    <hyperlink ref="O3" r:id="rId225" xr:uid="{2629CA11-F256-4F9E-8FCC-674A6F2DA9B2}"/>
    <hyperlink ref="O16" r:id="rId226" xr:uid="{EBA3EBE7-D432-4063-96BA-5E7378BB74D5}"/>
    <hyperlink ref="O46" r:id="rId227" xr:uid="{76ECC902-D245-4B86-8F9E-D01D5A5C9E98}"/>
    <hyperlink ref="O109" r:id="rId228" xr:uid="{5DA45C4B-599F-405C-AE8C-A6F47E22A353}"/>
    <hyperlink ref="O138" r:id="rId229" xr:uid="{AEEDA919-2B94-4CE7-82C4-E47DDCEBE13A}"/>
    <hyperlink ref="O133" r:id="rId230" xr:uid="{24EE746F-1469-475B-AE97-6C8A4E6454D2}"/>
    <hyperlink ref="O62" r:id="rId231" xr:uid="{CA58F3DB-7D74-43A9-8A23-BB9013594047}"/>
    <hyperlink ref="O7" r:id="rId232" xr:uid="{19ADCE7A-35E8-43B1-952F-3DD649EA3563}"/>
    <hyperlink ref="O84" r:id="rId233" xr:uid="{809AC51E-CF56-49FB-A1DE-5F76AA9BCEAC}"/>
    <hyperlink ref="O87" r:id="rId234" xr:uid="{7F09A5CD-EDD5-4445-91F5-4E0CB2060D7B}"/>
    <hyperlink ref="O28" r:id="rId235" xr:uid="{7EB978D0-C7EE-4DE0-997F-B05B0E29CF5E}"/>
    <hyperlink ref="O236" r:id="rId236" xr:uid="{2C71980A-1E93-4474-B926-80F4C7CD5868}"/>
    <hyperlink ref="O83" r:id="rId237" xr:uid="{3AAA14DD-AC91-4B77-BD9B-DD78F3B51BBA}"/>
    <hyperlink ref="O136" r:id="rId238" xr:uid="{39974B7C-D0EE-475C-853F-20BD2AD316D7}"/>
    <hyperlink ref="O35" r:id="rId239" xr:uid="{BC670E7A-22FA-4D37-A10D-9A548308D91B}"/>
    <hyperlink ref="O36" r:id="rId240" xr:uid="{712D1B38-0232-4997-BCA0-171053700684}"/>
    <hyperlink ref="O110" r:id="rId241" xr:uid="{C31E7227-8245-49B1-9CD8-685F36F11863}"/>
    <hyperlink ref="O66" r:id="rId242" xr:uid="{FDEFED4B-F3FC-4C63-980A-678F51E09BFE}"/>
    <hyperlink ref="O4" r:id="rId243" xr:uid="{851EB3D6-0289-4839-ACD1-59EAE2128C58}"/>
    <hyperlink ref="O77" r:id="rId244" xr:uid="{F6D7F0A9-239E-4457-B019-CAD3C33A0FC9}"/>
    <hyperlink ref="O37" r:id="rId245" xr:uid="{FB426C6C-D827-4BCB-B7D2-B2F470E1C0C4}"/>
    <hyperlink ref="O5" r:id="rId246" xr:uid="{1CE99454-BD3A-436F-B104-CA5438AEFE0F}"/>
    <hyperlink ref="O24" r:id="rId247" xr:uid="{B2C39B62-1A2A-4276-B86F-F717F0B5CA35}"/>
    <hyperlink ref="O135" r:id="rId248" xr:uid="{60AD5FEF-6FCF-4F78-81DC-5E01AB3FFEA0}"/>
    <hyperlink ref="O119" r:id="rId249" xr:uid="{77038F4F-878C-444C-B300-0E84EBD653C2}"/>
    <hyperlink ref="O121" r:id="rId250" xr:uid="{15866BA9-2880-430B-B361-01202B0E7BD6}"/>
    <hyperlink ref="O63" r:id="rId251" xr:uid="{28B82A4B-6BA9-4205-8C14-AB183CA0827C}"/>
    <hyperlink ref="O137" r:id="rId252" xr:uid="{EFB8E740-EE4C-40E5-9765-53AA7181B06C}"/>
    <hyperlink ref="O125" r:id="rId253" xr:uid="{D693CB73-5529-4E58-B6B2-9A85A905C2DA}"/>
    <hyperlink ref="O308" r:id="rId254" xr:uid="{CAD95C6A-D2AE-4598-902B-10E0D99ED159}"/>
    <hyperlink ref="O311" r:id="rId255" xr:uid="{866D705A-66B4-4C25-A7CC-A3480217B433}"/>
    <hyperlink ref="O312" r:id="rId256" xr:uid="{4C33856C-FEE0-43A9-8474-91D263D6977A}"/>
    <hyperlink ref="O309" r:id="rId257" xr:uid="{E975A28D-5833-44B3-9172-341F46901BD6}"/>
    <hyperlink ref="O310" r:id="rId258" xr:uid="{5410B7D7-BAE2-40BF-BDA3-0BCD57446E0F}"/>
    <hyperlink ref="O313" r:id="rId259" xr:uid="{C391262E-8307-4124-9BDC-7D17B5C65688}"/>
    <hyperlink ref="O314" r:id="rId260" xr:uid="{66E5319C-958F-4171-9C56-28F0B9AD87D2}"/>
    <hyperlink ref="O315" r:id="rId261" xr:uid="{4B3FE1D5-7330-4B89-971B-C4BF26FF0C67}"/>
    <hyperlink ref="O317" r:id="rId262" xr:uid="{3C3CEE1B-6C18-4AF6-B91C-D1F221F7986B}"/>
    <hyperlink ref="O316" r:id="rId263" xr:uid="{7BB7582F-880A-46C2-AA5A-2CAB27775FED}"/>
    <hyperlink ref="O318" r:id="rId264" xr:uid="{5D3B7B47-D230-488C-A1B4-19479BAFF7F5}"/>
    <hyperlink ref="O320" r:id="rId265" xr:uid="{F5CEB3AE-5D74-4B26-9F9F-8DC78EBC1121}"/>
    <hyperlink ref="O324" r:id="rId266" xr:uid="{0540A382-A739-4BBA-BAB9-B46CE1F151BD}"/>
    <hyperlink ref="O325" r:id="rId267" xr:uid="{FD1C1BAC-9B73-4545-8B98-F08A63A2F170}"/>
    <hyperlink ref="O326" r:id="rId268" xr:uid="{8F422C85-09D8-43DA-807B-3A32838AEE77}"/>
    <hyperlink ref="O328" r:id="rId269" xr:uid="{1B1C1037-D9E7-4E25-8228-BC100D4E3487}"/>
    <hyperlink ref="O329" r:id="rId270" xr:uid="{54D87C3F-8B46-4C80-9142-E03EBCE967CC}"/>
    <hyperlink ref="O330" r:id="rId271" xr:uid="{11A8EE1D-0D76-4EF6-BCF8-722CDBD04D75}"/>
    <hyperlink ref="O331" r:id="rId272" xr:uid="{E8676584-D9F6-4F85-A5EC-D2926D697200}"/>
    <hyperlink ref="O333" r:id="rId273" xr:uid="{C4135BCE-D84B-4A0F-BDF0-CFF8B7564E78}"/>
    <hyperlink ref="O335" r:id="rId274" xr:uid="{3B49F632-DF77-45C9-ACA8-9B97F8E2E7AB}"/>
    <hyperlink ref="O336" r:id="rId275" xr:uid="{B8EEE6D9-A241-4ECD-B7C7-4BCFFAA711A7}"/>
    <hyperlink ref="O337" r:id="rId276" xr:uid="{8AAF146B-EF4E-4350-AB76-1A7FD0B4E0FB}"/>
    <hyperlink ref="O352" r:id="rId277" xr:uid="{09947570-8D83-4604-8FF2-98D3A9FB2FC8}"/>
    <hyperlink ref="O353" r:id="rId278" xr:uid="{3C1A4664-BB4B-4E94-B3C5-201EA987CD7D}"/>
    <hyperlink ref="O354" r:id="rId279" xr:uid="{348C0ACB-10C1-4BBB-8003-CC0DB9132FB4}"/>
    <hyperlink ref="O355" r:id="rId280" xr:uid="{5E080877-0798-4961-84A0-A2CBA6F2FEF8}"/>
    <hyperlink ref="O356" r:id="rId281" xr:uid="{7EF7294D-A162-4FCB-8C1B-F86EB9300FAB}"/>
    <hyperlink ref="O357" r:id="rId282" xr:uid="{F645D0CC-F6B2-4BC2-B08F-9C2066C92D8D}"/>
    <hyperlink ref="O358" r:id="rId283" xr:uid="{068C2C5C-1987-46F1-A803-71B3BC0F7130}"/>
    <hyperlink ref="O359" r:id="rId284" xr:uid="{89C933B4-D04B-4B14-9437-1122DD01AE4D}"/>
    <hyperlink ref="O360" r:id="rId285" xr:uid="{B6AA2B2F-3C05-4B39-A682-4C07F0C51DC2}"/>
    <hyperlink ref="O361" r:id="rId286" xr:uid="{D20CEF9D-A90C-4063-9129-CAF219B10D5A}"/>
    <hyperlink ref="O362" r:id="rId287" xr:uid="{3A9ACF9D-3042-41B8-89A0-B7E9C72A8354}"/>
    <hyperlink ref="O363" r:id="rId288" xr:uid="{BF35E782-258B-42AE-9F7A-A1071B933926}"/>
    <hyperlink ref="O364" r:id="rId289" xr:uid="{6B83B194-2F9B-40CC-A669-913F75A9BFA6}"/>
    <hyperlink ref="O365" r:id="rId290" xr:uid="{E4B2B8C5-C7A6-4CB9-9F56-286C19D4973F}"/>
    <hyperlink ref="O367" r:id="rId291" xr:uid="{D86B66DB-62D0-42C1-B172-D4B803CD9054}"/>
    <hyperlink ref="O368" r:id="rId292" xr:uid="{239907BE-FB74-4A35-B90B-4F0DE7E29056}"/>
    <hyperlink ref="O370" r:id="rId293" xr:uid="{1AF89B83-8AF9-4A54-ACC9-3F47E5F4CF34}"/>
    <hyperlink ref="O372" r:id="rId294" xr:uid="{D844DD26-8A02-43AC-AB1C-BA191AD07E5A}"/>
    <hyperlink ref="O373" r:id="rId295" xr:uid="{266F1065-DE0B-4254-AB4A-4BA11A6B31CE}"/>
    <hyperlink ref="O375" r:id="rId296" xr:uid="{362E295F-C501-49CA-9D46-9AC3CF7BA52A}"/>
    <hyperlink ref="O321" r:id="rId297" xr:uid="{B0689678-19E4-45C0-97FD-8A07D6BB84F9}"/>
    <hyperlink ref="O376" r:id="rId298" xr:uid="{DAC36121-426A-4723-88C0-D9E88D3FC4B9}"/>
    <hyperlink ref="O377" r:id="rId299" xr:uid="{DFABA935-4F18-4BBE-B30C-CFF4CBCEFBA9}"/>
    <hyperlink ref="O542" r:id="rId300" xr:uid="{9FDF6029-4B3F-4A82-A1E2-BDD464D954B4}"/>
    <hyperlink ref="O381" r:id="rId301" xr:uid="{BE0696CF-1965-4C7D-8068-0933B3E208D0}"/>
    <hyperlink ref="O382" r:id="rId302" xr:uid="{E3C7C0D1-CF09-4C70-B069-E91B5505B801}"/>
    <hyperlink ref="O383" r:id="rId303" xr:uid="{4C1850D8-48F8-49FB-8DCA-95413ADD54FA}"/>
    <hyperlink ref="O384" r:id="rId304" xr:uid="{3C1384A5-14E9-416B-BB91-6A010C88FDEB}"/>
    <hyperlink ref="O385" r:id="rId305" xr:uid="{E039C9C0-5E90-4BB6-B258-9514C192133A}"/>
    <hyperlink ref="O393" r:id="rId306" xr:uid="{03D9EAC3-6085-47FF-9D81-DAFD9820D736}"/>
    <hyperlink ref="O388" r:id="rId307" xr:uid="{EBADBC0D-8BF9-4965-ACCE-C5B3FC1EC040}"/>
    <hyperlink ref="O395" r:id="rId308" xr:uid="{1B5DBDD0-DC1B-4ECE-8739-DA4F6429FC4A}"/>
    <hyperlink ref="O396" r:id="rId309" xr:uid="{8C236D11-F9EF-4251-ABB2-AE7B2C40A8F1}"/>
    <hyperlink ref="O397" r:id="rId310" xr:uid="{4996F1BE-3FB6-45AD-B801-52F5570CDA99}"/>
    <hyperlink ref="O398" r:id="rId311" xr:uid="{A5E8CFFA-C2BE-4496-9E1B-2E4B461573AB}"/>
    <hyperlink ref="O399" r:id="rId312" xr:uid="{E9976D1C-724B-451B-9809-E6E33BB89C40}"/>
    <hyperlink ref="O400" r:id="rId313" xr:uid="{BFB3FF6A-A4C7-40F9-A9E7-0A75789BBB85}"/>
    <hyperlink ref="O401" r:id="rId314" xr:uid="{27B3575D-E357-44AA-B4CA-E2E3BC6E180D}"/>
    <hyperlink ref="O402" r:id="rId315" xr:uid="{D2871581-EFFD-49C5-B2AC-422CEAF1B73D}"/>
    <hyperlink ref="O403" r:id="rId316" xr:uid="{A1371B53-5D28-447C-AA53-F6B3DC7D222A}"/>
    <hyperlink ref="O406" r:id="rId317" xr:uid="{6703884A-95DE-4F91-8654-0D9F867692C1}"/>
    <hyperlink ref="O405" r:id="rId318" xr:uid="{60C92B86-8A33-407F-88BB-D458B125FF26}"/>
    <hyperlink ref="O408" r:id="rId319" xr:uid="{7C51EB93-C591-4CE5-AE1F-4D700FC7CEE2}"/>
    <hyperlink ref="O409" r:id="rId320" xr:uid="{FF36A1A8-FF05-4BFC-AD1A-2B9CF5C50C21}"/>
    <hyperlink ref="O407" r:id="rId321" xr:uid="{8FB2A84F-47D5-4D18-9110-7816C3C00B2F}"/>
    <hyperlink ref="O410" r:id="rId322" xr:uid="{DCDDA97A-B60A-41F8-8412-0F0935F85A40}"/>
    <hyperlink ref="O411" r:id="rId323" xr:uid="{23084DA0-01EA-4DC5-9C11-1F7740FEFFFE}"/>
    <hyperlink ref="O412" r:id="rId324" xr:uid="{CB39C683-BDD6-4EC1-9613-FFD7B0017B24}"/>
    <hyperlink ref="O413" r:id="rId325" xr:uid="{36591743-FF7B-418B-9198-9DE59AC0CF4B}"/>
    <hyperlink ref="O414" r:id="rId326" xr:uid="{90CB858B-3A81-4E29-8E5B-B9256002129C}"/>
    <hyperlink ref="O422" r:id="rId327" xr:uid="{FF46CC84-7199-440C-A269-ADB3DB8B408F}"/>
    <hyperlink ref="O423" r:id="rId328" xr:uid="{711F5272-5A21-4C70-8A62-C232858D8153}"/>
    <hyperlink ref="O338" r:id="rId329" xr:uid="{C9EF8964-2554-4D2B-9D78-6DF88DAAFD01}"/>
    <hyperlink ref="O428" r:id="rId330" xr:uid="{B7AE2508-7E21-4E3D-A4BB-5E6DC7E614AC}"/>
    <hyperlink ref="O430" r:id="rId331" xr:uid="{DBB2AEA1-334E-49C9-AF0E-8743A71EBF68}"/>
    <hyperlink ref="O432" r:id="rId332" xr:uid="{71CF663D-E84B-4D30-86D9-07BECBA57757}"/>
    <hyperlink ref="O431" r:id="rId333" xr:uid="{9705AB20-045E-408C-9A40-7781487CBB14}"/>
    <hyperlink ref="O433" r:id="rId334" xr:uid="{E9092684-84EE-4DBB-85E9-831363BC67F4}"/>
    <hyperlink ref="O434" r:id="rId335" xr:uid="{54F07E28-18F2-4142-B3F6-33E5C7D8BF65}"/>
    <hyperlink ref="O279" r:id="rId336" xr:uid="{2AAB63B1-FA35-430B-BA24-ADEF3D1ADBE1}"/>
    <hyperlink ref="O429" r:id="rId337" xr:uid="{354FE276-902D-4E03-85A7-B54BC55BCC1D}"/>
    <hyperlink ref="O435" r:id="rId338" xr:uid="{285051EB-F262-48AD-A7EE-05EA0CE9A056}"/>
    <hyperlink ref="O436" r:id="rId339" xr:uid="{EC641813-A0C8-4CC4-ADF5-196BCB6F9DFC}"/>
    <hyperlink ref="O437" r:id="rId340" xr:uid="{1FA2789E-AC4A-40C5-BFED-31367F92A7B3}"/>
    <hyperlink ref="O438" r:id="rId341" xr:uid="{9267E3FA-86D6-4D3F-BB6E-B14564DE04DA}"/>
    <hyperlink ref="O439" r:id="rId342" xr:uid="{43EDA80C-976E-48A1-9D3D-F47BE57DD764}"/>
    <hyperlink ref="O440" r:id="rId343" xr:uid="{B1612827-D327-4043-B41F-A96ABEC84F64}"/>
    <hyperlink ref="O441" r:id="rId344" xr:uid="{78078AA0-46FF-4D48-A63F-108A53DDEB5D}"/>
    <hyperlink ref="O442" r:id="rId345" xr:uid="{9F044E17-628B-4659-84C7-9FE675EC7E0D}"/>
    <hyperlink ref="O444" r:id="rId346" xr:uid="{5944729B-70CF-4D3D-9A65-97E08F67D7A4}"/>
    <hyperlink ref="O443" r:id="rId347" xr:uid="{B6AD7521-06AB-48BB-B575-CAE163AC7F2F}"/>
    <hyperlink ref="O418" r:id="rId348" xr:uid="{84F71102-AC48-45CF-BBDF-8825D4A3E5BE}"/>
    <hyperlink ref="O445" r:id="rId349" xr:uid="{CEC72484-A04C-42A8-8F8E-081B0C58C9DC}"/>
    <hyperlink ref="O446" r:id="rId350" xr:uid="{CDAAD1C0-1D6D-4848-8BB9-CB6C1F3138B7}"/>
    <hyperlink ref="O541" r:id="rId351" xr:uid="{46DE7123-01DF-4293-BAA3-1E98E9E2D532}"/>
    <hyperlink ref="O452" r:id="rId352" xr:uid="{BD316841-3B0B-41C0-8664-2C5A011A7E09}"/>
    <hyperlink ref="O454" r:id="rId353" xr:uid="{69FAEFA6-2F06-4BD7-A84F-B5CCE6E445FE}"/>
    <hyperlink ref="O453" r:id="rId354" xr:uid="{1F23926F-1B2D-4AC3-959A-D670E52DA3DA}"/>
    <hyperlink ref="O461" r:id="rId355" xr:uid="{322B882D-149E-4874-B1C5-C0F5FEB7A3EA}"/>
    <hyperlink ref="O462" r:id="rId356" xr:uid="{E47B69A1-2857-4A3E-8312-EB8C9529D0E8}"/>
    <hyperlink ref="O468" r:id="rId357" xr:uid="{C2C2DA42-953B-4801-8637-2415C4F1D924}"/>
    <hyperlink ref="O464" r:id="rId358" xr:uid="{518F136A-9AAD-4A2F-A176-98AC927FD363}"/>
    <hyperlink ref="O465" r:id="rId359" xr:uid="{F43E800D-1D02-435F-9107-3FB62DB5FADE}"/>
    <hyperlink ref="O467" r:id="rId360" xr:uid="{C9ED8888-42B8-43A5-8E90-DF0D7E3992E6}"/>
    <hyperlink ref="O469" r:id="rId361" xr:uid="{6E048061-3A5A-41CA-B0AB-4E74EABADDFD}"/>
    <hyperlink ref="O471" r:id="rId362" xr:uid="{7FB6433A-731F-420F-BCA2-B066603D5C72}"/>
    <hyperlink ref="O473" r:id="rId363" xr:uid="{23BA85E7-6673-4BEF-8277-CEA5CC23DD58}"/>
    <hyperlink ref="O474" r:id="rId364" xr:uid="{1C94D837-70A6-411B-9FE9-B019AF5AF788}"/>
    <hyperlink ref="O475" r:id="rId365" xr:uid="{1AED0B33-C059-4C70-AD90-F2EDE1A9E311}"/>
    <hyperlink ref="O476" r:id="rId366" xr:uid="{271F6AA4-5D89-48AF-976C-C3019B7ADB56}"/>
  </hyperlinks>
  <pageMargins left="0.7" right="0.7" top="0.75" bottom="0.75" header="0.3" footer="0.3"/>
  <pageSetup paperSize="5" scale="57" orientation="landscape" r:id="rId367"/>
  <drawing r:id="rId368"/>
  <tableParts count="1">
    <tablePart r:id="rId369"/>
  </tableParts>
  <extLst>
    <ext xmlns:x14="http://schemas.microsoft.com/office/spreadsheetml/2009/9/main" uri="{CCE6A557-97BC-4b89-ADB6-D9C93CAAB3DF}">
      <x14:dataValidations xmlns:xm="http://schemas.microsoft.com/office/excel/2006/main" count="12">
        <x14:dataValidation type="list" allowBlank="1" showInputMessage="1" showErrorMessage="1" xr:uid="{7867652B-9734-E04A-A5C5-0BFE1FDFA507}">
          <x14:formula1>
            <xm:f>'validador '!$E$1:$E$60</xm:f>
          </x14:formula1>
          <xm:sqref>AB152:AB153 AB158 AB3:AB20 AB310:AB312 AB22:AB148</xm:sqref>
        </x14:dataValidation>
        <x14:dataValidation type="list" allowBlank="1" showInputMessage="1" showErrorMessage="1" xr:uid="{00D499F6-29B0-974E-9747-EBE44FF86C25}">
          <x14:formula1>
            <xm:f>'validador '!$A$23:$A$24</xm:f>
          </x14:formula1>
          <xm:sqref>AH3:AH20 L340:M340 L3:L339 L341:L429 L431:L437 AH22:AH437 AH448:AH543 L439:L446 AH439:AH446 L448:L543</xm:sqref>
        </x14:dataValidation>
        <x14:dataValidation type="list" allowBlank="1" showInputMessage="1" showErrorMessage="1" xr:uid="{FA5BED34-F2EE-E141-9D92-EA7E36F74F09}">
          <x14:formula1>
            <xm:f>'validador '!$A$1:$A$9</xm:f>
          </x14:formula1>
          <xm:sqref>F3:F317 F319:F429 F431:F437 F439:F446 F448:F543</xm:sqref>
        </x14:dataValidation>
        <x14:dataValidation type="list" allowBlank="1" showErrorMessage="1" xr:uid="{996EDA96-0180-3444-8626-418F49BAA295}">
          <x14:formula1>
            <xm:f>'validador '!$A$30:$A$33</xm:f>
          </x14:formula1>
          <xm:sqref>AQ3:AQ15</xm:sqref>
        </x14:dataValidation>
        <x14:dataValidation type="list" allowBlank="1" showInputMessage="1" showErrorMessage="1" xr:uid="{62B01189-0EA1-7249-9088-6598D96B127C}">
          <x14:formula1>
            <xm:f>'validador '!$D$1:$D$31</xm:f>
          </x14:formula1>
          <xm:sqref>R3:R429 R431:R437 R439:R543</xm:sqref>
        </x14:dataValidation>
        <x14:dataValidation type="list" allowBlank="1" showInputMessage="1" showErrorMessage="1" xr:uid="{F76BE932-87C4-B541-9C7E-AB9273CFEA0C}">
          <x14:formula1>
            <xm:f>'validador '!$B$1:$B$10</xm:f>
          </x14:formula1>
          <xm:sqref>D3:D437 D439:D446 D448:D543</xm:sqref>
        </x14:dataValidation>
        <x14:dataValidation type="list" allowBlank="1" showInputMessage="1" showErrorMessage="1" xr:uid="{36E7A564-B585-FC49-B7EA-D1827DCB8078}">
          <x14:formula1>
            <xm:f>'validador '!$A$13:$A$15</xm:f>
          </x14:formula1>
          <xm:sqref>G3:G429 G431:G437 G439:G543</xm:sqref>
        </x14:dataValidation>
        <x14:dataValidation type="list" allowBlank="1" showInputMessage="1" showErrorMessage="1" xr:uid="{2D2EC3F0-92A0-1C4A-BF6F-79D3612AD983}">
          <x14:formula1>
            <xm:f>'validador '!$A$19:$A$21</xm:f>
          </x14:formula1>
          <xm:sqref>J3:J429 J431:J437 J439:J543</xm:sqref>
        </x14:dataValidation>
        <x14:dataValidation type="list" allowBlank="1" showInputMessage="1" showErrorMessage="1" xr:uid="{A905BCF2-BE0C-E648-9E8D-1B931FA2D7CE}">
          <x14:formula1>
            <xm:f>'validador '!$A$26:$A$27</xm:f>
          </x14:formula1>
          <xm:sqref>AG3:AG429 AG431:AG437 AG439:AG543</xm:sqref>
        </x14:dataValidation>
        <x14:dataValidation type="list" allowBlank="1" showErrorMessage="1" xr:uid="{A496A2CD-A331-4B7E-BDB2-E1E2007733E4}">
          <x14:formula1>
            <xm:f>'validador '!$A$30:$A$35</xm:f>
          </x14:formula1>
          <xm:sqref>AQ16:AQ543</xm:sqref>
        </x14:dataValidation>
        <x14:dataValidation type="list" allowBlank="1" showInputMessage="1" showErrorMessage="1" xr:uid="{0D861E45-6084-4E3D-A222-5A4A73D0172C}">
          <x14:formula1>
            <xm:f>'validador '!$A$38:$A$43</xm:f>
          </x14:formula1>
          <xm:sqref>AD3:AD408 AD410:AD429 AD431:AD437 AD439:AD447 AD467 AD460 AD452:AD458 AD462:AD465 AD469:AD543</xm:sqref>
        </x14:dataValidation>
        <x14:dataValidation type="list" allowBlank="1" showInputMessage="1" showErrorMessage="1" xr:uid="{1B3BB1EF-9BAD-47AD-A090-65C78B059394}">
          <x14:formula1>
            <xm:f>Empleadores!$B$3:$B$55</xm:f>
          </x14:formula1>
          <xm:sqref>AE3:AE546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2CA7C-B79D-AB43-A2FA-C59F0F4C5D6C}">
  <sheetPr codeName="Hoja4"/>
  <dimension ref="B1:I39"/>
  <sheetViews>
    <sheetView showGridLines="0" zoomScale="87" zoomScaleNormal="87" workbookViewId="0"/>
  </sheetViews>
  <sheetFormatPr baseColWidth="10" defaultColWidth="11" defaultRowHeight="15.75" x14ac:dyDescent="0.25"/>
  <cols>
    <col min="2" max="2" width="50.625" customWidth="1"/>
    <col min="3" max="3" width="52.375" customWidth="1"/>
    <col min="4" max="4" width="4.125" customWidth="1"/>
    <col min="5" max="5" width="23.625" customWidth="1"/>
  </cols>
  <sheetData>
    <row r="1" spans="2:5" x14ac:dyDescent="0.25">
      <c r="E1" s="4" t="s">
        <v>2430</v>
      </c>
    </row>
    <row r="2" spans="2:5" ht="16.5" thickBot="1" x14ac:dyDescent="0.3">
      <c r="E2" s="4" t="s">
        <v>2431</v>
      </c>
    </row>
    <row r="3" spans="2:5" ht="32.25" thickBot="1" x14ac:dyDescent="0.3">
      <c r="B3" s="329" t="s">
        <v>2432</v>
      </c>
      <c r="C3" s="329" t="s">
        <v>0</v>
      </c>
      <c r="E3" s="174" t="str">
        <f>HYPERLINK("https://web.whatsapp.com/send?phone="&amp;C27&amp;"&amp;text="&amp;E1,"Enviar mensaje al trabajador")</f>
        <v>Enviar mensaje al trabajador</v>
      </c>
    </row>
    <row r="4" spans="2:5" x14ac:dyDescent="0.25">
      <c r="B4" s="60">
        <v>457</v>
      </c>
      <c r="C4" s="169" t="str">
        <f>VLOOKUP($B$4,Tabla1[#All],31,FALSE)</f>
        <v>Valencia Echeverry S.A.S.</v>
      </c>
      <c r="E4" s="175" t="str">
        <f>HYPERLINK("https://web.whatsapp.com/send?phone="&amp;C27&amp;"&amp;text="&amp;E1,"Enviar mensaje al empleador")</f>
        <v>Enviar mensaje al empleador</v>
      </c>
    </row>
    <row r="5" spans="2:5" x14ac:dyDescent="0.25">
      <c r="B5" s="38"/>
      <c r="C5" s="38"/>
      <c r="E5" s="38"/>
    </row>
    <row r="6" spans="2:5" x14ac:dyDescent="0.25">
      <c r="B6" s="326" t="s">
        <v>16</v>
      </c>
      <c r="C6" s="323" t="str">
        <f>VLOOKUP($B$4,Tabla1[#All],2,FALSE)</f>
        <v>Cristian Camilo</v>
      </c>
      <c r="E6" s="38"/>
    </row>
    <row r="7" spans="2:5" x14ac:dyDescent="0.25">
      <c r="B7" s="327" t="s">
        <v>96</v>
      </c>
      <c r="C7" s="169" t="str">
        <f>VLOOKUP($B$4,Tabla1[#All],3,FALSE)</f>
        <v>Rincón Giraldo</v>
      </c>
      <c r="E7" s="38"/>
    </row>
    <row r="8" spans="2:5" x14ac:dyDescent="0.25">
      <c r="B8" s="326" t="s">
        <v>97</v>
      </c>
      <c r="C8" s="323" t="str">
        <f>VLOOKUP($B$4,Tabla1[#All],4,FALSE)</f>
        <v>Cédula de ciudadanía</v>
      </c>
      <c r="E8" s="38"/>
    </row>
    <row r="9" spans="2:5" x14ac:dyDescent="0.25">
      <c r="B9" s="327" t="s">
        <v>98</v>
      </c>
      <c r="C9" s="170">
        <f>VLOOKUP($B$4,Tabla1[#All],5,FALSE)</f>
        <v>1010085659</v>
      </c>
    </row>
    <row r="10" spans="2:5" x14ac:dyDescent="0.25">
      <c r="B10" s="326" t="s">
        <v>99</v>
      </c>
      <c r="C10" s="323" t="str">
        <f>VLOOKUP($B$4,Tabla1[#All],6,FALSE)</f>
        <v>Aprendiz sena etapa productiva</v>
      </c>
    </row>
    <row r="11" spans="2:5" x14ac:dyDescent="0.25">
      <c r="B11" s="327" t="s">
        <v>100</v>
      </c>
      <c r="C11" s="169" t="str">
        <f>VLOOKUP($B$4,Tabla1[#All],7,FALSE)</f>
        <v>Término fijo</v>
      </c>
    </row>
    <row r="12" spans="2:5" x14ac:dyDescent="0.25">
      <c r="B12" s="326" t="s">
        <v>2433</v>
      </c>
      <c r="C12" s="323" t="str">
        <f>VLOOKUP($B$4,Tabla1[#All],32,FALSE)</f>
        <v>Hombre</v>
      </c>
    </row>
    <row r="13" spans="2:5" x14ac:dyDescent="0.25">
      <c r="B13" s="327" t="s">
        <v>40</v>
      </c>
      <c r="C13" s="171">
        <f>VLOOKUP($B$4,Tabla1[#All],8,FALSE)</f>
        <v>45401</v>
      </c>
    </row>
    <row r="14" spans="2:5" x14ac:dyDescent="0.25">
      <c r="B14" s="326" t="s">
        <v>101</v>
      </c>
      <c r="C14" s="324">
        <f>IF(ISBLANK(VLOOKUP($B$4, Tabla1[#All], 9, FALSE)), "No aplica", VLOOKUP($B$4, Tabla1[#All], 9, FALSE))</f>
        <v>45583</v>
      </c>
    </row>
    <row r="15" spans="2:5" x14ac:dyDescent="0.25">
      <c r="B15" s="327" t="s">
        <v>102</v>
      </c>
      <c r="C15" s="169" t="str">
        <f>VLOOKUP($B$4,Tabla1[#All],10,FALSE)</f>
        <v>Mensual</v>
      </c>
    </row>
    <row r="16" spans="2:5" x14ac:dyDescent="0.25">
      <c r="B16" s="326" t="s">
        <v>103</v>
      </c>
      <c r="C16" s="325">
        <f>VLOOKUP($B$4,Tabla1[#All],11,FALSE)</f>
        <v>975000</v>
      </c>
    </row>
    <row r="17" spans="2:9" x14ac:dyDescent="0.25">
      <c r="B17" s="327" t="s">
        <v>104</v>
      </c>
      <c r="C17" s="169" t="str">
        <f>VLOOKUP($B$4,Tabla1[#All],12,FALSE)</f>
        <v>Si</v>
      </c>
    </row>
    <row r="18" spans="2:9" x14ac:dyDescent="0.25">
      <c r="B18" s="326" t="s">
        <v>2434</v>
      </c>
      <c r="C18" s="323" t="str">
        <f>IF(ISBLANK(VLOOKUP($B$4, Tabla1[#All], 34, FALSE)), "No aplica", VLOOKUP($B$4, Tabla1[#All], 34, FALSE))</f>
        <v>No</v>
      </c>
    </row>
    <row r="19" spans="2:9" x14ac:dyDescent="0.25">
      <c r="B19" s="327" t="s">
        <v>126</v>
      </c>
      <c r="C19" s="172" t="str">
        <f>IF(ISBLANK(VLOOKUP($B$4, Tabla1[#All], 35, FALSE)), "No aplica", VLOOKUP($B$4, Tabla1[#All], 35, FALSE))</f>
        <v>No aplica</v>
      </c>
    </row>
    <row r="20" spans="2:9" x14ac:dyDescent="0.25">
      <c r="B20" s="326" t="s">
        <v>107</v>
      </c>
      <c r="C20" s="323" t="str">
        <f>VLOOKUP($B$4,Tabla1[#All],15,FALSE)</f>
        <v>cristianrincongiraldo@gmail.com</v>
      </c>
      <c r="I20" t="s">
        <v>2435</v>
      </c>
    </row>
    <row r="21" spans="2:9" x14ac:dyDescent="0.25">
      <c r="B21" s="327" t="s">
        <v>109</v>
      </c>
      <c r="C21" s="169" t="str">
        <f>VLOOKUP($B$4,Tabla1[#All],17,FALSE)</f>
        <v>Transferencia Bancaria</v>
      </c>
    </row>
    <row r="22" spans="2:9" x14ac:dyDescent="0.25">
      <c r="B22" s="326" t="s">
        <v>110</v>
      </c>
      <c r="C22" s="323" t="str">
        <f>IF(C21="Transferencia Bancaria",VLOOKUP($B$4, Tabla1[#All], 18, FALSE),"No aplica")</f>
        <v>Nequi</v>
      </c>
    </row>
    <row r="23" spans="2:9" x14ac:dyDescent="0.25">
      <c r="B23" s="327" t="s">
        <v>111</v>
      </c>
      <c r="C23" s="169" t="str">
        <f>IF(C21="Transferencia Bancaria",VLOOKUP($B$4, Tabla1[#All], 19, FALSE),"No aplica")</f>
        <v>Cuenta de Ahorros</v>
      </c>
    </row>
    <row r="24" spans="2:9" x14ac:dyDescent="0.25">
      <c r="B24" s="326" t="s">
        <v>112</v>
      </c>
      <c r="C24" s="328">
        <f>IF(C21="Transferencia Bancaria",VLOOKUP($B$4, Tabla1[#All], 20, FALSE),"No aplica")</f>
        <v>3106427643</v>
      </c>
    </row>
    <row r="25" spans="2:9" x14ac:dyDescent="0.25">
      <c r="B25" s="327" t="s">
        <v>113</v>
      </c>
      <c r="C25" s="171">
        <f>VLOOKUP($B$4,Tabla1[#All],21,FALSE)</f>
        <v>37513</v>
      </c>
    </row>
    <row r="26" spans="2:9" x14ac:dyDescent="0.25">
      <c r="B26" s="326" t="s">
        <v>114</v>
      </c>
      <c r="C26" s="323" t="str">
        <f>VLOOKUP($B$4,Tabla1[#All],22,FALSE)</f>
        <v>Barrio Cooperativo Manzana H Casa 6</v>
      </c>
    </row>
    <row r="27" spans="2:9" x14ac:dyDescent="0.25">
      <c r="B27" s="327" t="s">
        <v>115</v>
      </c>
      <c r="C27" s="173">
        <f>VLOOKUP($B$4,Tabla1[#All],23,FALSE)</f>
        <v>3234816480</v>
      </c>
    </row>
    <row r="28" spans="2:9" x14ac:dyDescent="0.25">
      <c r="B28" s="326" t="s">
        <v>116</v>
      </c>
      <c r="C28" s="323" t="str">
        <f>VLOOKUP($B$4,Tabla1[#All],24,FALSE)</f>
        <v>Restaurante El Solar</v>
      </c>
    </row>
    <row r="29" spans="2:9" x14ac:dyDescent="0.25">
      <c r="B29" s="327" t="s">
        <v>118</v>
      </c>
      <c r="C29" s="169" t="str">
        <f>VLOOKUP($B$4,Tabla1[#All],26,FALSE)</f>
        <v>Aprendiz</v>
      </c>
    </row>
    <row r="30" spans="2:9" x14ac:dyDescent="0.25">
      <c r="B30" s="326" t="s">
        <v>120</v>
      </c>
      <c r="C30" s="323" t="str">
        <f>VLOOKUP($B$4,Tabla1[#All],28,FALSE)</f>
        <v>EPS Sura</v>
      </c>
    </row>
    <row r="31" spans="2:9" x14ac:dyDescent="0.25">
      <c r="B31" s="327" t="s">
        <v>121</v>
      </c>
      <c r="C31" s="169">
        <f>VLOOKUP($B$4,Tabla1[#All],29,FALSE)</f>
        <v>0</v>
      </c>
    </row>
    <row r="32" spans="2:9" x14ac:dyDescent="0.25">
      <c r="B32" s="326" t="s">
        <v>122</v>
      </c>
      <c r="C32" s="323">
        <f>VLOOKUP($B$4,Tabla1[#All],30,FALSE)</f>
        <v>0</v>
      </c>
    </row>
    <row r="33" spans="2:3" x14ac:dyDescent="0.25">
      <c r="B33" s="327" t="s">
        <v>2436</v>
      </c>
      <c r="C33" s="169" t="str">
        <f>IF(ISBLANK(VLOOKUP($B$4,Tabla1[#All],36,FALSE)),"",VLOOKUP($B$4,Tabla1[#All],36,FALSE))</f>
        <v/>
      </c>
    </row>
    <row r="34" spans="2:3" x14ac:dyDescent="0.25">
      <c r="B34" s="326" t="s">
        <v>2437</v>
      </c>
      <c r="C34" s="323" t="str">
        <f>IF(C33="","",IF(ISBLANK(VLOOKUP($B$4,Tabla1[#All],37,FALSE)),"Pendiente",VLOOKUP($B$4,Tabla1[#All],37,FALSE)))</f>
        <v/>
      </c>
    </row>
    <row r="35" spans="2:3" x14ac:dyDescent="0.25">
      <c r="B35" s="327" t="s">
        <v>2438</v>
      </c>
      <c r="C35" s="169" t="str">
        <f>IF(C33="","",IF(ISBLANK(VLOOKUP($B$4,Tabla1[#All],38,FALSE)),"Pendiente",VLOOKUP($B$4,Tabla1[#All],38,FALSE)))</f>
        <v/>
      </c>
    </row>
    <row r="36" spans="2:3" x14ac:dyDescent="0.25">
      <c r="B36" s="326" t="s">
        <v>2439</v>
      </c>
      <c r="C36" s="323" t="str">
        <f>IF(ISBLANK(VLOOKUP($B$4,Tabla1[#All],39,FALSE)),"",VLOOKUP($B$4,Tabla1[#All],39,FALSE))</f>
        <v/>
      </c>
    </row>
    <row r="37" spans="2:3" x14ac:dyDescent="0.25">
      <c r="B37" s="327" t="s">
        <v>2437</v>
      </c>
      <c r="C37" s="169" t="str">
        <f>IF(C36="","",IF(ISBLANK(VLOOKUP($B$4,Tabla1[#All],40,FALSE)),"Pendiente",VLOOKUP($B$4,Tabla1[#All],40,FALSE)))</f>
        <v/>
      </c>
    </row>
    <row r="38" spans="2:3" x14ac:dyDescent="0.25">
      <c r="B38" s="326" t="s">
        <v>2438</v>
      </c>
      <c r="C38" s="323" t="str">
        <f>IF(C36="","",IF(ISBLANK(VLOOKUP($B$4,Tabla1[#All],41,FALSE)),"Pendiente",VLOOKUP($B$4,Tabla1[#All],41,FALSE)))</f>
        <v/>
      </c>
    </row>
    <row r="39" spans="2:3" ht="45.75" customHeight="1" x14ac:dyDescent="0.25">
      <c r="B39" s="534" t="str">
        <f ca="1">CONCATENATE("Enviado a través de Whatsapp el día ",TEXT(TODAY(),"dddd dd mmmm yyyy"))</f>
        <v>Enviado a través de Whatsapp el día lunes 17 junio 2024</v>
      </c>
      <c r="C39" s="535"/>
    </row>
  </sheetData>
  <mergeCells count="1">
    <mergeCell ref="B39:C39"/>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518A3-B474-4EC5-868A-3819D9D1DB78}">
  <sheetPr codeName="Hoja5"/>
  <dimension ref="B3:N131"/>
  <sheetViews>
    <sheetView zoomScale="90" zoomScaleNormal="90" workbookViewId="0"/>
  </sheetViews>
  <sheetFormatPr baseColWidth="10" defaultColWidth="11" defaultRowHeight="15.75" x14ac:dyDescent="0.25"/>
  <cols>
    <col min="2" max="2" width="8.875" customWidth="1"/>
    <col min="3" max="3" width="8.375" customWidth="1"/>
    <col min="4" max="5" width="21.875" customWidth="1"/>
    <col min="6" max="6" width="28.375" customWidth="1"/>
    <col min="7" max="7" width="21.125" customWidth="1"/>
    <col min="8" max="8" width="32.25" customWidth="1"/>
    <col min="9" max="9" width="14" customWidth="1"/>
    <col min="10" max="10" width="46.25" bestFit="1" customWidth="1"/>
    <col min="11" max="12" width="14" customWidth="1"/>
    <col min="13" max="13" width="26.5" customWidth="1"/>
    <col min="14" max="14" width="10.375" customWidth="1"/>
  </cols>
  <sheetData>
    <row r="3" spans="2:14" ht="87" customHeight="1" x14ac:dyDescent="0.25">
      <c r="B3" s="348" t="s">
        <v>2440</v>
      </c>
      <c r="C3" s="349" t="s">
        <v>95</v>
      </c>
      <c r="D3" s="350" t="s">
        <v>16</v>
      </c>
      <c r="E3" s="350" t="s">
        <v>96</v>
      </c>
      <c r="F3" s="350" t="s">
        <v>97</v>
      </c>
      <c r="G3" s="350" t="s">
        <v>98</v>
      </c>
      <c r="H3" s="54" t="s">
        <v>0</v>
      </c>
      <c r="I3" s="54" t="s">
        <v>2441</v>
      </c>
      <c r="J3" s="54" t="s">
        <v>2442</v>
      </c>
      <c r="K3" s="348" t="s">
        <v>2443</v>
      </c>
      <c r="L3" s="348" t="s">
        <v>2444</v>
      </c>
      <c r="M3" s="348" t="s">
        <v>2445</v>
      </c>
      <c r="N3" s="348" t="s">
        <v>2446</v>
      </c>
    </row>
    <row r="4" spans="2:14" x14ac:dyDescent="0.25">
      <c r="B4" s="27">
        <v>1</v>
      </c>
      <c r="C4" s="351">
        <v>118</v>
      </c>
      <c r="D4" s="352" t="str">
        <f>IF(Tabla4[[#This Row],['#]]="","",VLOOKUP(C4,Tabla1[[#All],['#]:[Número documento*]],2,FALSE))</f>
        <v>Angel David</v>
      </c>
      <c r="E4" s="352" t="str">
        <f>IF(Tabla4[[#This Row],['#]]="","",VLOOKUP(C4,Tabla1[[#All],['#]:[Número documento*]],3,FALSE))</f>
        <v>Pineda Pirela</v>
      </c>
      <c r="F4" s="352" t="str">
        <f>IF(Tabla4[[#This Row],['#]]="","",VLOOKUP(C4,Tabla1[[#All],['#]:[Número documento*]],4,FALSE))</f>
        <v>Permiso de protección temporal</v>
      </c>
      <c r="G4" s="353">
        <f>IF(Tabla4[[#This Row],['#]]="","",VLOOKUP(C4,Tabla1[[#All],['#]:[Número documento*]],5,FALSE))</f>
        <v>6310402</v>
      </c>
      <c r="H4" s="352" t="str">
        <f>IF(Tabla4[[#This Row],['#]]="","",VLOOKUP(C4,Tabla1[[#All],['#]:[Empleador]],31,FALSE))</f>
        <v>Inversora Fercementos S.A.S.</v>
      </c>
      <c r="I4" s="352"/>
      <c r="J4" s="352"/>
      <c r="K4" s="354"/>
      <c r="L4" s="354">
        <v>45306</v>
      </c>
      <c r="M4" s="354"/>
      <c r="N4" s="135"/>
    </row>
    <row r="5" spans="2:14" x14ac:dyDescent="0.25">
      <c r="B5" s="27">
        <v>2</v>
      </c>
      <c r="C5" s="351">
        <v>314</v>
      </c>
      <c r="D5" s="352" t="str">
        <f>IF(Tabla4[[#This Row],['#]]="","",VLOOKUP(C5,Tabla1[[#All],['#]:[Número documento*]],2,FALSE))</f>
        <v>Gabriel Angel</v>
      </c>
      <c r="E5" s="352" t="str">
        <f>IF(Tabla4[[#This Row],['#]]="","",VLOOKUP(C5,Tabla1[[#All],['#]:[Número documento*]],3,FALSE))</f>
        <v>Ramírez Bedoya</v>
      </c>
      <c r="F5" s="352" t="str">
        <f>IF(Tabla4[[#This Row],['#]]="","",VLOOKUP(C5,Tabla1[[#All],['#]:[Número documento*]],4,FALSE))</f>
        <v>Cédula de ciudadanía</v>
      </c>
      <c r="G5" s="353">
        <f>IF(Tabla4[[#This Row],['#]]="","",VLOOKUP(C5,Tabla1[[#All],['#]:[Número documento*]],5,FALSE))</f>
        <v>89003300</v>
      </c>
      <c r="H5" s="352" t="str">
        <f>IF(Tabla4[[#This Row],['#]]="","",VLOOKUP(C5,Tabla1[[#All],['#]:[Empleador]],31,FALSE))</f>
        <v>Corporación Vaqueros Quindio</v>
      </c>
      <c r="I5" s="352"/>
      <c r="J5" s="352"/>
      <c r="K5" s="354"/>
      <c r="L5" s="354">
        <v>45306</v>
      </c>
      <c r="M5" s="354"/>
      <c r="N5" s="135"/>
    </row>
    <row r="6" spans="2:14" x14ac:dyDescent="0.25">
      <c r="B6" s="27">
        <v>3</v>
      </c>
      <c r="C6" s="351">
        <v>67</v>
      </c>
      <c r="D6" s="352" t="str">
        <f>IF(Tabla4[[#This Row],['#]]="","",VLOOKUP(C6,Tabla1[[#All],['#]:[Número documento*]],2,FALSE))</f>
        <v>Mauricio</v>
      </c>
      <c r="E6" s="352" t="str">
        <f>IF(Tabla4[[#This Row],['#]]="","",VLOOKUP(C6,Tabla1[[#All],['#]:[Número documento*]],3,FALSE))</f>
        <v>García Osorio</v>
      </c>
      <c r="F6" s="352" t="str">
        <f>IF(Tabla4[[#This Row],['#]]="","",VLOOKUP(C6,Tabla1[[#All],['#]:[Número documento*]],4,FALSE))</f>
        <v>Cédula de ciudadanía</v>
      </c>
      <c r="G6" s="353">
        <f>IF(Tabla4[[#This Row],['#]]="","",VLOOKUP(C6,Tabla1[[#All],['#]:[Número documento*]],5,FALSE))</f>
        <v>1098311372</v>
      </c>
      <c r="H6" s="352" t="str">
        <f>IF(Tabla4[[#This Row],['#]]="","",VLOOKUP(C6,Tabla1[[#All],['#]:[Empleador]],31,FALSE))</f>
        <v>Grupo Gacama S.A.S.</v>
      </c>
      <c r="I6" s="352"/>
      <c r="J6" s="352"/>
      <c r="K6" s="354"/>
      <c r="L6" s="354">
        <v>45331</v>
      </c>
      <c r="M6" s="354"/>
      <c r="N6" s="135"/>
    </row>
    <row r="7" spans="2:14" x14ac:dyDescent="0.25">
      <c r="B7" s="27">
        <v>4</v>
      </c>
      <c r="C7" s="351">
        <v>167</v>
      </c>
      <c r="D7" s="352" t="str">
        <f>IF(Tabla4[[#This Row],['#]]="","",VLOOKUP(C7,Tabla1[[#All],['#]:[Número documento*]],2,FALSE))</f>
        <v>Sandra Milena</v>
      </c>
      <c r="E7" s="352" t="str">
        <f>IF(Tabla4[[#This Row],['#]]="","",VLOOKUP(C7,Tabla1[[#All],['#]:[Número documento*]],3,FALSE))</f>
        <v>Rojas Tovar</v>
      </c>
      <c r="F7" s="352" t="str">
        <f>IF(Tabla4[[#This Row],['#]]="","",VLOOKUP(C7,Tabla1[[#All],['#]:[Número documento*]],4,FALSE))</f>
        <v>Cédula de ciudadanía</v>
      </c>
      <c r="G7" s="353">
        <f>IF(Tabla4[[#This Row],['#]]="","",VLOOKUP(C7,Tabla1[[#All],['#]:[Número documento*]],5,FALSE))</f>
        <v>66956964</v>
      </c>
      <c r="H7" s="352" t="str">
        <f>IF(Tabla4[[#This Row],['#]]="","",VLOOKUP(C7,Tabla1[[#All],['#]:[Empleador]],31,FALSE))</f>
        <v>Valentina Roa</v>
      </c>
      <c r="I7" s="352"/>
      <c r="J7" s="436"/>
      <c r="K7" s="354"/>
      <c r="L7" s="354">
        <v>45337</v>
      </c>
      <c r="M7" s="354"/>
      <c r="N7" s="135"/>
    </row>
    <row r="8" spans="2:14" x14ac:dyDescent="0.25">
      <c r="B8" s="27">
        <v>5</v>
      </c>
      <c r="C8" s="351">
        <v>293</v>
      </c>
      <c r="D8" s="352" t="str">
        <f>IF(Tabla4[[#This Row],['#]]="","",VLOOKUP(C8,Tabla1[[#All],['#]:[Número documento*]],2,FALSE))</f>
        <v>Lennin</v>
      </c>
      <c r="E8" s="352" t="str">
        <f>IF(Tabla4[[#This Row],['#]]="","",VLOOKUP(C8,Tabla1[[#All],['#]:[Número documento*]],3,FALSE))</f>
        <v>Barbosa Murillo</v>
      </c>
      <c r="F8" s="352" t="str">
        <f>IF(Tabla4[[#This Row],['#]]="","",VLOOKUP(C8,Tabla1[[#All],['#]:[Número documento*]],4,FALSE))</f>
        <v>Cédula de ciudadanía</v>
      </c>
      <c r="G8" s="353">
        <f>IF(Tabla4[[#This Row],['#]]="","",VLOOKUP(C8,Tabla1[[#All],['#]:[Número documento*]],5,FALSE))</f>
        <v>1116435166</v>
      </c>
      <c r="H8" s="352" t="str">
        <f>IF(Tabla4[[#This Row],['#]]="","",VLOOKUP(C8,Tabla1[[#All],['#]:[Empleador]],31,FALSE))</f>
        <v>Moempa Servicios S.A.S</v>
      </c>
      <c r="I8" s="352"/>
      <c r="J8" s="436"/>
      <c r="K8" s="354"/>
      <c r="L8" s="354">
        <v>45349</v>
      </c>
      <c r="M8" s="354"/>
      <c r="N8" s="135"/>
    </row>
    <row r="9" spans="2:14" x14ac:dyDescent="0.25">
      <c r="B9" s="27">
        <v>6</v>
      </c>
      <c r="C9" s="351">
        <v>279</v>
      </c>
      <c r="D9" s="352" t="str">
        <f>IF(Tabla4[[#This Row],['#]]="","",VLOOKUP(C9,Tabla1[[#All],['#]:[Número documento*]],2,FALSE))</f>
        <v>Edinson</v>
      </c>
      <c r="E9" s="352" t="str">
        <f>IF(Tabla4[[#This Row],['#]]="","",VLOOKUP(C9,Tabla1[[#All],['#]:[Número documento*]],3,FALSE))</f>
        <v>Varon Salgado</v>
      </c>
      <c r="F9" s="352" t="str">
        <f>IF(Tabla4[[#This Row],['#]]="","",VLOOKUP(C9,Tabla1[[#All],['#]:[Número documento*]],4,FALSE))</f>
        <v>Cédula de ciudadanía</v>
      </c>
      <c r="G9" s="353">
        <f>IF(Tabla4[[#This Row],['#]]="","",VLOOKUP(C9,Tabla1[[#All],['#]:[Número documento*]],5,FALSE))</f>
        <v>1116265012</v>
      </c>
      <c r="H9" s="352" t="str">
        <f>IF(Tabla4[[#This Row],['#]]="","",VLOOKUP(C9,Tabla1[[#All],['#]:[Empleador]],31,FALSE))</f>
        <v>Moempa Servicios S.A.S</v>
      </c>
      <c r="I9" s="352"/>
      <c r="J9" s="436" t="s">
        <v>2447</v>
      </c>
      <c r="K9" s="354"/>
      <c r="L9" s="354">
        <v>45370</v>
      </c>
      <c r="M9" s="354" t="s">
        <v>2448</v>
      </c>
      <c r="N9" s="135"/>
    </row>
    <row r="10" spans="2:14" x14ac:dyDescent="0.25">
      <c r="B10" s="27">
        <v>7</v>
      </c>
      <c r="C10" s="351">
        <v>58</v>
      </c>
      <c r="D10" s="352" t="str">
        <f>IF(Tabla4[[#This Row],['#]]="","",VLOOKUP(C10,Tabla1[[#All],['#]:[Número documento*]],2,FALSE))</f>
        <v>Andres Gonzalo</v>
      </c>
      <c r="E10" s="352" t="str">
        <f>IF(Tabla4[[#This Row],['#]]="","",VLOOKUP(C10,Tabla1[[#All],['#]:[Número documento*]],3,FALSE))</f>
        <v>Arenas Robayo</v>
      </c>
      <c r="F10" s="352" t="str">
        <f>IF(Tabla4[[#This Row],['#]]="","",VLOOKUP(C10,Tabla1[[#All],['#]:[Número documento*]],4,FALSE))</f>
        <v>Cédula de ciudadanía</v>
      </c>
      <c r="G10" s="353">
        <f>IF(Tabla4[[#This Row],['#]]="","",VLOOKUP(C10,Tabla1[[#All],['#]:[Número documento*]],5,FALSE))</f>
        <v>1094936359</v>
      </c>
      <c r="H10" s="352" t="str">
        <f>IF(Tabla4[[#This Row],['#]]="","",VLOOKUP(C10,Tabla1[[#All],['#]:[Empleador]],31,FALSE))</f>
        <v>Inversora Fercementos S.A.S.</v>
      </c>
      <c r="I10" s="352"/>
      <c r="J10" s="436" t="s">
        <v>2449</v>
      </c>
      <c r="K10" s="354"/>
      <c r="L10" s="354">
        <v>45373</v>
      </c>
      <c r="M10" s="354" t="s">
        <v>2450</v>
      </c>
      <c r="N10" s="135">
        <v>1</v>
      </c>
    </row>
    <row r="11" spans="2:14" x14ac:dyDescent="0.25">
      <c r="B11" s="27">
        <v>8</v>
      </c>
      <c r="C11" s="351">
        <v>305</v>
      </c>
      <c r="D11" s="352" t="str">
        <f>IF(Tabla4[[#This Row],['#]]="","",VLOOKUP(C11,Tabla1[[#All],['#]:[Número documento*]],2,FALSE))</f>
        <v>José  Urley</v>
      </c>
      <c r="E11" s="352" t="str">
        <f>IF(Tabla4[[#This Row],['#]]="","",VLOOKUP(C11,Tabla1[[#All],['#]:[Número documento*]],3,FALSE))</f>
        <v xml:space="preserve">Useche  Useche </v>
      </c>
      <c r="F11" s="352" t="str">
        <f>IF(Tabla4[[#This Row],['#]]="","",VLOOKUP(C11,Tabla1[[#All],['#]:[Número documento*]],4,FALSE))</f>
        <v>Cédula de ciudadanía</v>
      </c>
      <c r="G11" s="353">
        <f>IF(Tabla4[[#This Row],['#]]="","",VLOOKUP(C11,Tabla1[[#All],['#]:[Número documento*]],5,FALSE))</f>
        <v>83182288</v>
      </c>
      <c r="H11" s="352" t="str">
        <f>IF(Tabla4[[#This Row],['#]]="","",VLOOKUP(C11,Tabla1[[#All],['#]:[Empleador]],31,FALSE))</f>
        <v>Inversora Fercementos S.A.S.</v>
      </c>
      <c r="I11" s="352"/>
      <c r="J11" s="436" t="s">
        <v>2451</v>
      </c>
      <c r="K11" s="354"/>
      <c r="L11" s="354">
        <v>45352</v>
      </c>
      <c r="M11" s="354" t="s">
        <v>53</v>
      </c>
      <c r="N11" s="135"/>
    </row>
    <row r="12" spans="2:14" x14ac:dyDescent="0.25">
      <c r="B12" s="27">
        <v>9</v>
      </c>
      <c r="C12" s="351">
        <v>321</v>
      </c>
      <c r="D12" s="352" t="str">
        <f>IF(Tabla4[[#This Row],['#]]="","",VLOOKUP(C12,Tabla1[[#All],['#]:[Número documento*]],2,FALSE))</f>
        <v>Franky Rosvery</v>
      </c>
      <c r="E12" s="352" t="str">
        <f>IF(Tabla4[[#This Row],['#]]="","",VLOOKUP(C12,Tabla1[[#All],['#]:[Número documento*]],3,FALSE))</f>
        <v>Sanchez Ospina</v>
      </c>
      <c r="F12" s="352" t="str">
        <f>IF(Tabla4[[#This Row],['#]]="","",VLOOKUP(C12,Tabla1[[#All],['#]:[Número documento*]],4,FALSE))</f>
        <v>Cédula de ciudadanía</v>
      </c>
      <c r="G12" s="427">
        <f>IF(Tabla4[[#This Row],['#]]="","",VLOOKUP(C12,Tabla1[[#All],['#]:[Número documento*]],5,FALSE))</f>
        <v>1005159973</v>
      </c>
      <c r="H12" s="352" t="str">
        <f>IF(Tabla4[[#This Row],['#]]="","",VLOOKUP(C12,Tabla1[[#All],['#]:[Empleador]],31,FALSE))</f>
        <v>Moempa Servicios S.A.S</v>
      </c>
      <c r="I12" s="352"/>
      <c r="J12" s="436" t="s">
        <v>2452</v>
      </c>
      <c r="K12" s="354"/>
      <c r="L12" s="354">
        <v>45387</v>
      </c>
      <c r="M12" s="354"/>
      <c r="N12" s="135"/>
    </row>
    <row r="13" spans="2:14" x14ac:dyDescent="0.25">
      <c r="B13" s="27">
        <v>10</v>
      </c>
      <c r="C13" s="351">
        <v>443</v>
      </c>
      <c r="D13" s="352" t="str">
        <f>IF(Tabla4[[#This Row],['#]]="","",VLOOKUP(C13,Tabla1[[#All],['#]:[Número documento*]],2,FALSE))</f>
        <v>Robinson</v>
      </c>
      <c r="E13" s="352" t="str">
        <f>IF(Tabla4[[#This Row],['#]]="","",VLOOKUP(C13,Tabla1[[#All],['#]:[Número documento*]],3,FALSE))</f>
        <v xml:space="preserve">Hernandez Montoya </v>
      </c>
      <c r="F13" s="352" t="str">
        <f>IF(Tabla4[[#This Row],['#]]="","",VLOOKUP(C13,Tabla1[[#All],['#]:[Número documento*]],4,FALSE))</f>
        <v>Cédula de ciudadanía</v>
      </c>
      <c r="G13" s="353">
        <f>IF(Tabla4[[#This Row],['#]]="","",VLOOKUP(C13,Tabla1[[#All],['#]:[Número documento*]],5,FALSE))</f>
        <v>1088291857</v>
      </c>
      <c r="H13" s="352" t="str">
        <f>IF(Tabla4[[#This Row],['#]]="","",VLOOKUP(C13,Tabla1[[#All],['#]:[Empleador]],31,FALSE))</f>
        <v>La Terreza de la Cava S.A.S.</v>
      </c>
      <c r="I13" s="352"/>
      <c r="J13" s="436" t="s">
        <v>2982</v>
      </c>
      <c r="K13" s="354">
        <v>45419</v>
      </c>
      <c r="L13" s="354"/>
      <c r="M13" s="354" t="s">
        <v>57</v>
      </c>
      <c r="N13" s="135"/>
    </row>
    <row r="14" spans="2:14" x14ac:dyDescent="0.25">
      <c r="B14" s="27">
        <v>11</v>
      </c>
      <c r="C14" s="351">
        <v>323</v>
      </c>
      <c r="D14" s="352" t="str">
        <f>IF(Tabla4[[#This Row],['#]]="","",VLOOKUP(C14,Tabla1[[#All],['#]:[Número documento*]],2,FALSE))</f>
        <v>Mario Rafael</v>
      </c>
      <c r="E14" s="352" t="str">
        <f>IF(Tabla4[[#This Row],['#]]="","",VLOOKUP(C14,Tabla1[[#All],['#]:[Número documento*]],3,FALSE))</f>
        <v>Rodríguez Hincapié</v>
      </c>
      <c r="F14" s="352" t="str">
        <f>IF(Tabla4[[#This Row],['#]]="","",VLOOKUP(C14,Tabla1[[#All],['#]:[Número documento*]],4,FALSE))</f>
        <v>Cédula de ciudadanía</v>
      </c>
      <c r="G14" s="353">
        <f>IF(Tabla4[[#This Row],['#]]="","",VLOOKUP(C14,Tabla1[[#All],['#]:[Número documento*]],5,FALSE))</f>
        <v>1006575191</v>
      </c>
      <c r="H14" s="352" t="str">
        <f>IF(Tabla4[[#This Row],['#]]="","",VLOOKUP(C14,Tabla1[[#All],['#]:[Empleador]],31,FALSE))</f>
        <v>La Terreza de la Cava S.A.S.</v>
      </c>
      <c r="I14" s="432">
        <v>45422</v>
      </c>
      <c r="J14" s="436" t="s">
        <v>3000</v>
      </c>
      <c r="K14" s="354"/>
      <c r="L14" s="432">
        <v>45422</v>
      </c>
      <c r="M14" s="354" t="s">
        <v>2999</v>
      </c>
      <c r="N14" s="135"/>
    </row>
    <row r="15" spans="2:14" x14ac:dyDescent="0.25">
      <c r="B15" s="27">
        <v>12</v>
      </c>
      <c r="C15" s="351">
        <v>165</v>
      </c>
      <c r="D15" s="352" t="str">
        <f>IF(Tabla4[[#This Row],['#]]="","",VLOOKUP(C15,Tabla1[[#All],['#]:[Número documento*]],2,FALSE))</f>
        <v>Joana Andrea</v>
      </c>
      <c r="E15" s="352" t="str">
        <f>IF(Tabla4[[#This Row],['#]]="","",VLOOKUP(C15,Tabla1[[#All],['#]:[Número documento*]],3,FALSE))</f>
        <v>Restrepo Fernández</v>
      </c>
      <c r="F15" s="352" t="str">
        <f>IF(Tabla4[[#This Row],['#]]="","",VLOOKUP(C15,Tabla1[[#All],['#]:[Número documento*]],4,FALSE))</f>
        <v>Cédula de ciudadanía</v>
      </c>
      <c r="G15" s="353">
        <f>IF(Tabla4[[#This Row],['#]]="","",VLOOKUP(C15,Tabla1[[#All],['#]:[Número documento*]],5,FALSE))</f>
        <v>1096032371</v>
      </c>
      <c r="H15" s="352" t="str">
        <f>IF(Tabla4[[#This Row],['#]]="","",VLOOKUP(C15,Tabla1[[#All],['#]:[Empleador]],31,FALSE))</f>
        <v>Grupo Gacama S.A.S.</v>
      </c>
      <c r="I15" s="432">
        <v>45426</v>
      </c>
      <c r="J15" s="436" t="s">
        <v>3025</v>
      </c>
      <c r="K15" s="354"/>
      <c r="L15" s="354">
        <v>45429</v>
      </c>
      <c r="M15" s="354" t="s">
        <v>2999</v>
      </c>
      <c r="N15" s="135"/>
    </row>
    <row r="16" spans="2:14" hidden="1" x14ac:dyDescent="0.25">
      <c r="B16" s="27">
        <v>13</v>
      </c>
      <c r="C16" s="351"/>
      <c r="D16" s="352" t="str">
        <f>IF(Tabla4[[#This Row],['#]]="","",VLOOKUP(C16,Tabla1[[#All],['#]:[Número documento*]],2,FALSE))</f>
        <v/>
      </c>
      <c r="E16" s="352" t="str">
        <f>IF(Tabla4[[#This Row],['#]]="","",VLOOKUP(C16,Tabla1[[#All],['#]:[Número documento*]],3,FALSE))</f>
        <v/>
      </c>
      <c r="F16" s="352" t="str">
        <f>IF(Tabla4[[#This Row],['#]]="","",VLOOKUP(C16,Tabla1[[#All],['#]:[Número documento*]],4,FALSE))</f>
        <v/>
      </c>
      <c r="G16" s="353" t="str">
        <f>IF(Tabla4[[#This Row],['#]]="","",VLOOKUP(C16,Tabla1[[#All],['#]:[Número documento*]],5,FALSE))</f>
        <v/>
      </c>
      <c r="H16" s="352" t="str">
        <f>IF(Tabla4[[#This Row],['#]]="","",VLOOKUP(C16,Tabla1[[#All],['#]:[Empleador]],31,FALSE))</f>
        <v/>
      </c>
      <c r="I16" s="352"/>
      <c r="J16" s="352"/>
      <c r="K16" s="354"/>
      <c r="L16" s="354"/>
      <c r="M16" s="354"/>
      <c r="N16" s="135"/>
    </row>
    <row r="17" spans="2:14" hidden="1" x14ac:dyDescent="0.25">
      <c r="B17" s="27">
        <v>14</v>
      </c>
      <c r="C17" s="351"/>
      <c r="D17" s="352" t="str">
        <f>IF(Tabla4[[#This Row],['#]]="","",VLOOKUP(C17,Tabla1[[#All],['#]:[Número documento*]],2,FALSE))</f>
        <v/>
      </c>
      <c r="E17" s="352" t="str">
        <f>IF(Tabla4[[#This Row],['#]]="","",VLOOKUP(C17,Tabla1[[#All],['#]:[Número documento*]],3,FALSE))</f>
        <v/>
      </c>
      <c r="F17" s="352" t="str">
        <f>IF(Tabla4[[#This Row],['#]]="","",VLOOKUP(C17,Tabla1[[#All],['#]:[Número documento*]],4,FALSE))</f>
        <v/>
      </c>
      <c r="G17" s="353" t="str">
        <f>IF(Tabla4[[#This Row],['#]]="","",VLOOKUP(C17,Tabla1[[#All],['#]:[Número documento*]],5,FALSE))</f>
        <v/>
      </c>
      <c r="H17" s="352" t="str">
        <f>IF(Tabla4[[#This Row],['#]]="","",VLOOKUP(C17,Tabla1[[#All],['#]:[Empleador]],31,FALSE))</f>
        <v/>
      </c>
      <c r="I17" s="352"/>
      <c r="J17" s="352"/>
      <c r="K17" s="354"/>
      <c r="L17" s="354"/>
      <c r="M17" s="354"/>
      <c r="N17" s="135"/>
    </row>
    <row r="18" spans="2:14" hidden="1" x14ac:dyDescent="0.25">
      <c r="B18" s="27">
        <v>15</v>
      </c>
      <c r="C18" s="351"/>
      <c r="D18" s="352" t="str">
        <f>IF(Tabla4[[#This Row],['#]]="","",VLOOKUP(C18,Tabla1[[#All],['#]:[Número documento*]],2,FALSE))</f>
        <v/>
      </c>
      <c r="E18" s="352" t="str">
        <f>IF(Tabla4[[#This Row],['#]]="","",VLOOKUP(C18,Tabla1[[#All],['#]:[Número documento*]],3,FALSE))</f>
        <v/>
      </c>
      <c r="F18" s="352" t="str">
        <f>IF(Tabla4[[#This Row],['#]]="","",VLOOKUP(C18,Tabla1[[#All],['#]:[Número documento*]],4,FALSE))</f>
        <v/>
      </c>
      <c r="G18" s="353" t="str">
        <f>IF(Tabla4[[#This Row],['#]]="","",VLOOKUP(C18,Tabla1[[#All],['#]:[Número documento*]],5,FALSE))</f>
        <v/>
      </c>
      <c r="H18" s="352" t="str">
        <f>IF(Tabla4[[#This Row],['#]]="","",VLOOKUP(C18,Tabla1[[#All],['#]:[Empleador]],31,FALSE))</f>
        <v/>
      </c>
      <c r="I18" s="352"/>
      <c r="J18" s="352"/>
      <c r="K18" s="354"/>
      <c r="L18" s="354"/>
      <c r="M18" s="354"/>
      <c r="N18" s="135"/>
    </row>
    <row r="19" spans="2:14" hidden="1" x14ac:dyDescent="0.25">
      <c r="B19" s="27">
        <v>16</v>
      </c>
      <c r="C19" s="351"/>
      <c r="D19" s="352" t="str">
        <f>IF(Tabla4[[#This Row],['#]]="","",VLOOKUP(C19,Tabla1[[#All],['#]:[Número documento*]],2,FALSE))</f>
        <v/>
      </c>
      <c r="E19" s="352" t="str">
        <f>IF(Tabla4[[#This Row],['#]]="","",VLOOKUP(C19,Tabla1[[#All],['#]:[Número documento*]],3,FALSE))</f>
        <v/>
      </c>
      <c r="F19" s="352" t="str">
        <f>IF(Tabla4[[#This Row],['#]]="","",VLOOKUP(C19,Tabla1[[#All],['#]:[Número documento*]],4,FALSE))</f>
        <v/>
      </c>
      <c r="G19" s="353" t="str">
        <f>IF(Tabla4[[#This Row],['#]]="","",VLOOKUP(C19,Tabla1[[#All],['#]:[Número documento*]],5,FALSE))</f>
        <v/>
      </c>
      <c r="H19" s="352" t="str">
        <f>IF(Tabla4[[#This Row],['#]]="","",VLOOKUP(C19,Tabla1[[#All],['#]:[Empleador]],31,FALSE))</f>
        <v/>
      </c>
      <c r="I19" s="352"/>
      <c r="J19" s="352"/>
      <c r="K19" s="354"/>
      <c r="L19" s="354"/>
      <c r="M19" s="354"/>
      <c r="N19" s="135"/>
    </row>
    <row r="20" spans="2:14" hidden="1" x14ac:dyDescent="0.25">
      <c r="B20" s="27">
        <v>17</v>
      </c>
      <c r="C20" s="351"/>
      <c r="D20" s="352" t="str">
        <f>IF(Tabla4[[#This Row],['#]]="","",VLOOKUP(C20,Tabla1[[#All],['#]:[Número documento*]],2,FALSE))</f>
        <v/>
      </c>
      <c r="E20" s="352" t="str">
        <f>IF(Tabla4[[#This Row],['#]]="","",VLOOKUP(C20,Tabla1[[#All],['#]:[Número documento*]],3,FALSE))</f>
        <v/>
      </c>
      <c r="F20" s="352" t="str">
        <f>IF(Tabla4[[#This Row],['#]]="","",VLOOKUP(C20,Tabla1[[#All],['#]:[Número documento*]],4,FALSE))</f>
        <v/>
      </c>
      <c r="G20" s="353" t="str">
        <f>IF(Tabla4[[#This Row],['#]]="","",VLOOKUP(C20,Tabla1[[#All],['#]:[Número documento*]],5,FALSE))</f>
        <v/>
      </c>
      <c r="H20" s="352" t="str">
        <f>IF(Tabla4[[#This Row],['#]]="","",VLOOKUP(C20,Tabla1[[#All],['#]:[Empleador]],31,FALSE))</f>
        <v/>
      </c>
      <c r="I20" s="352"/>
      <c r="J20" s="352"/>
      <c r="K20" s="354"/>
      <c r="L20" s="354"/>
      <c r="M20" s="354"/>
      <c r="N20" s="135"/>
    </row>
    <row r="21" spans="2:14" hidden="1" x14ac:dyDescent="0.25">
      <c r="B21" s="27">
        <v>18</v>
      </c>
      <c r="C21" s="351"/>
      <c r="D21" s="352" t="str">
        <f>IF(Tabla4[[#This Row],['#]]="","",VLOOKUP(C21,Tabla1[[#All],['#]:[Número documento*]],2,FALSE))</f>
        <v/>
      </c>
      <c r="E21" s="352" t="str">
        <f>IF(Tabla4[[#This Row],['#]]="","",VLOOKUP(C21,Tabla1[[#All],['#]:[Número documento*]],3,FALSE))</f>
        <v/>
      </c>
      <c r="F21" s="352" t="str">
        <f>IF(Tabla4[[#This Row],['#]]="","",VLOOKUP(C21,Tabla1[[#All],['#]:[Número documento*]],4,FALSE))</f>
        <v/>
      </c>
      <c r="G21" s="353" t="str">
        <f>IF(Tabla4[[#This Row],['#]]="","",VLOOKUP(C21,Tabla1[[#All],['#]:[Número documento*]],5,FALSE))</f>
        <v/>
      </c>
      <c r="H21" s="352" t="str">
        <f>IF(Tabla4[[#This Row],['#]]="","",VLOOKUP(C21,Tabla1[[#All],['#]:[Empleador]],31,FALSE))</f>
        <v/>
      </c>
      <c r="I21" s="352"/>
      <c r="J21" s="352"/>
      <c r="K21" s="354"/>
      <c r="L21" s="354"/>
      <c r="M21" s="354"/>
      <c r="N21" s="135"/>
    </row>
    <row r="22" spans="2:14" hidden="1" x14ac:dyDescent="0.25">
      <c r="B22" s="27">
        <v>19</v>
      </c>
      <c r="C22" s="351"/>
      <c r="D22" s="352" t="str">
        <f>IF(Tabla4[[#This Row],['#]]="","",VLOOKUP(C22,Tabla1[[#All],['#]:[Número documento*]],2,FALSE))</f>
        <v/>
      </c>
      <c r="E22" s="352" t="str">
        <f>IF(Tabla4[[#This Row],['#]]="","",VLOOKUP(C22,Tabla1[[#All],['#]:[Número documento*]],3,FALSE))</f>
        <v/>
      </c>
      <c r="F22" s="352" t="str">
        <f>IF(Tabla4[[#This Row],['#]]="","",VLOOKUP(C22,Tabla1[[#All],['#]:[Número documento*]],4,FALSE))</f>
        <v/>
      </c>
      <c r="G22" s="353" t="str">
        <f>IF(Tabla4[[#This Row],['#]]="","",VLOOKUP(C22,Tabla1[[#All],['#]:[Número documento*]],5,FALSE))</f>
        <v/>
      </c>
      <c r="H22" s="352" t="str">
        <f>IF(Tabla4[[#This Row],['#]]="","",VLOOKUP(C22,Tabla1[[#All],['#]:[Empleador]],31,FALSE))</f>
        <v/>
      </c>
      <c r="I22" s="352"/>
      <c r="J22" s="352"/>
      <c r="K22" s="354"/>
      <c r="L22" s="354"/>
      <c r="M22" s="354"/>
      <c r="N22" s="135"/>
    </row>
    <row r="23" spans="2:14" hidden="1" x14ac:dyDescent="0.25">
      <c r="B23" s="27">
        <v>20</v>
      </c>
      <c r="C23" s="351"/>
      <c r="D23" s="352" t="str">
        <f>IF(Tabla4[[#This Row],['#]]="","",VLOOKUP(C23,Tabla1[[#All],['#]:[Número documento*]],2,FALSE))</f>
        <v/>
      </c>
      <c r="E23" s="352" t="str">
        <f>IF(Tabla4[[#This Row],['#]]="","",VLOOKUP(C23,Tabla1[[#All],['#]:[Número documento*]],3,FALSE))</f>
        <v/>
      </c>
      <c r="F23" s="352" t="str">
        <f>IF(Tabla4[[#This Row],['#]]="","",VLOOKUP(C23,Tabla1[[#All],['#]:[Número documento*]],4,FALSE))</f>
        <v/>
      </c>
      <c r="G23" s="353" t="str">
        <f>IF(Tabla4[[#This Row],['#]]="","",VLOOKUP(C23,Tabla1[[#All],['#]:[Número documento*]],5,FALSE))</f>
        <v/>
      </c>
      <c r="H23" s="352" t="str">
        <f>IF(Tabla4[[#This Row],['#]]="","",VLOOKUP(C23,Tabla1[[#All],['#]:[Empleador]],31,FALSE))</f>
        <v/>
      </c>
      <c r="I23" s="352"/>
      <c r="J23" s="352"/>
      <c r="K23" s="354"/>
      <c r="L23" s="354"/>
      <c r="M23" s="354"/>
      <c r="N23" s="135"/>
    </row>
    <row r="24" spans="2:14" hidden="1" x14ac:dyDescent="0.25">
      <c r="B24" s="27">
        <v>21</v>
      </c>
      <c r="C24" s="351"/>
      <c r="D24" s="352" t="str">
        <f>IF(Tabla4[[#This Row],['#]]="","",VLOOKUP(C24,Tabla1[[#All],['#]:[Número documento*]],2,FALSE))</f>
        <v/>
      </c>
      <c r="E24" s="352" t="str">
        <f>IF(Tabla4[[#This Row],['#]]="","",VLOOKUP(C24,Tabla1[[#All],['#]:[Número documento*]],3,FALSE))</f>
        <v/>
      </c>
      <c r="F24" s="352" t="str">
        <f>IF(Tabla4[[#This Row],['#]]="","",VLOOKUP(C24,Tabla1[[#All],['#]:[Número documento*]],4,FALSE))</f>
        <v/>
      </c>
      <c r="G24" s="353" t="str">
        <f>IF(Tabla4[[#This Row],['#]]="","",VLOOKUP(C24,Tabla1[[#All],['#]:[Número documento*]],5,FALSE))</f>
        <v/>
      </c>
      <c r="H24" s="352" t="str">
        <f>IF(Tabla4[[#This Row],['#]]="","",VLOOKUP(C24,Tabla1[[#All],['#]:[Empleador]],31,FALSE))</f>
        <v/>
      </c>
      <c r="I24" s="352"/>
      <c r="J24" s="352"/>
      <c r="K24" s="354"/>
      <c r="L24" s="354"/>
      <c r="M24" s="354"/>
      <c r="N24" s="135"/>
    </row>
    <row r="25" spans="2:14" hidden="1" x14ac:dyDescent="0.25">
      <c r="B25" s="27">
        <v>22</v>
      </c>
      <c r="C25" s="351"/>
      <c r="D25" s="352" t="str">
        <f>IF(Tabla4[[#This Row],['#]]="","",VLOOKUP(C25,Tabla1[[#All],['#]:[Número documento*]],2,FALSE))</f>
        <v/>
      </c>
      <c r="E25" s="352" t="str">
        <f>IF(Tabla4[[#This Row],['#]]="","",VLOOKUP(C25,Tabla1[[#All],['#]:[Número documento*]],3,FALSE))</f>
        <v/>
      </c>
      <c r="F25" s="352" t="str">
        <f>IF(Tabla4[[#This Row],['#]]="","",VLOOKUP(C25,Tabla1[[#All],['#]:[Número documento*]],4,FALSE))</f>
        <v/>
      </c>
      <c r="G25" s="353" t="str">
        <f>IF(Tabla4[[#This Row],['#]]="","",VLOOKUP(C25,Tabla1[[#All],['#]:[Número documento*]],5,FALSE))</f>
        <v/>
      </c>
      <c r="H25" s="352" t="str">
        <f>IF(Tabla4[[#This Row],['#]]="","",VLOOKUP(C25,Tabla1[[#All],['#]:[Empleador]],31,FALSE))</f>
        <v/>
      </c>
      <c r="I25" s="352"/>
      <c r="J25" s="352"/>
      <c r="K25" s="354"/>
      <c r="L25" s="354"/>
      <c r="M25" s="354"/>
      <c r="N25" s="135"/>
    </row>
    <row r="26" spans="2:14" hidden="1" x14ac:dyDescent="0.25">
      <c r="B26" s="27">
        <v>23</v>
      </c>
      <c r="C26" s="351"/>
      <c r="D26" s="352" t="str">
        <f>IF(Tabla4[[#This Row],['#]]="","",VLOOKUP(C26,Tabla1[[#All],['#]:[Número documento*]],2,FALSE))</f>
        <v/>
      </c>
      <c r="E26" s="352" t="str">
        <f>IF(Tabla4[[#This Row],['#]]="","",VLOOKUP(C26,Tabla1[[#All],['#]:[Número documento*]],3,FALSE))</f>
        <v/>
      </c>
      <c r="F26" s="352" t="str">
        <f>IF(Tabla4[[#This Row],['#]]="","",VLOOKUP(C26,Tabla1[[#All],['#]:[Número documento*]],4,FALSE))</f>
        <v/>
      </c>
      <c r="G26" s="353" t="str">
        <f>IF(Tabla4[[#This Row],['#]]="","",VLOOKUP(C26,Tabla1[[#All],['#]:[Número documento*]],5,FALSE))</f>
        <v/>
      </c>
      <c r="H26" s="352" t="str">
        <f>IF(Tabla4[[#This Row],['#]]="","",VLOOKUP(C26,Tabla1[[#All],['#]:[Empleador]],31,FALSE))</f>
        <v/>
      </c>
      <c r="I26" s="352"/>
      <c r="J26" s="352"/>
      <c r="K26" s="354"/>
      <c r="L26" s="354"/>
      <c r="M26" s="354"/>
      <c r="N26" s="135"/>
    </row>
    <row r="27" spans="2:14" hidden="1" x14ac:dyDescent="0.25">
      <c r="B27" s="27">
        <v>24</v>
      </c>
      <c r="C27" s="351"/>
      <c r="D27" s="352" t="str">
        <f>IF(Tabla4[[#This Row],['#]]="","",VLOOKUP(C27,Tabla1[[#All],['#]:[Número documento*]],2,FALSE))</f>
        <v/>
      </c>
      <c r="E27" s="352" t="str">
        <f>IF(Tabla4[[#This Row],['#]]="","",VLOOKUP(C27,Tabla1[[#All],['#]:[Número documento*]],3,FALSE))</f>
        <v/>
      </c>
      <c r="F27" s="352" t="str">
        <f>IF(Tabla4[[#This Row],['#]]="","",VLOOKUP(C27,Tabla1[[#All],['#]:[Número documento*]],4,FALSE))</f>
        <v/>
      </c>
      <c r="G27" s="353" t="str">
        <f>IF(Tabla4[[#This Row],['#]]="","",VLOOKUP(C27,Tabla1[[#All],['#]:[Número documento*]],5,FALSE))</f>
        <v/>
      </c>
      <c r="H27" s="352" t="str">
        <f>IF(Tabla4[[#This Row],['#]]="","",VLOOKUP(C27,Tabla1[[#All],['#]:[Empleador]],31,FALSE))</f>
        <v/>
      </c>
      <c r="I27" s="352"/>
      <c r="J27" s="352"/>
      <c r="K27" s="354"/>
      <c r="L27" s="354"/>
      <c r="M27" s="354"/>
      <c r="N27" s="135"/>
    </row>
    <row r="28" spans="2:14" hidden="1" x14ac:dyDescent="0.25">
      <c r="B28" s="27">
        <v>25</v>
      </c>
      <c r="C28" s="351"/>
      <c r="D28" s="352" t="str">
        <f>IF(Tabla4[[#This Row],['#]]="","",VLOOKUP(C28,Tabla1[[#All],['#]:[Número documento*]],2,FALSE))</f>
        <v/>
      </c>
      <c r="E28" s="352" t="str">
        <f>IF(Tabla4[[#This Row],['#]]="","",VLOOKUP(C28,Tabla1[[#All],['#]:[Número documento*]],3,FALSE))</f>
        <v/>
      </c>
      <c r="F28" s="352" t="str">
        <f>IF(Tabla4[[#This Row],['#]]="","",VLOOKUP(C28,Tabla1[[#All],['#]:[Número documento*]],4,FALSE))</f>
        <v/>
      </c>
      <c r="G28" s="353" t="str">
        <f>IF(Tabla4[[#This Row],['#]]="","",VLOOKUP(C28,Tabla1[[#All],['#]:[Número documento*]],5,FALSE))</f>
        <v/>
      </c>
      <c r="H28" s="352" t="str">
        <f>IF(Tabla4[[#This Row],['#]]="","",VLOOKUP(C28,Tabla1[[#All],['#]:[Empleador]],31,FALSE))</f>
        <v/>
      </c>
      <c r="I28" s="352"/>
      <c r="J28" s="352"/>
      <c r="K28" s="354"/>
      <c r="L28" s="354"/>
      <c r="M28" s="354"/>
      <c r="N28" s="135"/>
    </row>
    <row r="29" spans="2:14" hidden="1" x14ac:dyDescent="0.25">
      <c r="B29" s="27">
        <v>26</v>
      </c>
      <c r="C29" s="351"/>
      <c r="D29" s="352" t="str">
        <f>IF(Tabla4[[#This Row],['#]]="","",VLOOKUP(C29,Tabla1[[#All],['#]:[Número documento*]],2,FALSE))</f>
        <v/>
      </c>
      <c r="E29" s="352" t="str">
        <f>IF(Tabla4[[#This Row],['#]]="","",VLOOKUP(C29,Tabla1[[#All],['#]:[Número documento*]],3,FALSE))</f>
        <v/>
      </c>
      <c r="F29" s="352" t="str">
        <f>IF(Tabla4[[#This Row],['#]]="","",VLOOKUP(C29,Tabla1[[#All],['#]:[Número documento*]],4,FALSE))</f>
        <v/>
      </c>
      <c r="G29" s="353" t="str">
        <f>IF(Tabla4[[#This Row],['#]]="","",VLOOKUP(C29,Tabla1[[#All],['#]:[Número documento*]],5,FALSE))</f>
        <v/>
      </c>
      <c r="H29" s="352" t="str">
        <f>IF(Tabla4[[#This Row],['#]]="","",VLOOKUP(C29,Tabla1[[#All],['#]:[Empleador]],31,FALSE))</f>
        <v/>
      </c>
      <c r="I29" s="352"/>
      <c r="J29" s="352"/>
      <c r="K29" s="354"/>
      <c r="L29" s="354"/>
      <c r="M29" s="354"/>
      <c r="N29" s="135"/>
    </row>
    <row r="30" spans="2:14" hidden="1" x14ac:dyDescent="0.25">
      <c r="B30" s="27">
        <v>27</v>
      </c>
      <c r="C30" s="351"/>
      <c r="D30" s="352" t="str">
        <f>IF(Tabla4[[#This Row],['#]]="","",VLOOKUP(C30,Tabla1[[#All],['#]:[Número documento*]],2,FALSE))</f>
        <v/>
      </c>
      <c r="E30" s="352" t="str">
        <f>IF(Tabla4[[#This Row],['#]]="","",VLOOKUP(C30,Tabla1[[#All],['#]:[Número documento*]],3,FALSE))</f>
        <v/>
      </c>
      <c r="F30" s="352" t="str">
        <f>IF(Tabla4[[#This Row],['#]]="","",VLOOKUP(C30,Tabla1[[#All],['#]:[Número documento*]],4,FALSE))</f>
        <v/>
      </c>
      <c r="G30" s="353" t="str">
        <f>IF(Tabla4[[#This Row],['#]]="","",VLOOKUP(C30,Tabla1[[#All],['#]:[Número documento*]],5,FALSE))</f>
        <v/>
      </c>
      <c r="H30" s="352" t="str">
        <f>IF(Tabla4[[#This Row],['#]]="","",VLOOKUP(C30,Tabla1[[#All],['#]:[Empleador]],31,FALSE))</f>
        <v/>
      </c>
      <c r="I30" s="352"/>
      <c r="J30" s="352"/>
      <c r="K30" s="354"/>
      <c r="L30" s="354"/>
      <c r="M30" s="354"/>
      <c r="N30" s="135"/>
    </row>
    <row r="31" spans="2:14" hidden="1" x14ac:dyDescent="0.25">
      <c r="B31" s="27">
        <v>28</v>
      </c>
      <c r="C31" s="351"/>
      <c r="D31" s="352" t="str">
        <f>IF(Tabla4[[#This Row],['#]]="","",VLOOKUP(C31,Tabla1[[#All],['#]:[Número documento*]],2,FALSE))</f>
        <v/>
      </c>
      <c r="E31" s="352" t="str">
        <f>IF(Tabla4[[#This Row],['#]]="","",VLOOKUP(C31,Tabla1[[#All],['#]:[Número documento*]],3,FALSE))</f>
        <v/>
      </c>
      <c r="F31" s="352" t="str">
        <f>IF(Tabla4[[#This Row],['#]]="","",VLOOKUP(C31,Tabla1[[#All],['#]:[Número documento*]],4,FALSE))</f>
        <v/>
      </c>
      <c r="G31" s="353" t="str">
        <f>IF(Tabla4[[#This Row],['#]]="","",VLOOKUP(C31,Tabla1[[#All],['#]:[Número documento*]],5,FALSE))</f>
        <v/>
      </c>
      <c r="H31" s="352" t="str">
        <f>IF(Tabla4[[#This Row],['#]]="","",VLOOKUP(C31,Tabla1[[#All],['#]:[Empleador]],31,FALSE))</f>
        <v/>
      </c>
      <c r="I31" s="352"/>
      <c r="J31" s="352"/>
      <c r="K31" s="354"/>
      <c r="L31" s="354"/>
      <c r="M31" s="354"/>
      <c r="N31" s="135"/>
    </row>
    <row r="32" spans="2:14" hidden="1" x14ac:dyDescent="0.25">
      <c r="B32" s="27">
        <v>29</v>
      </c>
      <c r="C32" s="351"/>
      <c r="D32" s="352" t="str">
        <f>IF(Tabla4[[#This Row],['#]]="","",VLOOKUP(C32,Tabla1[[#All],['#]:[Número documento*]],2,FALSE))</f>
        <v/>
      </c>
      <c r="E32" s="352" t="str">
        <f>IF(Tabla4[[#This Row],['#]]="","",VLOOKUP(C32,Tabla1[[#All],['#]:[Número documento*]],3,FALSE))</f>
        <v/>
      </c>
      <c r="F32" s="352" t="str">
        <f>IF(Tabla4[[#This Row],['#]]="","",VLOOKUP(C32,Tabla1[[#All],['#]:[Número documento*]],4,FALSE))</f>
        <v/>
      </c>
      <c r="G32" s="353" t="str">
        <f>IF(Tabla4[[#This Row],['#]]="","",VLOOKUP(C32,Tabla1[[#All],['#]:[Número documento*]],5,FALSE))</f>
        <v/>
      </c>
      <c r="H32" s="352" t="str">
        <f>IF(Tabla4[[#This Row],['#]]="","",VLOOKUP(C32,Tabla1[[#All],['#]:[Empleador]],31,FALSE))</f>
        <v/>
      </c>
      <c r="I32" s="352"/>
      <c r="J32" s="352"/>
      <c r="K32" s="354"/>
      <c r="L32" s="354"/>
      <c r="M32" s="354"/>
      <c r="N32" s="135"/>
    </row>
    <row r="33" spans="2:14" hidden="1" x14ac:dyDescent="0.25">
      <c r="B33" s="27">
        <v>30</v>
      </c>
      <c r="C33" s="351"/>
      <c r="D33" s="352" t="str">
        <f>IF(Tabla4[[#This Row],['#]]="","",VLOOKUP(C33,Tabla1[[#All],['#]:[Número documento*]],2,FALSE))</f>
        <v/>
      </c>
      <c r="E33" s="352" t="str">
        <f>IF(Tabla4[[#This Row],['#]]="","",VLOOKUP(C33,Tabla1[[#All],['#]:[Número documento*]],3,FALSE))</f>
        <v/>
      </c>
      <c r="F33" s="352" t="str">
        <f>IF(Tabla4[[#This Row],['#]]="","",VLOOKUP(C33,Tabla1[[#All],['#]:[Número documento*]],4,FALSE))</f>
        <v/>
      </c>
      <c r="G33" s="353" t="str">
        <f>IF(Tabla4[[#This Row],['#]]="","",VLOOKUP(C33,Tabla1[[#All],['#]:[Número documento*]],5,FALSE))</f>
        <v/>
      </c>
      <c r="H33" s="352" t="str">
        <f>IF(Tabla4[[#This Row],['#]]="","",VLOOKUP(C33,Tabla1[[#All],['#]:[Empleador]],31,FALSE))</f>
        <v/>
      </c>
      <c r="I33" s="352"/>
      <c r="J33" s="352"/>
      <c r="K33" s="354"/>
      <c r="L33" s="354"/>
      <c r="M33" s="354"/>
      <c r="N33" s="135"/>
    </row>
    <row r="34" spans="2:14" hidden="1" x14ac:dyDescent="0.25">
      <c r="B34" s="27">
        <v>31</v>
      </c>
      <c r="C34" s="351"/>
      <c r="D34" s="352" t="str">
        <f>IF(Tabla4[[#This Row],['#]]="","",VLOOKUP(C34,Tabla1[[#All],['#]:[Número documento*]],2,FALSE))</f>
        <v/>
      </c>
      <c r="E34" s="352" t="str">
        <f>IF(Tabla4[[#This Row],['#]]="","",VLOOKUP(C34,Tabla1[[#All],['#]:[Número documento*]],3,FALSE))</f>
        <v/>
      </c>
      <c r="F34" s="352" t="str">
        <f>IF(Tabla4[[#This Row],['#]]="","",VLOOKUP(C34,Tabla1[[#All],['#]:[Número documento*]],4,FALSE))</f>
        <v/>
      </c>
      <c r="G34" s="353" t="str">
        <f>IF(Tabla4[[#This Row],['#]]="","",VLOOKUP(C34,Tabla1[[#All],['#]:[Número documento*]],5,FALSE))</f>
        <v/>
      </c>
      <c r="H34" s="352" t="str">
        <f>IF(Tabla4[[#This Row],['#]]="","",VLOOKUP(C34,Tabla1[[#All],['#]:[Empleador]],31,FALSE))</f>
        <v/>
      </c>
      <c r="I34" s="352"/>
      <c r="J34" s="352"/>
      <c r="K34" s="354"/>
      <c r="L34" s="354"/>
      <c r="M34" s="354"/>
      <c r="N34" s="135"/>
    </row>
    <row r="35" spans="2:14" hidden="1" x14ac:dyDescent="0.25">
      <c r="B35" s="27">
        <v>32</v>
      </c>
      <c r="C35" s="351"/>
      <c r="D35" s="352" t="str">
        <f>IF(Tabla4[[#This Row],['#]]="","",VLOOKUP(C35,Tabla1[[#All],['#]:[Número documento*]],2,FALSE))</f>
        <v/>
      </c>
      <c r="E35" s="352" t="str">
        <f>IF(Tabla4[[#This Row],['#]]="","",VLOOKUP(C35,Tabla1[[#All],['#]:[Número documento*]],3,FALSE))</f>
        <v/>
      </c>
      <c r="F35" s="352" t="str">
        <f>IF(Tabla4[[#This Row],['#]]="","",VLOOKUP(C35,Tabla1[[#All],['#]:[Número documento*]],4,FALSE))</f>
        <v/>
      </c>
      <c r="G35" s="353" t="str">
        <f>IF(Tabla4[[#This Row],['#]]="","",VLOOKUP(C35,Tabla1[[#All],['#]:[Número documento*]],5,FALSE))</f>
        <v/>
      </c>
      <c r="H35" s="352" t="str">
        <f>IF(Tabla4[[#This Row],['#]]="","",VLOOKUP(C35,Tabla1[[#All],['#]:[Empleador]],31,FALSE))</f>
        <v/>
      </c>
      <c r="I35" s="352"/>
      <c r="J35" s="352"/>
      <c r="K35" s="354"/>
      <c r="L35" s="354"/>
      <c r="M35" s="354"/>
      <c r="N35" s="135"/>
    </row>
    <row r="36" spans="2:14" hidden="1" x14ac:dyDescent="0.25">
      <c r="B36" s="27">
        <v>33</v>
      </c>
      <c r="C36" s="351"/>
      <c r="D36" s="352" t="str">
        <f>IF(Tabla4[[#This Row],['#]]="","",VLOOKUP(C36,Tabla1[[#All],['#]:[Número documento*]],2,FALSE))</f>
        <v/>
      </c>
      <c r="E36" s="352" t="str">
        <f>IF(Tabla4[[#This Row],['#]]="","",VLOOKUP(C36,Tabla1[[#All],['#]:[Número documento*]],3,FALSE))</f>
        <v/>
      </c>
      <c r="F36" s="352" t="str">
        <f>IF(Tabla4[[#This Row],['#]]="","",VLOOKUP(C36,Tabla1[[#All],['#]:[Número documento*]],4,FALSE))</f>
        <v/>
      </c>
      <c r="G36" s="353" t="str">
        <f>IF(Tabla4[[#This Row],['#]]="","",VLOOKUP(C36,Tabla1[[#All],['#]:[Número documento*]],5,FALSE))</f>
        <v/>
      </c>
      <c r="H36" s="352" t="str">
        <f>IF(Tabla4[[#This Row],['#]]="","",VLOOKUP(C36,Tabla1[[#All],['#]:[Empleador]],31,FALSE))</f>
        <v/>
      </c>
      <c r="I36" s="352"/>
      <c r="J36" s="352"/>
      <c r="K36" s="354"/>
      <c r="L36" s="354"/>
      <c r="M36" s="354"/>
      <c r="N36" s="135"/>
    </row>
    <row r="37" spans="2:14" hidden="1" x14ac:dyDescent="0.25">
      <c r="B37" s="27">
        <v>34</v>
      </c>
      <c r="C37" s="351"/>
      <c r="D37" s="352" t="str">
        <f>IF(Tabla4[[#This Row],['#]]="","",VLOOKUP(C37,Tabla1[[#All],['#]:[Número documento*]],2,FALSE))</f>
        <v/>
      </c>
      <c r="E37" s="352" t="str">
        <f>IF(Tabla4[[#This Row],['#]]="","",VLOOKUP(C37,Tabla1[[#All],['#]:[Número documento*]],3,FALSE))</f>
        <v/>
      </c>
      <c r="F37" s="352" t="str">
        <f>IF(Tabla4[[#This Row],['#]]="","",VLOOKUP(C37,Tabla1[[#All],['#]:[Número documento*]],4,FALSE))</f>
        <v/>
      </c>
      <c r="G37" s="353" t="str">
        <f>IF(Tabla4[[#This Row],['#]]="","",VLOOKUP(C37,Tabla1[[#All],['#]:[Número documento*]],5,FALSE))</f>
        <v/>
      </c>
      <c r="H37" s="352" t="str">
        <f>IF(Tabla4[[#This Row],['#]]="","",VLOOKUP(C37,Tabla1[[#All],['#]:[Empleador]],31,FALSE))</f>
        <v/>
      </c>
      <c r="I37" s="352"/>
      <c r="J37" s="352"/>
      <c r="K37" s="354"/>
      <c r="L37" s="354"/>
      <c r="M37" s="354"/>
      <c r="N37" s="135"/>
    </row>
    <row r="38" spans="2:14" hidden="1" x14ac:dyDescent="0.25">
      <c r="B38" s="27">
        <v>35</v>
      </c>
      <c r="C38" s="351"/>
      <c r="D38" s="352" t="str">
        <f>IF(Tabla4[[#This Row],['#]]="","",VLOOKUP(C38,Tabla1[[#All],['#]:[Número documento*]],2,FALSE))</f>
        <v/>
      </c>
      <c r="E38" s="352" t="str">
        <f>IF(Tabla4[[#This Row],['#]]="","",VLOOKUP(C38,Tabla1[[#All],['#]:[Número documento*]],3,FALSE))</f>
        <v/>
      </c>
      <c r="F38" s="352" t="str">
        <f>IF(Tabla4[[#This Row],['#]]="","",VLOOKUP(C38,Tabla1[[#All],['#]:[Número documento*]],4,FALSE))</f>
        <v/>
      </c>
      <c r="G38" s="353" t="str">
        <f>IF(Tabla4[[#This Row],['#]]="","",VLOOKUP(C38,Tabla1[[#All],['#]:[Número documento*]],5,FALSE))</f>
        <v/>
      </c>
      <c r="H38" s="352" t="str">
        <f>IF(Tabla4[[#This Row],['#]]="","",VLOOKUP(C38,Tabla1[[#All],['#]:[Empleador]],31,FALSE))</f>
        <v/>
      </c>
      <c r="I38" s="352"/>
      <c r="J38" s="352"/>
      <c r="K38" s="354"/>
      <c r="L38" s="354"/>
      <c r="M38" s="354"/>
      <c r="N38" s="135"/>
    </row>
    <row r="39" spans="2:14" hidden="1" x14ac:dyDescent="0.25">
      <c r="B39" s="27">
        <v>36</v>
      </c>
      <c r="C39" s="351"/>
      <c r="D39" s="352" t="str">
        <f>IF(Tabla4[[#This Row],['#]]="","",VLOOKUP(C39,Tabla1[[#All],['#]:[Número documento*]],2,FALSE))</f>
        <v/>
      </c>
      <c r="E39" s="352" t="str">
        <f>IF(Tabla4[[#This Row],['#]]="","",VLOOKUP(C39,Tabla1[[#All],['#]:[Número documento*]],3,FALSE))</f>
        <v/>
      </c>
      <c r="F39" s="352" t="str">
        <f>IF(Tabla4[[#This Row],['#]]="","",VLOOKUP(C39,Tabla1[[#All],['#]:[Número documento*]],4,FALSE))</f>
        <v/>
      </c>
      <c r="G39" s="353" t="str">
        <f>IF(Tabla4[[#This Row],['#]]="","",VLOOKUP(C39,Tabla1[[#All],['#]:[Número documento*]],5,FALSE))</f>
        <v/>
      </c>
      <c r="H39" s="352" t="str">
        <f>IF(Tabla4[[#This Row],['#]]="","",VLOOKUP(C39,Tabla1[[#All],['#]:[Empleador]],31,FALSE))</f>
        <v/>
      </c>
      <c r="I39" s="352"/>
      <c r="J39" s="352"/>
      <c r="K39" s="354"/>
      <c r="L39" s="354"/>
      <c r="M39" s="354"/>
      <c r="N39" s="135"/>
    </row>
    <row r="40" spans="2:14" hidden="1" x14ac:dyDescent="0.25">
      <c r="B40" s="27">
        <v>37</v>
      </c>
      <c r="C40" s="351"/>
      <c r="D40" s="352" t="str">
        <f>IF(Tabla4[[#This Row],['#]]="","",VLOOKUP(C40,Tabla1[[#All],['#]:[Número documento*]],2,FALSE))</f>
        <v/>
      </c>
      <c r="E40" s="352" t="str">
        <f>IF(Tabla4[[#This Row],['#]]="","",VLOOKUP(C40,Tabla1[[#All],['#]:[Número documento*]],3,FALSE))</f>
        <v/>
      </c>
      <c r="F40" s="352" t="str">
        <f>IF(Tabla4[[#This Row],['#]]="","",VLOOKUP(C40,Tabla1[[#All],['#]:[Número documento*]],4,FALSE))</f>
        <v/>
      </c>
      <c r="G40" s="353" t="str">
        <f>IF(Tabla4[[#This Row],['#]]="","",VLOOKUP(C40,Tabla1[[#All],['#]:[Número documento*]],5,FALSE))</f>
        <v/>
      </c>
      <c r="H40" s="352" t="str">
        <f>IF(Tabla4[[#This Row],['#]]="","",VLOOKUP(C40,Tabla1[[#All],['#]:[Empleador]],31,FALSE))</f>
        <v/>
      </c>
      <c r="I40" s="352"/>
      <c r="J40" s="352"/>
      <c r="K40" s="354"/>
      <c r="L40" s="354"/>
      <c r="M40" s="354"/>
      <c r="N40" s="135"/>
    </row>
    <row r="41" spans="2:14" hidden="1" x14ac:dyDescent="0.25">
      <c r="B41" s="27">
        <v>38</v>
      </c>
      <c r="C41" s="351"/>
      <c r="D41" s="352" t="str">
        <f>IF(Tabla4[[#This Row],['#]]="","",VLOOKUP(C41,Tabla1[[#All],['#]:[Número documento*]],2,FALSE))</f>
        <v/>
      </c>
      <c r="E41" s="352" t="str">
        <f>IF(Tabla4[[#This Row],['#]]="","",VLOOKUP(C41,Tabla1[[#All],['#]:[Número documento*]],3,FALSE))</f>
        <v/>
      </c>
      <c r="F41" s="352" t="str">
        <f>IF(Tabla4[[#This Row],['#]]="","",VLOOKUP(C41,Tabla1[[#All],['#]:[Número documento*]],4,FALSE))</f>
        <v/>
      </c>
      <c r="G41" s="353" t="str">
        <f>IF(Tabla4[[#This Row],['#]]="","",VLOOKUP(C41,Tabla1[[#All],['#]:[Número documento*]],5,FALSE))</f>
        <v/>
      </c>
      <c r="H41" s="352" t="str">
        <f>IF(Tabla4[[#This Row],['#]]="","",VLOOKUP(C41,Tabla1[[#All],['#]:[Empleador]],31,FALSE))</f>
        <v/>
      </c>
      <c r="I41" s="352"/>
      <c r="J41" s="352"/>
      <c r="K41" s="354"/>
      <c r="L41" s="354"/>
      <c r="M41" s="354"/>
      <c r="N41" s="135"/>
    </row>
    <row r="42" spans="2:14" hidden="1" x14ac:dyDescent="0.25">
      <c r="B42" s="27">
        <v>39</v>
      </c>
      <c r="C42" s="351"/>
      <c r="D42" s="352" t="str">
        <f>IF(Tabla4[[#This Row],['#]]="","",VLOOKUP(C42,Tabla1[[#All],['#]:[Número documento*]],2,FALSE))</f>
        <v/>
      </c>
      <c r="E42" s="352" t="str">
        <f>IF(Tabla4[[#This Row],['#]]="","",VLOOKUP(C42,Tabla1[[#All],['#]:[Número documento*]],3,FALSE))</f>
        <v/>
      </c>
      <c r="F42" s="352" t="str">
        <f>IF(Tabla4[[#This Row],['#]]="","",VLOOKUP(C42,Tabla1[[#All],['#]:[Número documento*]],4,FALSE))</f>
        <v/>
      </c>
      <c r="G42" s="353" t="str">
        <f>IF(Tabla4[[#This Row],['#]]="","",VLOOKUP(C42,Tabla1[[#All],['#]:[Número documento*]],5,FALSE))</f>
        <v/>
      </c>
      <c r="H42" s="352" t="str">
        <f>IF(Tabla4[[#This Row],['#]]="","",VLOOKUP(C42,Tabla1[[#All],['#]:[Empleador]],31,FALSE))</f>
        <v/>
      </c>
      <c r="I42" s="352"/>
      <c r="J42" s="352"/>
      <c r="K42" s="354"/>
      <c r="L42" s="354"/>
      <c r="M42" s="354"/>
      <c r="N42" s="135"/>
    </row>
    <row r="43" spans="2:14" hidden="1" x14ac:dyDescent="0.25">
      <c r="B43" s="27">
        <v>40</v>
      </c>
      <c r="C43" s="351"/>
      <c r="D43" s="352" t="str">
        <f>IF(Tabla4[[#This Row],['#]]="","",VLOOKUP(C43,Tabla1[[#All],['#]:[Número documento*]],2,FALSE))</f>
        <v/>
      </c>
      <c r="E43" s="352" t="str">
        <f>IF(Tabla4[[#This Row],['#]]="","",VLOOKUP(C43,Tabla1[[#All],['#]:[Número documento*]],3,FALSE))</f>
        <v/>
      </c>
      <c r="F43" s="352" t="str">
        <f>IF(Tabla4[[#This Row],['#]]="","",VLOOKUP(C43,Tabla1[[#All],['#]:[Número documento*]],4,FALSE))</f>
        <v/>
      </c>
      <c r="G43" s="353" t="str">
        <f>IF(Tabla4[[#This Row],['#]]="","",VLOOKUP(C43,Tabla1[[#All],['#]:[Número documento*]],5,FALSE))</f>
        <v/>
      </c>
      <c r="H43" s="352" t="str">
        <f>IF(Tabla4[[#This Row],['#]]="","",VLOOKUP(C43,Tabla1[[#All],['#]:[Empleador]],31,FALSE))</f>
        <v/>
      </c>
      <c r="I43" s="352"/>
      <c r="J43" s="352"/>
      <c r="K43" s="354"/>
      <c r="L43" s="354"/>
      <c r="M43" s="354"/>
      <c r="N43" s="135"/>
    </row>
    <row r="44" spans="2:14" hidden="1" x14ac:dyDescent="0.25">
      <c r="B44" s="27">
        <v>41</v>
      </c>
      <c r="C44" s="351"/>
      <c r="D44" s="352" t="str">
        <f>IF(Tabla4[[#This Row],['#]]="","",VLOOKUP(C44,Tabla1[[#All],['#]:[Número documento*]],2,FALSE))</f>
        <v/>
      </c>
      <c r="E44" s="352" t="str">
        <f>IF(Tabla4[[#This Row],['#]]="","",VLOOKUP(C44,Tabla1[[#All],['#]:[Número documento*]],3,FALSE))</f>
        <v/>
      </c>
      <c r="F44" s="352" t="str">
        <f>IF(Tabla4[[#This Row],['#]]="","",VLOOKUP(C44,Tabla1[[#All],['#]:[Número documento*]],4,FALSE))</f>
        <v/>
      </c>
      <c r="G44" s="353" t="str">
        <f>IF(Tabla4[[#This Row],['#]]="","",VLOOKUP(C44,Tabla1[[#All],['#]:[Número documento*]],5,FALSE))</f>
        <v/>
      </c>
      <c r="H44" s="352" t="str">
        <f>IF(Tabla4[[#This Row],['#]]="","",VLOOKUP(C44,Tabla1[[#All],['#]:[Empleador]],31,FALSE))</f>
        <v/>
      </c>
      <c r="I44" s="352"/>
      <c r="J44" s="352"/>
      <c r="K44" s="354"/>
      <c r="L44" s="354"/>
      <c r="M44" s="354"/>
      <c r="N44" s="135"/>
    </row>
    <row r="45" spans="2:14" hidden="1" x14ac:dyDescent="0.25">
      <c r="B45" s="27">
        <v>42</v>
      </c>
      <c r="C45" s="351"/>
      <c r="D45" s="352" t="str">
        <f>IF(Tabla4[[#This Row],['#]]="","",VLOOKUP(C45,Tabla1[[#All],['#]:[Número documento*]],2,FALSE))</f>
        <v/>
      </c>
      <c r="E45" s="352" t="str">
        <f>IF(Tabla4[[#This Row],['#]]="","",VLOOKUP(C45,Tabla1[[#All],['#]:[Número documento*]],3,FALSE))</f>
        <v/>
      </c>
      <c r="F45" s="352" t="str">
        <f>IF(Tabla4[[#This Row],['#]]="","",VLOOKUP(C45,Tabla1[[#All],['#]:[Número documento*]],4,FALSE))</f>
        <v/>
      </c>
      <c r="G45" s="353" t="str">
        <f>IF(Tabla4[[#This Row],['#]]="","",VLOOKUP(C45,Tabla1[[#All],['#]:[Número documento*]],5,FALSE))</f>
        <v/>
      </c>
      <c r="H45" s="352" t="str">
        <f>IF(Tabla4[[#This Row],['#]]="","",VLOOKUP(C45,Tabla1[[#All],['#]:[Empleador]],31,FALSE))</f>
        <v/>
      </c>
      <c r="I45" s="352"/>
      <c r="J45" s="352"/>
      <c r="K45" s="354"/>
      <c r="L45" s="354"/>
      <c r="M45" s="354"/>
      <c r="N45" s="135"/>
    </row>
    <row r="46" spans="2:14" hidden="1" x14ac:dyDescent="0.25">
      <c r="B46" s="27">
        <v>43</v>
      </c>
      <c r="C46" s="351"/>
      <c r="D46" s="352" t="str">
        <f>IF(Tabla4[[#This Row],['#]]="","",VLOOKUP(C46,Tabla1[[#All],['#]:[Número documento*]],2,FALSE))</f>
        <v/>
      </c>
      <c r="E46" s="352" t="str">
        <f>IF(Tabla4[[#This Row],['#]]="","",VLOOKUP(C46,Tabla1[[#All],['#]:[Número documento*]],3,FALSE))</f>
        <v/>
      </c>
      <c r="F46" s="352" t="str">
        <f>IF(Tabla4[[#This Row],['#]]="","",VLOOKUP(C46,Tabla1[[#All],['#]:[Número documento*]],4,FALSE))</f>
        <v/>
      </c>
      <c r="G46" s="353" t="str">
        <f>IF(Tabla4[[#This Row],['#]]="","",VLOOKUP(C46,Tabla1[[#All],['#]:[Número documento*]],5,FALSE))</f>
        <v/>
      </c>
      <c r="H46" s="352" t="str">
        <f>IF(Tabla4[[#This Row],['#]]="","",VLOOKUP(C46,Tabla1[[#All],['#]:[Empleador]],31,FALSE))</f>
        <v/>
      </c>
      <c r="I46" s="352"/>
      <c r="J46" s="352"/>
      <c r="K46" s="354"/>
      <c r="L46" s="354"/>
      <c r="M46" s="354"/>
      <c r="N46" s="135"/>
    </row>
    <row r="47" spans="2:14" hidden="1" x14ac:dyDescent="0.25">
      <c r="B47" s="27">
        <v>44</v>
      </c>
      <c r="C47" s="351"/>
      <c r="D47" s="352" t="str">
        <f>IF(Tabla4[[#This Row],['#]]="","",VLOOKUP(C47,Tabla1[[#All],['#]:[Número documento*]],2,FALSE))</f>
        <v/>
      </c>
      <c r="E47" s="352" t="str">
        <f>IF(Tabla4[[#This Row],['#]]="","",VLOOKUP(C47,Tabla1[[#All],['#]:[Número documento*]],3,FALSE))</f>
        <v/>
      </c>
      <c r="F47" s="352" t="str">
        <f>IF(Tabla4[[#This Row],['#]]="","",VLOOKUP(C47,Tabla1[[#All],['#]:[Número documento*]],4,FALSE))</f>
        <v/>
      </c>
      <c r="G47" s="353" t="str">
        <f>IF(Tabla4[[#This Row],['#]]="","",VLOOKUP(C47,Tabla1[[#All],['#]:[Número documento*]],5,FALSE))</f>
        <v/>
      </c>
      <c r="H47" s="352" t="str">
        <f>IF(Tabla4[[#This Row],['#]]="","",VLOOKUP(C47,Tabla1[[#All],['#]:[Empleador]],31,FALSE))</f>
        <v/>
      </c>
      <c r="I47" s="352"/>
      <c r="J47" s="352"/>
      <c r="K47" s="354"/>
      <c r="L47" s="354"/>
      <c r="M47" s="354"/>
      <c r="N47" s="135"/>
    </row>
    <row r="48" spans="2:14" hidden="1" x14ac:dyDescent="0.25">
      <c r="B48" s="27">
        <v>45</v>
      </c>
      <c r="C48" s="351"/>
      <c r="D48" s="352" t="str">
        <f>IF(Tabla4[[#This Row],['#]]="","",VLOOKUP(C48,Tabla1[[#All],['#]:[Número documento*]],2,FALSE))</f>
        <v/>
      </c>
      <c r="E48" s="352" t="str">
        <f>IF(Tabla4[[#This Row],['#]]="","",VLOOKUP(C48,Tabla1[[#All],['#]:[Número documento*]],3,FALSE))</f>
        <v/>
      </c>
      <c r="F48" s="352" t="str">
        <f>IF(Tabla4[[#This Row],['#]]="","",VLOOKUP(C48,Tabla1[[#All],['#]:[Número documento*]],4,FALSE))</f>
        <v/>
      </c>
      <c r="G48" s="353" t="str">
        <f>IF(Tabla4[[#This Row],['#]]="","",VLOOKUP(C48,Tabla1[[#All],['#]:[Número documento*]],5,FALSE))</f>
        <v/>
      </c>
      <c r="H48" s="352" t="str">
        <f>IF(Tabla4[[#This Row],['#]]="","",VLOOKUP(C48,Tabla1[[#All],['#]:[Empleador]],31,FALSE))</f>
        <v/>
      </c>
      <c r="I48" s="352"/>
      <c r="J48" s="352"/>
      <c r="K48" s="354"/>
      <c r="L48" s="354"/>
      <c r="M48" s="354"/>
      <c r="N48" s="135"/>
    </row>
    <row r="49" spans="2:14" hidden="1" x14ac:dyDescent="0.25">
      <c r="B49" s="27">
        <v>46</v>
      </c>
      <c r="C49" s="351"/>
      <c r="D49" s="352" t="str">
        <f>IF(Tabla4[[#This Row],['#]]="","",VLOOKUP(C49,Tabla1[[#All],['#]:[Número documento*]],2,FALSE))</f>
        <v/>
      </c>
      <c r="E49" s="352" t="str">
        <f>IF(Tabla4[[#This Row],['#]]="","",VLOOKUP(C49,Tabla1[[#All],['#]:[Número documento*]],3,FALSE))</f>
        <v/>
      </c>
      <c r="F49" s="352" t="str">
        <f>IF(Tabla4[[#This Row],['#]]="","",VLOOKUP(C49,Tabla1[[#All],['#]:[Número documento*]],4,FALSE))</f>
        <v/>
      </c>
      <c r="G49" s="353" t="str">
        <f>IF(Tabla4[[#This Row],['#]]="","",VLOOKUP(C49,Tabla1[[#All],['#]:[Número documento*]],5,FALSE))</f>
        <v/>
      </c>
      <c r="H49" s="352" t="str">
        <f>IF(Tabla4[[#This Row],['#]]="","",VLOOKUP(C49,Tabla1[[#All],['#]:[Empleador]],31,FALSE))</f>
        <v/>
      </c>
      <c r="I49" s="352"/>
      <c r="J49" s="352"/>
      <c r="K49" s="354"/>
      <c r="L49" s="354"/>
      <c r="M49" s="354"/>
      <c r="N49" s="135"/>
    </row>
    <row r="50" spans="2:14" hidden="1" x14ac:dyDescent="0.25">
      <c r="B50" s="27">
        <v>47</v>
      </c>
      <c r="C50" s="351"/>
      <c r="D50" s="352" t="str">
        <f>IF(Tabla4[[#This Row],['#]]="","",VLOOKUP(C50,Tabla1[[#All],['#]:[Número documento*]],2,FALSE))</f>
        <v/>
      </c>
      <c r="E50" s="352" t="str">
        <f>IF(Tabla4[[#This Row],['#]]="","",VLOOKUP(C50,Tabla1[[#All],['#]:[Número documento*]],3,FALSE))</f>
        <v/>
      </c>
      <c r="F50" s="352" t="str">
        <f>IF(Tabla4[[#This Row],['#]]="","",VLOOKUP(C50,Tabla1[[#All],['#]:[Número documento*]],4,FALSE))</f>
        <v/>
      </c>
      <c r="G50" s="353" t="str">
        <f>IF(Tabla4[[#This Row],['#]]="","",VLOOKUP(C50,Tabla1[[#All],['#]:[Número documento*]],5,FALSE))</f>
        <v/>
      </c>
      <c r="H50" s="352" t="str">
        <f>IF(Tabla4[[#This Row],['#]]="","",VLOOKUP(C50,Tabla1[[#All],['#]:[Empleador]],31,FALSE))</f>
        <v/>
      </c>
      <c r="I50" s="352"/>
      <c r="J50" s="352"/>
      <c r="K50" s="354"/>
      <c r="L50" s="354"/>
      <c r="M50" s="354"/>
      <c r="N50" s="135"/>
    </row>
    <row r="51" spans="2:14" hidden="1" x14ac:dyDescent="0.25">
      <c r="B51" s="27">
        <v>48</v>
      </c>
      <c r="C51" s="351"/>
      <c r="D51" s="352" t="str">
        <f>IF(Tabla4[[#This Row],['#]]="","",VLOOKUP(C51,Tabla1[[#All],['#]:[Número documento*]],2,FALSE))</f>
        <v/>
      </c>
      <c r="E51" s="352" t="str">
        <f>IF(Tabla4[[#This Row],['#]]="","",VLOOKUP(C51,Tabla1[[#All],['#]:[Número documento*]],3,FALSE))</f>
        <v/>
      </c>
      <c r="F51" s="352" t="str">
        <f>IF(Tabla4[[#This Row],['#]]="","",VLOOKUP(C51,Tabla1[[#All],['#]:[Número documento*]],4,FALSE))</f>
        <v/>
      </c>
      <c r="G51" s="353" t="str">
        <f>IF(Tabla4[[#This Row],['#]]="","",VLOOKUP(C51,Tabla1[[#All],['#]:[Número documento*]],5,FALSE))</f>
        <v/>
      </c>
      <c r="H51" s="352" t="str">
        <f>IF(Tabla4[[#This Row],['#]]="","",VLOOKUP(C51,Tabla1[[#All],['#]:[Empleador]],31,FALSE))</f>
        <v/>
      </c>
      <c r="I51" s="352"/>
      <c r="J51" s="352"/>
      <c r="K51" s="354"/>
      <c r="L51" s="354"/>
      <c r="M51" s="354"/>
      <c r="N51" s="135"/>
    </row>
    <row r="52" spans="2:14" hidden="1" x14ac:dyDescent="0.25">
      <c r="B52" s="27">
        <v>49</v>
      </c>
      <c r="C52" s="351"/>
      <c r="D52" s="352" t="str">
        <f>IF(Tabla4[[#This Row],['#]]="","",VLOOKUP(C52,Tabla1[[#All],['#]:[Número documento*]],2,FALSE))</f>
        <v/>
      </c>
      <c r="E52" s="352" t="str">
        <f>IF(Tabla4[[#This Row],['#]]="","",VLOOKUP(C52,Tabla1[[#All],['#]:[Número documento*]],3,FALSE))</f>
        <v/>
      </c>
      <c r="F52" s="352" t="str">
        <f>IF(Tabla4[[#This Row],['#]]="","",VLOOKUP(C52,Tabla1[[#All],['#]:[Número documento*]],4,FALSE))</f>
        <v/>
      </c>
      <c r="G52" s="353" t="str">
        <f>IF(Tabla4[[#This Row],['#]]="","",VLOOKUP(C52,Tabla1[[#All],['#]:[Número documento*]],5,FALSE))</f>
        <v/>
      </c>
      <c r="H52" s="352" t="str">
        <f>IF(Tabla4[[#This Row],['#]]="","",VLOOKUP(C52,Tabla1[[#All],['#]:[Empleador]],31,FALSE))</f>
        <v/>
      </c>
      <c r="I52" s="352"/>
      <c r="J52" s="352"/>
      <c r="K52" s="354"/>
      <c r="L52" s="354"/>
      <c r="M52" s="354"/>
      <c r="N52" s="135"/>
    </row>
    <row r="53" spans="2:14" hidden="1" x14ac:dyDescent="0.25">
      <c r="B53" s="27">
        <v>50</v>
      </c>
      <c r="C53" s="351"/>
      <c r="D53" s="352" t="str">
        <f>IF(Tabla4[[#This Row],['#]]="","",VLOOKUP(C53,Tabla1[[#All],['#]:[Número documento*]],2,FALSE))</f>
        <v/>
      </c>
      <c r="E53" s="352" t="str">
        <f>IF(Tabla4[[#This Row],['#]]="","",VLOOKUP(C53,Tabla1[[#All],['#]:[Número documento*]],3,FALSE))</f>
        <v/>
      </c>
      <c r="F53" s="352" t="str">
        <f>IF(Tabla4[[#This Row],['#]]="","",VLOOKUP(C53,Tabla1[[#All],['#]:[Número documento*]],4,FALSE))</f>
        <v/>
      </c>
      <c r="G53" s="353" t="str">
        <f>IF(Tabla4[[#This Row],['#]]="","",VLOOKUP(C53,Tabla1[[#All],['#]:[Número documento*]],5,FALSE))</f>
        <v/>
      </c>
      <c r="H53" s="352" t="str">
        <f>IF(Tabla4[[#This Row],['#]]="","",VLOOKUP(C53,Tabla1[[#All],['#]:[Empleador]],31,FALSE))</f>
        <v/>
      </c>
      <c r="I53" s="352"/>
      <c r="J53" s="352"/>
      <c r="K53" s="354"/>
      <c r="L53" s="354"/>
      <c r="M53" s="354"/>
      <c r="N53" s="135"/>
    </row>
    <row r="54" spans="2:14" hidden="1" x14ac:dyDescent="0.25">
      <c r="B54" s="27">
        <v>51</v>
      </c>
      <c r="C54" s="351"/>
      <c r="D54" s="352" t="str">
        <f>IF(Tabla4[[#This Row],['#]]="","",VLOOKUP(C54,Tabla1[[#All],['#]:[Número documento*]],2,FALSE))</f>
        <v/>
      </c>
      <c r="E54" s="352" t="str">
        <f>IF(Tabla4[[#This Row],['#]]="","",VLOOKUP(C54,Tabla1[[#All],['#]:[Número documento*]],3,FALSE))</f>
        <v/>
      </c>
      <c r="F54" s="352" t="str">
        <f>IF(Tabla4[[#This Row],['#]]="","",VLOOKUP(C54,Tabla1[[#All],['#]:[Número documento*]],4,FALSE))</f>
        <v/>
      </c>
      <c r="G54" s="353" t="str">
        <f>IF(Tabla4[[#This Row],['#]]="","",VLOOKUP(C54,Tabla1[[#All],['#]:[Número documento*]],5,FALSE))</f>
        <v/>
      </c>
      <c r="H54" s="352" t="str">
        <f>IF(Tabla4[[#This Row],['#]]="","",VLOOKUP(C54,Tabla1[[#All],['#]:[Empleador]],31,FALSE))</f>
        <v/>
      </c>
      <c r="I54" s="352"/>
      <c r="J54" s="352"/>
      <c r="K54" s="354"/>
      <c r="L54" s="354"/>
      <c r="M54" s="354"/>
      <c r="N54" s="135"/>
    </row>
    <row r="55" spans="2:14" hidden="1" x14ac:dyDescent="0.25">
      <c r="B55" s="27">
        <v>52</v>
      </c>
      <c r="C55" s="351"/>
      <c r="D55" s="352" t="str">
        <f>IF(Tabla4[[#This Row],['#]]="","",VLOOKUP(C55,Tabla1[[#All],['#]:[Número documento*]],2,FALSE))</f>
        <v/>
      </c>
      <c r="E55" s="352" t="str">
        <f>IF(Tabla4[[#This Row],['#]]="","",VLOOKUP(C55,Tabla1[[#All],['#]:[Número documento*]],3,FALSE))</f>
        <v/>
      </c>
      <c r="F55" s="352" t="str">
        <f>IF(Tabla4[[#This Row],['#]]="","",VLOOKUP(C55,Tabla1[[#All],['#]:[Número documento*]],4,FALSE))</f>
        <v/>
      </c>
      <c r="G55" s="353" t="str">
        <f>IF(Tabla4[[#This Row],['#]]="","",VLOOKUP(C55,Tabla1[[#All],['#]:[Número documento*]],5,FALSE))</f>
        <v/>
      </c>
      <c r="H55" s="352" t="str">
        <f>IF(Tabla4[[#This Row],['#]]="","",VLOOKUP(C55,Tabla1[[#All],['#]:[Empleador]],31,FALSE))</f>
        <v/>
      </c>
      <c r="I55" s="352"/>
      <c r="J55" s="352"/>
      <c r="K55" s="354"/>
      <c r="L55" s="354"/>
      <c r="M55" s="354"/>
      <c r="N55" s="135"/>
    </row>
    <row r="56" spans="2:14" hidden="1" x14ac:dyDescent="0.25">
      <c r="B56" s="27">
        <v>53</v>
      </c>
      <c r="C56" s="351"/>
      <c r="D56" s="352" t="str">
        <f>IF(Tabla4[[#This Row],['#]]="","",VLOOKUP(C56,Tabla1[[#All],['#]:[Número documento*]],2,FALSE))</f>
        <v/>
      </c>
      <c r="E56" s="352" t="str">
        <f>IF(Tabla4[[#This Row],['#]]="","",VLOOKUP(C56,Tabla1[[#All],['#]:[Número documento*]],3,FALSE))</f>
        <v/>
      </c>
      <c r="F56" s="352" t="str">
        <f>IF(Tabla4[[#This Row],['#]]="","",VLOOKUP(C56,Tabla1[[#All],['#]:[Número documento*]],4,FALSE))</f>
        <v/>
      </c>
      <c r="G56" s="353" t="str">
        <f>IF(Tabla4[[#This Row],['#]]="","",VLOOKUP(C56,Tabla1[[#All],['#]:[Número documento*]],5,FALSE))</f>
        <v/>
      </c>
      <c r="H56" s="352" t="str">
        <f>IF(Tabla4[[#This Row],['#]]="","",VLOOKUP(C56,Tabla1[[#All],['#]:[Empleador]],31,FALSE))</f>
        <v/>
      </c>
      <c r="I56" s="352"/>
      <c r="J56" s="352"/>
      <c r="K56" s="354"/>
      <c r="L56" s="354"/>
      <c r="M56" s="354"/>
      <c r="N56" s="135"/>
    </row>
    <row r="57" spans="2:14" hidden="1" x14ac:dyDescent="0.25">
      <c r="B57" s="27">
        <v>54</v>
      </c>
      <c r="C57" s="351"/>
      <c r="D57" s="352" t="str">
        <f>IF(Tabla4[[#This Row],['#]]="","",VLOOKUP(C57,Tabla1[[#All],['#]:[Número documento*]],2,FALSE))</f>
        <v/>
      </c>
      <c r="E57" s="352" t="str">
        <f>IF(Tabla4[[#This Row],['#]]="","",VLOOKUP(C57,Tabla1[[#All],['#]:[Número documento*]],3,FALSE))</f>
        <v/>
      </c>
      <c r="F57" s="352" t="str">
        <f>IF(Tabla4[[#This Row],['#]]="","",VLOOKUP(C57,Tabla1[[#All],['#]:[Número documento*]],4,FALSE))</f>
        <v/>
      </c>
      <c r="G57" s="353" t="str">
        <f>IF(Tabla4[[#This Row],['#]]="","",VLOOKUP(C57,Tabla1[[#All],['#]:[Número documento*]],5,FALSE))</f>
        <v/>
      </c>
      <c r="H57" s="352" t="str">
        <f>IF(Tabla4[[#This Row],['#]]="","",VLOOKUP(C57,Tabla1[[#All],['#]:[Empleador]],31,FALSE))</f>
        <v/>
      </c>
      <c r="I57" s="352"/>
      <c r="J57" s="352"/>
      <c r="K57" s="354"/>
      <c r="L57" s="354"/>
      <c r="M57" s="354"/>
      <c r="N57" s="135"/>
    </row>
    <row r="58" spans="2:14" hidden="1" x14ac:dyDescent="0.25">
      <c r="B58" s="27">
        <v>55</v>
      </c>
      <c r="C58" s="351"/>
      <c r="D58" s="352" t="str">
        <f>IF(Tabla4[[#This Row],['#]]="","",VLOOKUP(C58,Tabla1[[#All],['#]:[Número documento*]],2,FALSE))</f>
        <v/>
      </c>
      <c r="E58" s="352" t="str">
        <f>IF(Tabla4[[#This Row],['#]]="","",VLOOKUP(C58,Tabla1[[#All],['#]:[Número documento*]],3,FALSE))</f>
        <v/>
      </c>
      <c r="F58" s="352" t="str">
        <f>IF(Tabla4[[#This Row],['#]]="","",VLOOKUP(C58,Tabla1[[#All],['#]:[Número documento*]],4,FALSE))</f>
        <v/>
      </c>
      <c r="G58" s="353" t="str">
        <f>IF(Tabla4[[#This Row],['#]]="","",VLOOKUP(C58,Tabla1[[#All],['#]:[Número documento*]],5,FALSE))</f>
        <v/>
      </c>
      <c r="H58" s="352" t="str">
        <f>IF(Tabla4[[#This Row],['#]]="","",VLOOKUP(C58,Tabla1[[#All],['#]:[Empleador]],31,FALSE))</f>
        <v/>
      </c>
      <c r="I58" s="352"/>
      <c r="J58" s="352"/>
      <c r="K58" s="354"/>
      <c r="L58" s="354"/>
      <c r="M58" s="354"/>
      <c r="N58" s="135"/>
    </row>
    <row r="59" spans="2:14" hidden="1" x14ac:dyDescent="0.25">
      <c r="B59" s="27">
        <v>56</v>
      </c>
      <c r="C59" s="351"/>
      <c r="D59" s="352" t="str">
        <f>IF(Tabla4[[#This Row],['#]]="","",VLOOKUP(C59,Tabla1[[#All],['#]:[Número documento*]],2,FALSE))</f>
        <v/>
      </c>
      <c r="E59" s="352" t="str">
        <f>IF(Tabla4[[#This Row],['#]]="","",VLOOKUP(C59,Tabla1[[#All],['#]:[Número documento*]],3,FALSE))</f>
        <v/>
      </c>
      <c r="F59" s="352" t="str">
        <f>IF(Tabla4[[#This Row],['#]]="","",VLOOKUP(C59,Tabla1[[#All],['#]:[Número documento*]],4,FALSE))</f>
        <v/>
      </c>
      <c r="G59" s="353" t="str">
        <f>IF(Tabla4[[#This Row],['#]]="","",VLOOKUP(C59,Tabla1[[#All],['#]:[Número documento*]],5,FALSE))</f>
        <v/>
      </c>
      <c r="H59" s="352" t="str">
        <f>IF(Tabla4[[#This Row],['#]]="","",VLOOKUP(C59,Tabla1[[#All],['#]:[Empleador]],31,FALSE))</f>
        <v/>
      </c>
      <c r="I59" s="352"/>
      <c r="J59" s="352"/>
      <c r="K59" s="354"/>
      <c r="L59" s="354"/>
      <c r="M59" s="354"/>
      <c r="N59" s="135"/>
    </row>
    <row r="60" spans="2:14" hidden="1" x14ac:dyDescent="0.25">
      <c r="B60" s="27">
        <v>57</v>
      </c>
      <c r="C60" s="351"/>
      <c r="D60" s="352" t="str">
        <f>IF(Tabla4[[#This Row],['#]]="","",VLOOKUP(C60,Tabla1[[#All],['#]:[Número documento*]],2,FALSE))</f>
        <v/>
      </c>
      <c r="E60" s="352" t="str">
        <f>IF(Tabla4[[#This Row],['#]]="","",VLOOKUP(C60,Tabla1[[#All],['#]:[Número documento*]],3,FALSE))</f>
        <v/>
      </c>
      <c r="F60" s="352" t="str">
        <f>IF(Tabla4[[#This Row],['#]]="","",VLOOKUP(C60,Tabla1[[#All],['#]:[Número documento*]],4,FALSE))</f>
        <v/>
      </c>
      <c r="G60" s="353" t="str">
        <f>IF(Tabla4[[#This Row],['#]]="","",VLOOKUP(C60,Tabla1[[#All],['#]:[Número documento*]],5,FALSE))</f>
        <v/>
      </c>
      <c r="H60" s="352" t="str">
        <f>IF(Tabla4[[#This Row],['#]]="","",VLOOKUP(C60,Tabla1[[#All],['#]:[Empleador]],31,FALSE))</f>
        <v/>
      </c>
      <c r="I60" s="352"/>
      <c r="J60" s="352"/>
      <c r="K60" s="354"/>
      <c r="L60" s="354"/>
      <c r="M60" s="354"/>
      <c r="N60" s="135"/>
    </row>
    <row r="61" spans="2:14" hidden="1" x14ac:dyDescent="0.25">
      <c r="B61" s="27">
        <v>58</v>
      </c>
      <c r="C61" s="351"/>
      <c r="D61" s="352" t="str">
        <f>IF(Tabla4[[#This Row],['#]]="","",VLOOKUP(C61,Tabla1[[#All],['#]:[Número documento*]],2,FALSE))</f>
        <v/>
      </c>
      <c r="E61" s="352" t="str">
        <f>IF(Tabla4[[#This Row],['#]]="","",VLOOKUP(C61,Tabla1[[#All],['#]:[Número documento*]],3,FALSE))</f>
        <v/>
      </c>
      <c r="F61" s="352" t="str">
        <f>IF(Tabla4[[#This Row],['#]]="","",VLOOKUP(C61,Tabla1[[#All],['#]:[Número documento*]],4,FALSE))</f>
        <v/>
      </c>
      <c r="G61" s="353" t="str">
        <f>IF(Tabla4[[#This Row],['#]]="","",VLOOKUP(C61,Tabla1[[#All],['#]:[Número documento*]],5,FALSE))</f>
        <v/>
      </c>
      <c r="H61" s="352" t="str">
        <f>IF(Tabla4[[#This Row],['#]]="","",VLOOKUP(C61,Tabla1[[#All],['#]:[Empleador]],31,FALSE))</f>
        <v/>
      </c>
      <c r="I61" s="352"/>
      <c r="J61" s="352"/>
      <c r="K61" s="354"/>
      <c r="L61" s="354"/>
      <c r="M61" s="354"/>
      <c r="N61" s="135"/>
    </row>
    <row r="62" spans="2:14" hidden="1" x14ac:dyDescent="0.25">
      <c r="B62" s="27">
        <v>59</v>
      </c>
      <c r="C62" s="351"/>
      <c r="D62" s="352" t="str">
        <f>IF(Tabla4[[#This Row],['#]]="","",VLOOKUP(C62,Tabla1[[#All],['#]:[Número documento*]],2,FALSE))</f>
        <v/>
      </c>
      <c r="E62" s="352" t="str">
        <f>IF(Tabla4[[#This Row],['#]]="","",VLOOKUP(C62,Tabla1[[#All],['#]:[Número documento*]],3,FALSE))</f>
        <v/>
      </c>
      <c r="F62" s="352" t="str">
        <f>IF(Tabla4[[#This Row],['#]]="","",VLOOKUP(C62,Tabla1[[#All],['#]:[Número documento*]],4,FALSE))</f>
        <v/>
      </c>
      <c r="G62" s="353" t="str">
        <f>IF(Tabla4[[#This Row],['#]]="","",VLOOKUP(C62,Tabla1[[#All],['#]:[Número documento*]],5,FALSE))</f>
        <v/>
      </c>
      <c r="H62" s="352" t="str">
        <f>IF(Tabla4[[#This Row],['#]]="","",VLOOKUP(C62,Tabla1[[#All],['#]:[Empleador]],31,FALSE))</f>
        <v/>
      </c>
      <c r="I62" s="352"/>
      <c r="J62" s="352"/>
      <c r="K62" s="354"/>
      <c r="L62" s="354"/>
      <c r="M62" s="354"/>
      <c r="N62" s="135"/>
    </row>
    <row r="63" spans="2:14" hidden="1" x14ac:dyDescent="0.25">
      <c r="B63" s="27">
        <v>60</v>
      </c>
      <c r="C63" s="351"/>
      <c r="D63" s="352" t="str">
        <f>IF(Tabla4[[#This Row],['#]]="","",VLOOKUP(C63,Tabla1[[#All],['#]:[Número documento*]],2,FALSE))</f>
        <v/>
      </c>
      <c r="E63" s="352" t="str">
        <f>IF(Tabla4[[#This Row],['#]]="","",VLOOKUP(C63,Tabla1[[#All],['#]:[Número documento*]],3,FALSE))</f>
        <v/>
      </c>
      <c r="F63" s="352" t="str">
        <f>IF(Tabla4[[#This Row],['#]]="","",VLOOKUP(C63,Tabla1[[#All],['#]:[Número documento*]],4,FALSE))</f>
        <v/>
      </c>
      <c r="G63" s="353" t="str">
        <f>IF(Tabla4[[#This Row],['#]]="","",VLOOKUP(C63,Tabla1[[#All],['#]:[Número documento*]],5,FALSE))</f>
        <v/>
      </c>
      <c r="H63" s="352" t="str">
        <f>IF(Tabla4[[#This Row],['#]]="","",VLOOKUP(C63,Tabla1[[#All],['#]:[Empleador]],31,FALSE))</f>
        <v/>
      </c>
      <c r="I63" s="352"/>
      <c r="J63" s="352"/>
      <c r="K63" s="354"/>
      <c r="L63" s="354"/>
      <c r="M63" s="354"/>
      <c r="N63" s="135"/>
    </row>
    <row r="64" spans="2:14" hidden="1" x14ac:dyDescent="0.25">
      <c r="B64" s="27">
        <v>61</v>
      </c>
      <c r="C64" s="351"/>
      <c r="D64" s="352" t="str">
        <f>IF(Tabla4[[#This Row],['#]]="","",VLOOKUP(C64,Tabla1[[#All],['#]:[Número documento*]],2,FALSE))</f>
        <v/>
      </c>
      <c r="E64" s="352" t="str">
        <f>IF(Tabla4[[#This Row],['#]]="","",VLOOKUP(C64,Tabla1[[#All],['#]:[Número documento*]],3,FALSE))</f>
        <v/>
      </c>
      <c r="F64" s="352" t="str">
        <f>IF(Tabla4[[#This Row],['#]]="","",VLOOKUP(C64,Tabla1[[#All],['#]:[Número documento*]],4,FALSE))</f>
        <v/>
      </c>
      <c r="G64" s="353" t="str">
        <f>IF(Tabla4[[#This Row],['#]]="","",VLOOKUP(C64,Tabla1[[#All],['#]:[Número documento*]],5,FALSE))</f>
        <v/>
      </c>
      <c r="H64" s="352" t="str">
        <f>IF(Tabla4[[#This Row],['#]]="","",VLOOKUP(C64,Tabla1[[#All],['#]:[Empleador]],31,FALSE))</f>
        <v/>
      </c>
      <c r="I64" s="352"/>
      <c r="J64" s="352"/>
      <c r="K64" s="354"/>
      <c r="L64" s="354"/>
      <c r="M64" s="354"/>
      <c r="N64" s="135"/>
    </row>
    <row r="65" spans="2:14" hidden="1" x14ac:dyDescent="0.25">
      <c r="B65" s="27">
        <v>62</v>
      </c>
      <c r="C65" s="351"/>
      <c r="D65" s="352" t="str">
        <f>IF(Tabla4[[#This Row],['#]]="","",VLOOKUP(C65,Tabla1[[#All],['#]:[Número documento*]],2,FALSE))</f>
        <v/>
      </c>
      <c r="E65" s="352" t="str">
        <f>IF(Tabla4[[#This Row],['#]]="","",VLOOKUP(C65,Tabla1[[#All],['#]:[Número documento*]],3,FALSE))</f>
        <v/>
      </c>
      <c r="F65" s="352" t="str">
        <f>IF(Tabla4[[#This Row],['#]]="","",VLOOKUP(C65,Tabla1[[#All],['#]:[Número documento*]],4,FALSE))</f>
        <v/>
      </c>
      <c r="G65" s="353" t="str">
        <f>IF(Tabla4[[#This Row],['#]]="","",VLOOKUP(C65,Tabla1[[#All],['#]:[Número documento*]],5,FALSE))</f>
        <v/>
      </c>
      <c r="H65" s="352" t="str">
        <f>IF(Tabla4[[#This Row],['#]]="","",VLOOKUP(C65,Tabla1[[#All],['#]:[Empleador]],31,FALSE))</f>
        <v/>
      </c>
      <c r="I65" s="352"/>
      <c r="J65" s="352"/>
      <c r="K65" s="354"/>
      <c r="L65" s="354"/>
      <c r="M65" s="354"/>
      <c r="N65" s="135"/>
    </row>
    <row r="66" spans="2:14" hidden="1" x14ac:dyDescent="0.25">
      <c r="B66" s="27">
        <v>63</v>
      </c>
      <c r="C66" s="351"/>
      <c r="D66" s="352" t="str">
        <f>IF(Tabla4[[#This Row],['#]]="","",VLOOKUP(C66,Tabla1[[#All],['#]:[Número documento*]],2,FALSE))</f>
        <v/>
      </c>
      <c r="E66" s="352" t="str">
        <f>IF(Tabla4[[#This Row],['#]]="","",VLOOKUP(C66,Tabla1[[#All],['#]:[Número documento*]],3,FALSE))</f>
        <v/>
      </c>
      <c r="F66" s="352" t="str">
        <f>IF(Tabla4[[#This Row],['#]]="","",VLOOKUP(C66,Tabla1[[#All],['#]:[Número documento*]],4,FALSE))</f>
        <v/>
      </c>
      <c r="G66" s="353" t="str">
        <f>IF(Tabla4[[#This Row],['#]]="","",VLOOKUP(C66,Tabla1[[#All],['#]:[Número documento*]],5,FALSE))</f>
        <v/>
      </c>
      <c r="H66" s="352" t="str">
        <f>IF(Tabla4[[#This Row],['#]]="","",VLOOKUP(C66,Tabla1[[#All],['#]:[Empleador]],31,FALSE))</f>
        <v/>
      </c>
      <c r="I66" s="352"/>
      <c r="J66" s="352"/>
      <c r="K66" s="354"/>
      <c r="L66" s="354"/>
      <c r="M66" s="354"/>
      <c r="N66" s="135"/>
    </row>
    <row r="67" spans="2:14" hidden="1" x14ac:dyDescent="0.25">
      <c r="B67" s="27">
        <v>64</v>
      </c>
      <c r="C67" s="351"/>
      <c r="D67" s="352" t="str">
        <f>IF(Tabla4[[#This Row],['#]]="","",VLOOKUP(C67,Tabla1[[#All],['#]:[Número documento*]],2,FALSE))</f>
        <v/>
      </c>
      <c r="E67" s="352" t="str">
        <f>IF(Tabla4[[#This Row],['#]]="","",VLOOKUP(C67,Tabla1[[#All],['#]:[Número documento*]],3,FALSE))</f>
        <v/>
      </c>
      <c r="F67" s="352" t="str">
        <f>IF(Tabla4[[#This Row],['#]]="","",VLOOKUP(C67,Tabla1[[#All],['#]:[Número documento*]],4,FALSE))</f>
        <v/>
      </c>
      <c r="G67" s="353" t="str">
        <f>IF(Tabla4[[#This Row],['#]]="","",VLOOKUP(C67,Tabla1[[#All],['#]:[Número documento*]],5,FALSE))</f>
        <v/>
      </c>
      <c r="H67" s="352" t="str">
        <f>IF(Tabla4[[#This Row],['#]]="","",VLOOKUP(C67,Tabla1[[#All],['#]:[Empleador]],31,FALSE))</f>
        <v/>
      </c>
      <c r="I67" s="352"/>
      <c r="J67" s="352"/>
      <c r="K67" s="354"/>
      <c r="L67" s="354"/>
      <c r="M67" s="354"/>
      <c r="N67" s="135"/>
    </row>
    <row r="68" spans="2:14" hidden="1" x14ac:dyDescent="0.25">
      <c r="B68" s="27">
        <v>65</v>
      </c>
      <c r="C68" s="351"/>
      <c r="D68" s="352" t="str">
        <f>IF(Tabla4[[#This Row],['#]]="","",VLOOKUP(C68,Tabla1[[#All],['#]:[Número documento*]],2,FALSE))</f>
        <v/>
      </c>
      <c r="E68" s="352" t="str">
        <f>IF(Tabla4[[#This Row],['#]]="","",VLOOKUP(C68,Tabla1[[#All],['#]:[Número documento*]],3,FALSE))</f>
        <v/>
      </c>
      <c r="F68" s="352" t="str">
        <f>IF(Tabla4[[#This Row],['#]]="","",VLOOKUP(C68,Tabla1[[#All],['#]:[Número documento*]],4,FALSE))</f>
        <v/>
      </c>
      <c r="G68" s="353" t="str">
        <f>IF(Tabla4[[#This Row],['#]]="","",VLOOKUP(C68,Tabla1[[#All],['#]:[Número documento*]],5,FALSE))</f>
        <v/>
      </c>
      <c r="H68" s="352" t="str">
        <f>IF(Tabla4[[#This Row],['#]]="","",VLOOKUP(C68,Tabla1[[#All],['#]:[Empleador]],31,FALSE))</f>
        <v/>
      </c>
      <c r="I68" s="352"/>
      <c r="J68" s="352"/>
      <c r="K68" s="354"/>
      <c r="L68" s="354"/>
      <c r="M68" s="354"/>
      <c r="N68" s="135"/>
    </row>
    <row r="69" spans="2:14" hidden="1" x14ac:dyDescent="0.25">
      <c r="B69" s="27">
        <v>66</v>
      </c>
      <c r="C69" s="351"/>
      <c r="D69" s="352" t="str">
        <f>IF(Tabla4[[#This Row],['#]]="","",VLOOKUP(C69,Tabla1[[#All],['#]:[Número documento*]],2,FALSE))</f>
        <v/>
      </c>
      <c r="E69" s="352" t="str">
        <f>IF(Tabla4[[#This Row],['#]]="","",VLOOKUP(C69,Tabla1[[#All],['#]:[Número documento*]],3,FALSE))</f>
        <v/>
      </c>
      <c r="F69" s="352" t="str">
        <f>IF(Tabla4[[#This Row],['#]]="","",VLOOKUP(C69,Tabla1[[#All],['#]:[Número documento*]],4,FALSE))</f>
        <v/>
      </c>
      <c r="G69" s="353" t="str">
        <f>IF(Tabla4[[#This Row],['#]]="","",VLOOKUP(C69,Tabla1[[#All],['#]:[Número documento*]],5,FALSE))</f>
        <v/>
      </c>
      <c r="H69" s="352" t="str">
        <f>IF(Tabla4[[#This Row],['#]]="","",VLOOKUP(C69,Tabla1[[#All],['#]:[Empleador]],31,FALSE))</f>
        <v/>
      </c>
      <c r="I69" s="352"/>
      <c r="J69" s="352"/>
      <c r="K69" s="354"/>
      <c r="L69" s="354"/>
      <c r="M69" s="354"/>
      <c r="N69" s="135"/>
    </row>
    <row r="70" spans="2:14" hidden="1" x14ac:dyDescent="0.25">
      <c r="B70" s="27">
        <v>67</v>
      </c>
      <c r="C70" s="351"/>
      <c r="D70" s="352" t="str">
        <f>IF(Tabla4[[#This Row],['#]]="","",VLOOKUP(C70,Tabla1[[#All],['#]:[Número documento*]],2,FALSE))</f>
        <v/>
      </c>
      <c r="E70" s="352" t="str">
        <f>IF(Tabla4[[#This Row],['#]]="","",VLOOKUP(C70,Tabla1[[#All],['#]:[Número documento*]],3,FALSE))</f>
        <v/>
      </c>
      <c r="F70" s="352" t="str">
        <f>IF(Tabla4[[#This Row],['#]]="","",VLOOKUP(C70,Tabla1[[#All],['#]:[Número documento*]],4,FALSE))</f>
        <v/>
      </c>
      <c r="G70" s="353" t="str">
        <f>IF(Tabla4[[#This Row],['#]]="","",VLOOKUP(C70,Tabla1[[#All],['#]:[Número documento*]],5,FALSE))</f>
        <v/>
      </c>
      <c r="H70" s="352" t="str">
        <f>IF(Tabla4[[#This Row],['#]]="","",VLOOKUP(C70,Tabla1[[#All],['#]:[Empleador]],31,FALSE))</f>
        <v/>
      </c>
      <c r="I70" s="352"/>
      <c r="J70" s="352"/>
      <c r="K70" s="354"/>
      <c r="L70" s="354"/>
      <c r="M70" s="354"/>
      <c r="N70" s="135"/>
    </row>
    <row r="71" spans="2:14" hidden="1" x14ac:dyDescent="0.25">
      <c r="B71" s="27">
        <v>68</v>
      </c>
      <c r="C71" s="351"/>
      <c r="D71" s="352" t="str">
        <f>IF(Tabla4[[#This Row],['#]]="","",VLOOKUP(C71,Tabla1[[#All],['#]:[Número documento*]],2,FALSE))</f>
        <v/>
      </c>
      <c r="E71" s="352" t="str">
        <f>IF(Tabla4[[#This Row],['#]]="","",VLOOKUP(C71,Tabla1[[#All],['#]:[Número documento*]],3,FALSE))</f>
        <v/>
      </c>
      <c r="F71" s="352" t="str">
        <f>IF(Tabla4[[#This Row],['#]]="","",VLOOKUP(C71,Tabla1[[#All],['#]:[Número documento*]],4,FALSE))</f>
        <v/>
      </c>
      <c r="G71" s="353" t="str">
        <f>IF(Tabla4[[#This Row],['#]]="","",VLOOKUP(C71,Tabla1[[#All],['#]:[Número documento*]],5,FALSE))</f>
        <v/>
      </c>
      <c r="H71" s="352" t="str">
        <f>IF(Tabla4[[#This Row],['#]]="","",VLOOKUP(C71,Tabla1[[#All],['#]:[Empleador]],31,FALSE))</f>
        <v/>
      </c>
      <c r="I71" s="352"/>
      <c r="J71" s="352"/>
      <c r="K71" s="354"/>
      <c r="L71" s="354"/>
      <c r="M71" s="354"/>
      <c r="N71" s="135"/>
    </row>
    <row r="72" spans="2:14" hidden="1" x14ac:dyDescent="0.25">
      <c r="B72" s="27">
        <v>69</v>
      </c>
      <c r="C72" s="351"/>
      <c r="D72" s="352" t="str">
        <f>IF(Tabla4[[#This Row],['#]]="","",VLOOKUP(C72,Tabla1[[#All],['#]:[Número documento*]],2,FALSE))</f>
        <v/>
      </c>
      <c r="E72" s="352" t="str">
        <f>IF(Tabla4[[#This Row],['#]]="","",VLOOKUP(C72,Tabla1[[#All],['#]:[Número documento*]],3,FALSE))</f>
        <v/>
      </c>
      <c r="F72" s="352" t="str">
        <f>IF(Tabla4[[#This Row],['#]]="","",VLOOKUP(C72,Tabla1[[#All],['#]:[Número documento*]],4,FALSE))</f>
        <v/>
      </c>
      <c r="G72" s="353" t="str">
        <f>IF(Tabla4[[#This Row],['#]]="","",VLOOKUP(C72,Tabla1[[#All],['#]:[Número documento*]],5,FALSE))</f>
        <v/>
      </c>
      <c r="H72" s="352" t="str">
        <f>IF(Tabla4[[#This Row],['#]]="","",VLOOKUP(C72,Tabla1[[#All],['#]:[Empleador]],31,FALSE))</f>
        <v/>
      </c>
      <c r="I72" s="352"/>
      <c r="J72" s="352"/>
      <c r="K72" s="354"/>
      <c r="L72" s="354"/>
      <c r="M72" s="354"/>
      <c r="N72" s="135"/>
    </row>
    <row r="73" spans="2:14" hidden="1" x14ac:dyDescent="0.25">
      <c r="B73" s="27">
        <v>70</v>
      </c>
      <c r="C73" s="351"/>
      <c r="D73" s="352" t="str">
        <f>IF(Tabla4[[#This Row],['#]]="","",VLOOKUP(C73,Tabla1[[#All],['#]:[Número documento*]],2,FALSE))</f>
        <v/>
      </c>
      <c r="E73" s="352" t="str">
        <f>IF(Tabla4[[#This Row],['#]]="","",VLOOKUP(C73,Tabla1[[#All],['#]:[Número documento*]],3,FALSE))</f>
        <v/>
      </c>
      <c r="F73" s="352" t="str">
        <f>IF(Tabla4[[#This Row],['#]]="","",VLOOKUP(C73,Tabla1[[#All],['#]:[Número documento*]],4,FALSE))</f>
        <v/>
      </c>
      <c r="G73" s="353" t="str">
        <f>IF(Tabla4[[#This Row],['#]]="","",VLOOKUP(C73,Tabla1[[#All],['#]:[Número documento*]],5,FALSE))</f>
        <v/>
      </c>
      <c r="H73" s="352" t="str">
        <f>IF(Tabla4[[#This Row],['#]]="","",VLOOKUP(C73,Tabla1[[#All],['#]:[Empleador]],31,FALSE))</f>
        <v/>
      </c>
      <c r="I73" s="352"/>
      <c r="J73" s="352"/>
      <c r="K73" s="354"/>
      <c r="L73" s="354"/>
      <c r="M73" s="354"/>
      <c r="N73" s="135"/>
    </row>
    <row r="74" spans="2:14" hidden="1" x14ac:dyDescent="0.25">
      <c r="B74" s="27">
        <v>71</v>
      </c>
      <c r="C74" s="351"/>
      <c r="D74" s="352" t="str">
        <f>IF(Tabla4[[#This Row],['#]]="","",VLOOKUP(C74,Tabla1[[#All],['#]:[Número documento*]],2,FALSE))</f>
        <v/>
      </c>
      <c r="E74" s="352" t="str">
        <f>IF(Tabla4[[#This Row],['#]]="","",VLOOKUP(C74,Tabla1[[#All],['#]:[Número documento*]],3,FALSE))</f>
        <v/>
      </c>
      <c r="F74" s="352" t="str">
        <f>IF(Tabla4[[#This Row],['#]]="","",VLOOKUP(C74,Tabla1[[#All],['#]:[Número documento*]],4,FALSE))</f>
        <v/>
      </c>
      <c r="G74" s="353" t="str">
        <f>IF(Tabla4[[#This Row],['#]]="","",VLOOKUP(C74,Tabla1[[#All],['#]:[Número documento*]],5,FALSE))</f>
        <v/>
      </c>
      <c r="H74" s="352" t="str">
        <f>IF(Tabla4[[#This Row],['#]]="","",VLOOKUP(C74,Tabla1[[#All],['#]:[Empleador]],31,FALSE))</f>
        <v/>
      </c>
      <c r="I74" s="352"/>
      <c r="J74" s="352"/>
      <c r="K74" s="354"/>
      <c r="L74" s="354"/>
      <c r="M74" s="354"/>
      <c r="N74" s="135"/>
    </row>
    <row r="75" spans="2:14" hidden="1" x14ac:dyDescent="0.25">
      <c r="B75" s="27">
        <v>72</v>
      </c>
      <c r="C75" s="351"/>
      <c r="D75" s="352" t="str">
        <f>IF(Tabla4[[#This Row],['#]]="","",VLOOKUP(C75,Tabla1[[#All],['#]:[Número documento*]],2,FALSE))</f>
        <v/>
      </c>
      <c r="E75" s="352" t="str">
        <f>IF(Tabla4[[#This Row],['#]]="","",VLOOKUP(C75,Tabla1[[#All],['#]:[Número documento*]],3,FALSE))</f>
        <v/>
      </c>
      <c r="F75" s="352" t="str">
        <f>IF(Tabla4[[#This Row],['#]]="","",VLOOKUP(C75,Tabla1[[#All],['#]:[Número documento*]],4,FALSE))</f>
        <v/>
      </c>
      <c r="G75" s="353" t="str">
        <f>IF(Tabla4[[#This Row],['#]]="","",VLOOKUP(C75,Tabla1[[#All],['#]:[Número documento*]],5,FALSE))</f>
        <v/>
      </c>
      <c r="H75" s="352" t="str">
        <f>IF(Tabla4[[#This Row],['#]]="","",VLOOKUP(C75,Tabla1[[#All],['#]:[Empleador]],31,FALSE))</f>
        <v/>
      </c>
      <c r="I75" s="352"/>
      <c r="J75" s="352"/>
      <c r="K75" s="354"/>
      <c r="L75" s="354"/>
      <c r="M75" s="354"/>
      <c r="N75" s="135"/>
    </row>
    <row r="76" spans="2:14" hidden="1" x14ac:dyDescent="0.25">
      <c r="B76" s="27">
        <v>73</v>
      </c>
      <c r="C76" s="351"/>
      <c r="D76" s="352" t="str">
        <f>IF(Tabla4[[#This Row],['#]]="","",VLOOKUP(C76,Tabla1[[#All],['#]:[Número documento*]],2,FALSE))</f>
        <v/>
      </c>
      <c r="E76" s="352" t="str">
        <f>IF(Tabla4[[#This Row],['#]]="","",VLOOKUP(C76,Tabla1[[#All],['#]:[Número documento*]],3,FALSE))</f>
        <v/>
      </c>
      <c r="F76" s="352" t="str">
        <f>IF(Tabla4[[#This Row],['#]]="","",VLOOKUP(C76,Tabla1[[#All],['#]:[Número documento*]],4,FALSE))</f>
        <v/>
      </c>
      <c r="G76" s="353" t="str">
        <f>IF(Tabla4[[#This Row],['#]]="","",VLOOKUP(C76,Tabla1[[#All],['#]:[Número documento*]],5,FALSE))</f>
        <v/>
      </c>
      <c r="H76" s="352" t="str">
        <f>IF(Tabla4[[#This Row],['#]]="","",VLOOKUP(C76,Tabla1[[#All],['#]:[Empleador]],31,FALSE))</f>
        <v/>
      </c>
      <c r="I76" s="352"/>
      <c r="J76" s="352"/>
      <c r="K76" s="354"/>
      <c r="L76" s="354"/>
      <c r="M76" s="354"/>
      <c r="N76" s="135"/>
    </row>
    <row r="77" spans="2:14" hidden="1" x14ac:dyDescent="0.25">
      <c r="B77" s="27">
        <v>74</v>
      </c>
      <c r="C77" s="351"/>
      <c r="D77" s="352" t="str">
        <f>IF(Tabla4[[#This Row],['#]]="","",VLOOKUP(C77,Tabla1[[#All],['#]:[Número documento*]],2,FALSE))</f>
        <v/>
      </c>
      <c r="E77" s="352" t="str">
        <f>IF(Tabla4[[#This Row],['#]]="","",VLOOKUP(C77,Tabla1[[#All],['#]:[Número documento*]],3,FALSE))</f>
        <v/>
      </c>
      <c r="F77" s="352" t="str">
        <f>IF(Tabla4[[#This Row],['#]]="","",VLOOKUP(C77,Tabla1[[#All],['#]:[Número documento*]],4,FALSE))</f>
        <v/>
      </c>
      <c r="G77" s="353" t="str">
        <f>IF(Tabla4[[#This Row],['#]]="","",VLOOKUP(C77,Tabla1[[#All],['#]:[Número documento*]],5,FALSE))</f>
        <v/>
      </c>
      <c r="H77" s="352" t="str">
        <f>IF(Tabla4[[#This Row],['#]]="","",VLOOKUP(C77,Tabla1[[#All],['#]:[Empleador]],31,FALSE))</f>
        <v/>
      </c>
      <c r="I77" s="352"/>
      <c r="J77" s="352"/>
      <c r="K77" s="354"/>
      <c r="L77" s="354"/>
      <c r="M77" s="354"/>
      <c r="N77" s="135"/>
    </row>
    <row r="78" spans="2:14" hidden="1" x14ac:dyDescent="0.25">
      <c r="B78" s="27">
        <v>75</v>
      </c>
      <c r="C78" s="351"/>
      <c r="D78" s="352" t="str">
        <f>IF(Tabla4[[#This Row],['#]]="","",VLOOKUP(C78,Tabla1[[#All],['#]:[Número documento*]],2,FALSE))</f>
        <v/>
      </c>
      <c r="E78" s="352" t="str">
        <f>IF(Tabla4[[#This Row],['#]]="","",VLOOKUP(C78,Tabla1[[#All],['#]:[Número documento*]],3,FALSE))</f>
        <v/>
      </c>
      <c r="F78" s="352" t="str">
        <f>IF(Tabla4[[#This Row],['#]]="","",VLOOKUP(C78,Tabla1[[#All],['#]:[Número documento*]],4,FALSE))</f>
        <v/>
      </c>
      <c r="G78" s="353" t="str">
        <f>IF(Tabla4[[#This Row],['#]]="","",VLOOKUP(C78,Tabla1[[#All],['#]:[Número documento*]],5,FALSE))</f>
        <v/>
      </c>
      <c r="H78" s="352" t="str">
        <f>IF(Tabla4[[#This Row],['#]]="","",VLOOKUP(C78,Tabla1[[#All],['#]:[Empleador]],31,FALSE))</f>
        <v/>
      </c>
      <c r="I78" s="352"/>
      <c r="J78" s="352"/>
      <c r="K78" s="354"/>
      <c r="L78" s="354"/>
      <c r="M78" s="354"/>
      <c r="N78" s="135"/>
    </row>
    <row r="79" spans="2:14" hidden="1" x14ac:dyDescent="0.25">
      <c r="B79" s="27">
        <v>76</v>
      </c>
      <c r="C79" s="351"/>
      <c r="D79" s="352" t="str">
        <f>IF(Tabla4[[#This Row],['#]]="","",VLOOKUP(C79,Tabla1[[#All],['#]:[Número documento*]],2,FALSE))</f>
        <v/>
      </c>
      <c r="E79" s="352" t="str">
        <f>IF(Tabla4[[#This Row],['#]]="","",VLOOKUP(C79,Tabla1[[#All],['#]:[Número documento*]],3,FALSE))</f>
        <v/>
      </c>
      <c r="F79" s="352" t="str">
        <f>IF(Tabla4[[#This Row],['#]]="","",VLOOKUP(C79,Tabla1[[#All],['#]:[Número documento*]],4,FALSE))</f>
        <v/>
      </c>
      <c r="G79" s="353" t="str">
        <f>IF(Tabla4[[#This Row],['#]]="","",VLOOKUP(C79,Tabla1[[#All],['#]:[Número documento*]],5,FALSE))</f>
        <v/>
      </c>
      <c r="H79" s="352" t="str">
        <f>IF(Tabla4[[#This Row],['#]]="","",VLOOKUP(C79,Tabla1[[#All],['#]:[Empleador]],31,FALSE))</f>
        <v/>
      </c>
      <c r="I79" s="352"/>
      <c r="J79" s="352"/>
      <c r="K79" s="354"/>
      <c r="L79" s="354"/>
      <c r="M79" s="354"/>
      <c r="N79" s="135"/>
    </row>
    <row r="80" spans="2:14" hidden="1" x14ac:dyDescent="0.25">
      <c r="B80" s="27">
        <v>77</v>
      </c>
      <c r="C80" s="351"/>
      <c r="D80" s="352" t="str">
        <f>IF(Tabla4[[#This Row],['#]]="","",VLOOKUP(C80,Tabla1[[#All],['#]:[Número documento*]],2,FALSE))</f>
        <v/>
      </c>
      <c r="E80" s="352" t="str">
        <f>IF(Tabla4[[#This Row],['#]]="","",VLOOKUP(C80,Tabla1[[#All],['#]:[Número documento*]],3,FALSE))</f>
        <v/>
      </c>
      <c r="F80" s="352" t="str">
        <f>IF(Tabla4[[#This Row],['#]]="","",VLOOKUP(C80,Tabla1[[#All],['#]:[Número documento*]],4,FALSE))</f>
        <v/>
      </c>
      <c r="G80" s="353" t="str">
        <f>IF(Tabla4[[#This Row],['#]]="","",VLOOKUP(C80,Tabla1[[#All],['#]:[Número documento*]],5,FALSE))</f>
        <v/>
      </c>
      <c r="H80" s="352" t="str">
        <f>IF(Tabla4[[#This Row],['#]]="","",VLOOKUP(C80,Tabla1[[#All],['#]:[Empleador]],31,FALSE))</f>
        <v/>
      </c>
      <c r="I80" s="352"/>
      <c r="J80" s="352"/>
      <c r="K80" s="354"/>
      <c r="L80" s="354"/>
      <c r="M80" s="354"/>
      <c r="N80" s="135"/>
    </row>
    <row r="81" spans="2:14" hidden="1" x14ac:dyDescent="0.25">
      <c r="B81" s="27">
        <v>78</v>
      </c>
      <c r="C81" s="351"/>
      <c r="D81" s="352" t="str">
        <f>IF(Tabla4[[#This Row],['#]]="","",VLOOKUP(C81,Tabla1[[#All],['#]:[Número documento*]],2,FALSE))</f>
        <v/>
      </c>
      <c r="E81" s="352" t="str">
        <f>IF(Tabla4[[#This Row],['#]]="","",VLOOKUP(C81,Tabla1[[#All],['#]:[Número documento*]],3,FALSE))</f>
        <v/>
      </c>
      <c r="F81" s="352" t="str">
        <f>IF(Tabla4[[#This Row],['#]]="","",VLOOKUP(C81,Tabla1[[#All],['#]:[Número documento*]],4,FALSE))</f>
        <v/>
      </c>
      <c r="G81" s="353" t="str">
        <f>IF(Tabla4[[#This Row],['#]]="","",VLOOKUP(C81,Tabla1[[#All],['#]:[Número documento*]],5,FALSE))</f>
        <v/>
      </c>
      <c r="H81" s="352" t="str">
        <f>IF(Tabla4[[#This Row],['#]]="","",VLOOKUP(C81,Tabla1[[#All],['#]:[Empleador]],31,FALSE))</f>
        <v/>
      </c>
      <c r="I81" s="352"/>
      <c r="J81" s="352"/>
      <c r="K81" s="354"/>
      <c r="L81" s="354"/>
      <c r="M81" s="354"/>
      <c r="N81" s="135"/>
    </row>
    <row r="82" spans="2:14" hidden="1" x14ac:dyDescent="0.25">
      <c r="B82" s="27">
        <v>79</v>
      </c>
      <c r="C82" s="351"/>
      <c r="D82" s="352" t="str">
        <f>IF(Tabla4[[#This Row],['#]]="","",VLOOKUP(C82,Tabla1[[#All],['#]:[Número documento*]],2,FALSE))</f>
        <v/>
      </c>
      <c r="E82" s="352" t="str">
        <f>IF(Tabla4[[#This Row],['#]]="","",VLOOKUP(C82,Tabla1[[#All],['#]:[Número documento*]],3,FALSE))</f>
        <v/>
      </c>
      <c r="F82" s="352" t="str">
        <f>IF(Tabla4[[#This Row],['#]]="","",VLOOKUP(C82,Tabla1[[#All],['#]:[Número documento*]],4,FALSE))</f>
        <v/>
      </c>
      <c r="G82" s="353" t="str">
        <f>IF(Tabla4[[#This Row],['#]]="","",VLOOKUP(C82,Tabla1[[#All],['#]:[Número documento*]],5,FALSE))</f>
        <v/>
      </c>
      <c r="H82" s="352" t="str">
        <f>IF(Tabla4[[#This Row],['#]]="","",VLOOKUP(C82,Tabla1[[#All],['#]:[Empleador]],31,FALSE))</f>
        <v/>
      </c>
      <c r="I82" s="352"/>
      <c r="J82" s="352"/>
      <c r="K82" s="354"/>
      <c r="L82" s="354"/>
      <c r="M82" s="354"/>
      <c r="N82" s="135"/>
    </row>
    <row r="83" spans="2:14" hidden="1" x14ac:dyDescent="0.25">
      <c r="B83" s="27">
        <v>80</v>
      </c>
      <c r="C83" s="351"/>
      <c r="D83" s="352" t="str">
        <f>IF(Tabla4[[#This Row],['#]]="","",VLOOKUP(C83,Tabla1[[#All],['#]:[Número documento*]],2,FALSE))</f>
        <v/>
      </c>
      <c r="E83" s="352" t="str">
        <f>IF(Tabla4[[#This Row],['#]]="","",VLOOKUP(C83,Tabla1[[#All],['#]:[Número documento*]],3,FALSE))</f>
        <v/>
      </c>
      <c r="F83" s="352" t="str">
        <f>IF(Tabla4[[#This Row],['#]]="","",VLOOKUP(C83,Tabla1[[#All],['#]:[Número documento*]],4,FALSE))</f>
        <v/>
      </c>
      <c r="G83" s="353" t="str">
        <f>IF(Tabla4[[#This Row],['#]]="","",VLOOKUP(C83,Tabla1[[#All],['#]:[Número documento*]],5,FALSE))</f>
        <v/>
      </c>
      <c r="H83" s="352" t="str">
        <f>IF(Tabla4[[#This Row],['#]]="","",VLOOKUP(C83,Tabla1[[#All],['#]:[Empleador]],31,FALSE))</f>
        <v/>
      </c>
      <c r="I83" s="352"/>
      <c r="J83" s="352"/>
      <c r="K83" s="354"/>
      <c r="L83" s="354"/>
      <c r="M83" s="354"/>
      <c r="N83" s="135"/>
    </row>
    <row r="84" spans="2:14" hidden="1" x14ac:dyDescent="0.25">
      <c r="B84" s="27">
        <v>81</v>
      </c>
      <c r="C84" s="351"/>
      <c r="D84" s="352" t="str">
        <f>IF(Tabla4[[#This Row],['#]]="","",VLOOKUP(C84,Tabla1[[#All],['#]:[Número documento*]],2,FALSE))</f>
        <v/>
      </c>
      <c r="E84" s="352" t="str">
        <f>IF(Tabla4[[#This Row],['#]]="","",VLOOKUP(C84,Tabla1[[#All],['#]:[Número documento*]],3,FALSE))</f>
        <v/>
      </c>
      <c r="F84" s="352" t="str">
        <f>IF(Tabla4[[#This Row],['#]]="","",VLOOKUP(C84,Tabla1[[#All],['#]:[Número documento*]],4,FALSE))</f>
        <v/>
      </c>
      <c r="G84" s="353" t="str">
        <f>IF(Tabla4[[#This Row],['#]]="","",VLOOKUP(C84,Tabla1[[#All],['#]:[Número documento*]],5,FALSE))</f>
        <v/>
      </c>
      <c r="H84" s="352" t="str">
        <f>IF(Tabla4[[#This Row],['#]]="","",VLOOKUP(C84,Tabla1[[#All],['#]:[Empleador]],31,FALSE))</f>
        <v/>
      </c>
      <c r="I84" s="352"/>
      <c r="J84" s="352"/>
      <c r="K84" s="354"/>
      <c r="L84" s="354"/>
      <c r="M84" s="354"/>
      <c r="N84" s="135"/>
    </row>
    <row r="85" spans="2:14" hidden="1" x14ac:dyDescent="0.25">
      <c r="B85" s="27">
        <v>82</v>
      </c>
      <c r="C85" s="351"/>
      <c r="D85" s="352" t="str">
        <f>IF(Tabla4[[#This Row],['#]]="","",VLOOKUP(C85,Tabla1[[#All],['#]:[Número documento*]],2,FALSE))</f>
        <v/>
      </c>
      <c r="E85" s="352" t="str">
        <f>IF(Tabla4[[#This Row],['#]]="","",VLOOKUP(C85,Tabla1[[#All],['#]:[Número documento*]],3,FALSE))</f>
        <v/>
      </c>
      <c r="F85" s="352" t="str">
        <f>IF(Tabla4[[#This Row],['#]]="","",VLOOKUP(C85,Tabla1[[#All],['#]:[Número documento*]],4,FALSE))</f>
        <v/>
      </c>
      <c r="G85" s="353" t="str">
        <f>IF(Tabla4[[#This Row],['#]]="","",VLOOKUP(C85,Tabla1[[#All],['#]:[Número documento*]],5,FALSE))</f>
        <v/>
      </c>
      <c r="H85" s="352" t="str">
        <f>IF(Tabla4[[#This Row],['#]]="","",VLOOKUP(C85,Tabla1[[#All],['#]:[Empleador]],31,FALSE))</f>
        <v/>
      </c>
      <c r="I85" s="352"/>
      <c r="J85" s="352"/>
      <c r="K85" s="354"/>
      <c r="L85" s="354"/>
      <c r="M85" s="354"/>
      <c r="N85" s="135"/>
    </row>
    <row r="86" spans="2:14" hidden="1" x14ac:dyDescent="0.25">
      <c r="B86" s="27">
        <v>83</v>
      </c>
      <c r="C86" s="351"/>
      <c r="D86" s="352" t="str">
        <f>IF(Tabla4[[#This Row],['#]]="","",VLOOKUP(C86,Tabla1[[#All],['#]:[Número documento*]],2,FALSE))</f>
        <v/>
      </c>
      <c r="E86" s="352" t="str">
        <f>IF(Tabla4[[#This Row],['#]]="","",VLOOKUP(C86,Tabla1[[#All],['#]:[Número documento*]],3,FALSE))</f>
        <v/>
      </c>
      <c r="F86" s="352" t="str">
        <f>IF(Tabla4[[#This Row],['#]]="","",VLOOKUP(C86,Tabla1[[#All],['#]:[Número documento*]],4,FALSE))</f>
        <v/>
      </c>
      <c r="G86" s="353" t="str">
        <f>IF(Tabla4[[#This Row],['#]]="","",VLOOKUP(C86,Tabla1[[#All],['#]:[Número documento*]],5,FALSE))</f>
        <v/>
      </c>
      <c r="H86" s="352" t="str">
        <f>IF(Tabla4[[#This Row],['#]]="","",VLOOKUP(C86,Tabla1[[#All],['#]:[Empleador]],31,FALSE))</f>
        <v/>
      </c>
      <c r="I86" s="352"/>
      <c r="J86" s="352"/>
      <c r="K86" s="354"/>
      <c r="L86" s="354"/>
      <c r="M86" s="354"/>
      <c r="N86" s="135"/>
    </row>
    <row r="87" spans="2:14" hidden="1" x14ac:dyDescent="0.25">
      <c r="B87" s="27">
        <v>84</v>
      </c>
      <c r="C87" s="351"/>
      <c r="D87" s="352" t="str">
        <f>IF(Tabla4[[#This Row],['#]]="","",VLOOKUP(C87,Tabla1[[#All],['#]:[Número documento*]],2,FALSE))</f>
        <v/>
      </c>
      <c r="E87" s="352" t="str">
        <f>IF(Tabla4[[#This Row],['#]]="","",VLOOKUP(C87,Tabla1[[#All],['#]:[Número documento*]],3,FALSE))</f>
        <v/>
      </c>
      <c r="F87" s="352" t="str">
        <f>IF(Tabla4[[#This Row],['#]]="","",VLOOKUP(C87,Tabla1[[#All],['#]:[Número documento*]],4,FALSE))</f>
        <v/>
      </c>
      <c r="G87" s="353" t="str">
        <f>IF(Tabla4[[#This Row],['#]]="","",VLOOKUP(C87,Tabla1[[#All],['#]:[Número documento*]],5,FALSE))</f>
        <v/>
      </c>
      <c r="H87" s="352" t="str">
        <f>IF(Tabla4[[#This Row],['#]]="","",VLOOKUP(C87,Tabla1[[#All],['#]:[Empleador]],31,FALSE))</f>
        <v/>
      </c>
      <c r="I87" s="352"/>
      <c r="J87" s="352"/>
      <c r="K87" s="354"/>
      <c r="L87" s="354"/>
      <c r="M87" s="354"/>
      <c r="N87" s="135"/>
    </row>
    <row r="88" spans="2:14" hidden="1" x14ac:dyDescent="0.25">
      <c r="B88" s="27">
        <v>85</v>
      </c>
      <c r="C88" s="351"/>
      <c r="D88" s="352" t="str">
        <f>IF(Tabla4[[#This Row],['#]]="","",VLOOKUP(C88,Tabla1[[#All],['#]:[Número documento*]],2,FALSE))</f>
        <v/>
      </c>
      <c r="E88" s="352" t="str">
        <f>IF(Tabla4[[#This Row],['#]]="","",VLOOKUP(C88,Tabla1[[#All],['#]:[Número documento*]],3,FALSE))</f>
        <v/>
      </c>
      <c r="F88" s="352" t="str">
        <f>IF(Tabla4[[#This Row],['#]]="","",VLOOKUP(C88,Tabla1[[#All],['#]:[Número documento*]],4,FALSE))</f>
        <v/>
      </c>
      <c r="G88" s="353" t="str">
        <f>IF(Tabla4[[#This Row],['#]]="","",VLOOKUP(C88,Tabla1[[#All],['#]:[Número documento*]],5,FALSE))</f>
        <v/>
      </c>
      <c r="H88" s="352" t="str">
        <f>IF(Tabla4[[#This Row],['#]]="","",VLOOKUP(C88,Tabla1[[#All],['#]:[Empleador]],31,FALSE))</f>
        <v/>
      </c>
      <c r="I88" s="352"/>
      <c r="J88" s="352"/>
      <c r="K88" s="354"/>
      <c r="L88" s="354"/>
      <c r="M88" s="354"/>
      <c r="N88" s="135"/>
    </row>
    <row r="89" spans="2:14" hidden="1" x14ac:dyDescent="0.25">
      <c r="B89" s="27">
        <v>86</v>
      </c>
      <c r="C89" s="351"/>
      <c r="D89" s="352" t="str">
        <f>IF(Tabla4[[#This Row],['#]]="","",VLOOKUP(C89,Tabla1[[#All],['#]:[Número documento*]],2,FALSE))</f>
        <v/>
      </c>
      <c r="E89" s="352" t="str">
        <f>IF(Tabla4[[#This Row],['#]]="","",VLOOKUP(C89,Tabla1[[#All],['#]:[Número documento*]],3,FALSE))</f>
        <v/>
      </c>
      <c r="F89" s="352" t="str">
        <f>IF(Tabla4[[#This Row],['#]]="","",VLOOKUP(C89,Tabla1[[#All],['#]:[Número documento*]],4,FALSE))</f>
        <v/>
      </c>
      <c r="G89" s="353" t="str">
        <f>IF(Tabla4[[#This Row],['#]]="","",VLOOKUP(C89,Tabla1[[#All],['#]:[Número documento*]],5,FALSE))</f>
        <v/>
      </c>
      <c r="H89" s="352" t="str">
        <f>IF(Tabla4[[#This Row],['#]]="","",VLOOKUP(C89,Tabla1[[#All],['#]:[Empleador]],31,FALSE))</f>
        <v/>
      </c>
      <c r="I89" s="352"/>
      <c r="J89" s="352"/>
      <c r="K89" s="354"/>
      <c r="L89" s="354"/>
      <c r="M89" s="354"/>
      <c r="N89" s="135"/>
    </row>
    <row r="90" spans="2:14" hidden="1" x14ac:dyDescent="0.25">
      <c r="B90" s="27">
        <v>87</v>
      </c>
      <c r="C90" s="351"/>
      <c r="D90" s="352" t="str">
        <f>IF(Tabla4[[#This Row],['#]]="","",VLOOKUP(C90,Tabla1[[#All],['#]:[Número documento*]],2,FALSE))</f>
        <v/>
      </c>
      <c r="E90" s="352" t="str">
        <f>IF(Tabla4[[#This Row],['#]]="","",VLOOKUP(C90,Tabla1[[#All],['#]:[Número documento*]],3,FALSE))</f>
        <v/>
      </c>
      <c r="F90" s="352" t="str">
        <f>IF(Tabla4[[#This Row],['#]]="","",VLOOKUP(C90,Tabla1[[#All],['#]:[Número documento*]],4,FALSE))</f>
        <v/>
      </c>
      <c r="G90" s="353" t="str">
        <f>IF(Tabla4[[#This Row],['#]]="","",VLOOKUP(C90,Tabla1[[#All],['#]:[Número documento*]],5,FALSE))</f>
        <v/>
      </c>
      <c r="H90" s="352" t="str">
        <f>IF(Tabla4[[#This Row],['#]]="","",VLOOKUP(C90,Tabla1[[#All],['#]:[Empleador]],31,FALSE))</f>
        <v/>
      </c>
      <c r="I90" s="352"/>
      <c r="J90" s="352"/>
      <c r="K90" s="354"/>
      <c r="L90" s="354"/>
      <c r="M90" s="354"/>
      <c r="N90" s="135"/>
    </row>
    <row r="91" spans="2:14" hidden="1" x14ac:dyDescent="0.25">
      <c r="B91" s="27">
        <v>88</v>
      </c>
      <c r="C91" s="351"/>
      <c r="D91" s="352" t="str">
        <f>IF(Tabla4[[#This Row],['#]]="","",VLOOKUP(C91,Tabla1[[#All],['#]:[Número documento*]],2,FALSE))</f>
        <v/>
      </c>
      <c r="E91" s="352" t="str">
        <f>IF(Tabla4[[#This Row],['#]]="","",VLOOKUP(C91,Tabla1[[#All],['#]:[Número documento*]],3,FALSE))</f>
        <v/>
      </c>
      <c r="F91" s="352" t="str">
        <f>IF(Tabla4[[#This Row],['#]]="","",VLOOKUP(C91,Tabla1[[#All],['#]:[Número documento*]],4,FALSE))</f>
        <v/>
      </c>
      <c r="G91" s="353" t="str">
        <f>IF(Tabla4[[#This Row],['#]]="","",VLOOKUP(C91,Tabla1[[#All],['#]:[Número documento*]],5,FALSE))</f>
        <v/>
      </c>
      <c r="H91" s="352" t="str">
        <f>IF(Tabla4[[#This Row],['#]]="","",VLOOKUP(C91,Tabla1[[#All],['#]:[Empleador]],31,FALSE))</f>
        <v/>
      </c>
      <c r="I91" s="352"/>
      <c r="J91" s="352"/>
      <c r="K91" s="354"/>
      <c r="L91" s="354"/>
      <c r="M91" s="354"/>
      <c r="N91" s="135"/>
    </row>
    <row r="92" spans="2:14" hidden="1" x14ac:dyDescent="0.25">
      <c r="B92" s="27">
        <v>89</v>
      </c>
      <c r="C92" s="351"/>
      <c r="D92" s="352" t="str">
        <f>IF(Tabla4[[#This Row],['#]]="","",VLOOKUP(C92,Tabla1[[#All],['#]:[Número documento*]],2,FALSE))</f>
        <v/>
      </c>
      <c r="E92" s="352" t="str">
        <f>IF(Tabla4[[#This Row],['#]]="","",VLOOKUP(C92,Tabla1[[#All],['#]:[Número documento*]],3,FALSE))</f>
        <v/>
      </c>
      <c r="F92" s="352" t="str">
        <f>IF(Tabla4[[#This Row],['#]]="","",VLOOKUP(C92,Tabla1[[#All],['#]:[Número documento*]],4,FALSE))</f>
        <v/>
      </c>
      <c r="G92" s="353" t="str">
        <f>IF(Tabla4[[#This Row],['#]]="","",VLOOKUP(C92,Tabla1[[#All],['#]:[Número documento*]],5,FALSE))</f>
        <v/>
      </c>
      <c r="H92" s="352" t="str">
        <f>IF(Tabla4[[#This Row],['#]]="","",VLOOKUP(C92,Tabla1[[#All],['#]:[Empleador]],31,FALSE))</f>
        <v/>
      </c>
      <c r="I92" s="352"/>
      <c r="J92" s="352"/>
      <c r="K92" s="354"/>
      <c r="L92" s="354"/>
      <c r="M92" s="354"/>
      <c r="N92" s="135"/>
    </row>
    <row r="93" spans="2:14" hidden="1" x14ac:dyDescent="0.25">
      <c r="B93" s="27">
        <v>90</v>
      </c>
      <c r="C93" s="351"/>
      <c r="D93" s="352" t="str">
        <f>IF(Tabla4[[#This Row],['#]]="","",VLOOKUP(C93,Tabla1[[#All],['#]:[Número documento*]],2,FALSE))</f>
        <v/>
      </c>
      <c r="E93" s="352" t="str">
        <f>IF(Tabla4[[#This Row],['#]]="","",VLOOKUP(C93,Tabla1[[#All],['#]:[Número documento*]],3,FALSE))</f>
        <v/>
      </c>
      <c r="F93" s="352" t="str">
        <f>IF(Tabla4[[#This Row],['#]]="","",VLOOKUP(C93,Tabla1[[#All],['#]:[Número documento*]],4,FALSE))</f>
        <v/>
      </c>
      <c r="G93" s="353" t="str">
        <f>IF(Tabla4[[#This Row],['#]]="","",VLOOKUP(C93,Tabla1[[#All],['#]:[Número documento*]],5,FALSE))</f>
        <v/>
      </c>
      <c r="H93" s="352" t="str">
        <f>IF(Tabla4[[#This Row],['#]]="","",VLOOKUP(C93,Tabla1[[#All],['#]:[Empleador]],31,FALSE))</f>
        <v/>
      </c>
      <c r="I93" s="352"/>
      <c r="J93" s="352"/>
      <c r="K93" s="354"/>
      <c r="L93" s="354"/>
      <c r="M93" s="354"/>
      <c r="N93" s="135"/>
    </row>
    <row r="94" spans="2:14" hidden="1" x14ac:dyDescent="0.25">
      <c r="B94" s="27">
        <v>91</v>
      </c>
      <c r="C94" s="351"/>
      <c r="D94" s="352" t="str">
        <f>IF(Tabla4[[#This Row],['#]]="","",VLOOKUP(C94,Tabla1[[#All],['#]:[Número documento*]],2,FALSE))</f>
        <v/>
      </c>
      <c r="E94" s="352" t="str">
        <f>IF(Tabla4[[#This Row],['#]]="","",VLOOKUP(C94,Tabla1[[#All],['#]:[Número documento*]],3,FALSE))</f>
        <v/>
      </c>
      <c r="F94" s="352" t="str">
        <f>IF(Tabla4[[#This Row],['#]]="","",VLOOKUP(C94,Tabla1[[#All],['#]:[Número documento*]],4,FALSE))</f>
        <v/>
      </c>
      <c r="G94" s="353" t="str">
        <f>IF(Tabla4[[#This Row],['#]]="","",VLOOKUP(C94,Tabla1[[#All],['#]:[Número documento*]],5,FALSE))</f>
        <v/>
      </c>
      <c r="H94" s="352" t="str">
        <f>IF(Tabla4[[#This Row],['#]]="","",VLOOKUP(C94,Tabla1[[#All],['#]:[Empleador]],31,FALSE))</f>
        <v/>
      </c>
      <c r="I94" s="352"/>
      <c r="J94" s="352"/>
      <c r="K94" s="354"/>
      <c r="L94" s="354"/>
      <c r="M94" s="354"/>
      <c r="N94" s="135"/>
    </row>
    <row r="95" spans="2:14" hidden="1" x14ac:dyDescent="0.25">
      <c r="B95" s="27">
        <v>92</v>
      </c>
      <c r="C95" s="351"/>
      <c r="D95" s="352" t="str">
        <f>IF(Tabla4[[#This Row],['#]]="","",VLOOKUP(C95,Tabla1[[#All],['#]:[Número documento*]],2,FALSE))</f>
        <v/>
      </c>
      <c r="E95" s="352" t="str">
        <f>IF(Tabla4[[#This Row],['#]]="","",VLOOKUP(C95,Tabla1[[#All],['#]:[Número documento*]],3,FALSE))</f>
        <v/>
      </c>
      <c r="F95" s="352" t="str">
        <f>IF(Tabla4[[#This Row],['#]]="","",VLOOKUP(C95,Tabla1[[#All],['#]:[Número documento*]],4,FALSE))</f>
        <v/>
      </c>
      <c r="G95" s="353" t="str">
        <f>IF(Tabla4[[#This Row],['#]]="","",VLOOKUP(C95,Tabla1[[#All],['#]:[Número documento*]],5,FALSE))</f>
        <v/>
      </c>
      <c r="H95" s="352" t="str">
        <f>IF(Tabla4[[#This Row],['#]]="","",VLOOKUP(C95,Tabla1[[#All],['#]:[Empleador]],31,FALSE))</f>
        <v/>
      </c>
      <c r="I95" s="352"/>
      <c r="J95" s="352"/>
      <c r="K95" s="354"/>
      <c r="L95" s="354"/>
      <c r="M95" s="354"/>
      <c r="N95" s="135"/>
    </row>
    <row r="96" spans="2:14" hidden="1" x14ac:dyDescent="0.25">
      <c r="B96" s="27">
        <v>93</v>
      </c>
      <c r="C96" s="351"/>
      <c r="D96" s="352" t="str">
        <f>IF(Tabla4[[#This Row],['#]]="","",VLOOKUP(C96,Tabla1[[#All],['#]:[Número documento*]],2,FALSE))</f>
        <v/>
      </c>
      <c r="E96" s="352" t="str">
        <f>IF(Tabla4[[#This Row],['#]]="","",VLOOKUP(C96,Tabla1[[#All],['#]:[Número documento*]],3,FALSE))</f>
        <v/>
      </c>
      <c r="F96" s="352" t="str">
        <f>IF(Tabla4[[#This Row],['#]]="","",VLOOKUP(C96,Tabla1[[#All],['#]:[Número documento*]],4,FALSE))</f>
        <v/>
      </c>
      <c r="G96" s="353" t="str">
        <f>IF(Tabla4[[#This Row],['#]]="","",VLOOKUP(C96,Tabla1[[#All],['#]:[Número documento*]],5,FALSE))</f>
        <v/>
      </c>
      <c r="H96" s="352" t="str">
        <f>IF(Tabla4[[#This Row],['#]]="","",VLOOKUP(C96,Tabla1[[#All],['#]:[Empleador]],31,FALSE))</f>
        <v/>
      </c>
      <c r="I96" s="352"/>
      <c r="J96" s="352"/>
      <c r="K96" s="354"/>
      <c r="L96" s="354"/>
      <c r="M96" s="354"/>
      <c r="N96" s="135"/>
    </row>
    <row r="97" spans="2:14" hidden="1" x14ac:dyDescent="0.25">
      <c r="B97" s="27">
        <v>94</v>
      </c>
      <c r="C97" s="351"/>
      <c r="D97" s="352" t="str">
        <f>IF(Tabla4[[#This Row],['#]]="","",VLOOKUP(C97,Tabla1[[#All],['#]:[Número documento*]],2,FALSE))</f>
        <v/>
      </c>
      <c r="E97" s="352" t="str">
        <f>IF(Tabla4[[#This Row],['#]]="","",VLOOKUP(C97,Tabla1[[#All],['#]:[Número documento*]],3,FALSE))</f>
        <v/>
      </c>
      <c r="F97" s="352" t="str">
        <f>IF(Tabla4[[#This Row],['#]]="","",VLOOKUP(C97,Tabla1[[#All],['#]:[Número documento*]],4,FALSE))</f>
        <v/>
      </c>
      <c r="G97" s="353" t="str">
        <f>IF(Tabla4[[#This Row],['#]]="","",VLOOKUP(C97,Tabla1[[#All],['#]:[Número documento*]],5,FALSE))</f>
        <v/>
      </c>
      <c r="H97" s="352" t="str">
        <f>IF(Tabla4[[#This Row],['#]]="","",VLOOKUP(C97,Tabla1[[#All],['#]:[Empleador]],31,FALSE))</f>
        <v/>
      </c>
      <c r="I97" s="352"/>
      <c r="J97" s="352"/>
      <c r="K97" s="354"/>
      <c r="L97" s="354"/>
      <c r="M97" s="354"/>
      <c r="N97" s="135"/>
    </row>
    <row r="98" spans="2:14" hidden="1" x14ac:dyDescent="0.25">
      <c r="B98" s="27">
        <v>95</v>
      </c>
      <c r="C98" s="351"/>
      <c r="D98" s="352" t="str">
        <f>IF(Tabla4[[#This Row],['#]]="","",VLOOKUP(C98,Tabla1[[#All],['#]:[Número documento*]],2,FALSE))</f>
        <v/>
      </c>
      <c r="E98" s="352" t="str">
        <f>IF(Tabla4[[#This Row],['#]]="","",VLOOKUP(C98,Tabla1[[#All],['#]:[Número documento*]],3,FALSE))</f>
        <v/>
      </c>
      <c r="F98" s="352" t="str">
        <f>IF(Tabla4[[#This Row],['#]]="","",VLOOKUP(C98,Tabla1[[#All],['#]:[Número documento*]],4,FALSE))</f>
        <v/>
      </c>
      <c r="G98" s="353" t="str">
        <f>IF(Tabla4[[#This Row],['#]]="","",VLOOKUP(C98,Tabla1[[#All],['#]:[Número documento*]],5,FALSE))</f>
        <v/>
      </c>
      <c r="H98" s="352" t="str">
        <f>IF(Tabla4[[#This Row],['#]]="","",VLOOKUP(C98,Tabla1[[#All],['#]:[Empleador]],31,FALSE))</f>
        <v/>
      </c>
      <c r="I98" s="352"/>
      <c r="J98" s="352"/>
      <c r="K98" s="354"/>
      <c r="L98" s="354"/>
      <c r="M98" s="354"/>
      <c r="N98" s="135"/>
    </row>
    <row r="99" spans="2:14" hidden="1" x14ac:dyDescent="0.25">
      <c r="B99" s="27">
        <v>96</v>
      </c>
      <c r="C99" s="351"/>
      <c r="D99" s="352" t="str">
        <f>IF(Tabla4[[#This Row],['#]]="","",VLOOKUP(C99,Tabla1[[#All],['#]:[Número documento*]],2,FALSE))</f>
        <v/>
      </c>
      <c r="E99" s="352" t="str">
        <f>IF(Tabla4[[#This Row],['#]]="","",VLOOKUP(C99,Tabla1[[#All],['#]:[Número documento*]],3,FALSE))</f>
        <v/>
      </c>
      <c r="F99" s="352" t="str">
        <f>IF(Tabla4[[#This Row],['#]]="","",VLOOKUP(C99,Tabla1[[#All],['#]:[Número documento*]],4,FALSE))</f>
        <v/>
      </c>
      <c r="G99" s="353" t="str">
        <f>IF(Tabla4[[#This Row],['#]]="","",VLOOKUP(C99,Tabla1[[#All],['#]:[Número documento*]],5,FALSE))</f>
        <v/>
      </c>
      <c r="H99" s="352" t="str">
        <f>IF(Tabla4[[#This Row],['#]]="","",VLOOKUP(C99,Tabla1[[#All],['#]:[Empleador]],31,FALSE))</f>
        <v/>
      </c>
      <c r="I99" s="352"/>
      <c r="J99" s="352"/>
      <c r="K99" s="354"/>
      <c r="L99" s="354"/>
      <c r="M99" s="354"/>
      <c r="N99" s="135"/>
    </row>
    <row r="100" spans="2:14" hidden="1" x14ac:dyDescent="0.25">
      <c r="B100" s="27">
        <v>97</v>
      </c>
      <c r="C100" s="351"/>
      <c r="D100" s="352" t="str">
        <f>IF(Tabla4[[#This Row],['#]]="","",VLOOKUP(C100,Tabla1[[#All],['#]:[Número documento*]],2,FALSE))</f>
        <v/>
      </c>
      <c r="E100" s="352" t="str">
        <f>IF(Tabla4[[#This Row],['#]]="","",VLOOKUP(C100,Tabla1[[#All],['#]:[Número documento*]],3,FALSE))</f>
        <v/>
      </c>
      <c r="F100" s="352" t="str">
        <f>IF(Tabla4[[#This Row],['#]]="","",VLOOKUP(C100,Tabla1[[#All],['#]:[Número documento*]],4,FALSE))</f>
        <v/>
      </c>
      <c r="G100" s="353" t="str">
        <f>IF(Tabla4[[#This Row],['#]]="","",VLOOKUP(C100,Tabla1[[#All],['#]:[Número documento*]],5,FALSE))</f>
        <v/>
      </c>
      <c r="H100" s="352" t="str">
        <f>IF(Tabla4[[#This Row],['#]]="","",VLOOKUP(C100,Tabla1[[#All],['#]:[Empleador]],31,FALSE))</f>
        <v/>
      </c>
      <c r="I100" s="352"/>
      <c r="J100" s="352"/>
      <c r="K100" s="354"/>
      <c r="L100" s="354"/>
      <c r="M100" s="354"/>
      <c r="N100" s="135"/>
    </row>
    <row r="101" spans="2:14" hidden="1" x14ac:dyDescent="0.25">
      <c r="B101" s="27">
        <v>98</v>
      </c>
      <c r="C101" s="351"/>
      <c r="D101" s="352" t="str">
        <f>IF(Tabla4[[#This Row],['#]]="","",VLOOKUP(C101,Tabla1[[#All],['#]:[Número documento*]],2,FALSE))</f>
        <v/>
      </c>
      <c r="E101" s="352" t="str">
        <f>IF(Tabla4[[#This Row],['#]]="","",VLOOKUP(C101,Tabla1[[#All],['#]:[Número documento*]],3,FALSE))</f>
        <v/>
      </c>
      <c r="F101" s="352" t="str">
        <f>IF(Tabla4[[#This Row],['#]]="","",VLOOKUP(C101,Tabla1[[#All],['#]:[Número documento*]],4,FALSE))</f>
        <v/>
      </c>
      <c r="G101" s="353" t="str">
        <f>IF(Tabla4[[#This Row],['#]]="","",VLOOKUP(C101,Tabla1[[#All],['#]:[Número documento*]],5,FALSE))</f>
        <v/>
      </c>
      <c r="H101" s="352" t="str">
        <f>IF(Tabla4[[#This Row],['#]]="","",VLOOKUP(C101,Tabla1[[#All],['#]:[Empleador]],31,FALSE))</f>
        <v/>
      </c>
      <c r="I101" s="352"/>
      <c r="J101" s="352"/>
      <c r="K101" s="354"/>
      <c r="L101" s="354"/>
      <c r="M101" s="354"/>
      <c r="N101" s="135"/>
    </row>
    <row r="102" spans="2:14" hidden="1" x14ac:dyDescent="0.25">
      <c r="B102" s="27">
        <v>99</v>
      </c>
      <c r="C102" s="351"/>
      <c r="D102" s="352" t="str">
        <f>IF(Tabla4[[#This Row],['#]]="","",VLOOKUP(C102,Tabla1[[#All],['#]:[Número documento*]],2,FALSE))</f>
        <v/>
      </c>
      <c r="E102" s="352" t="str">
        <f>IF(Tabla4[[#This Row],['#]]="","",VLOOKUP(C102,Tabla1[[#All],['#]:[Número documento*]],3,FALSE))</f>
        <v/>
      </c>
      <c r="F102" s="352" t="str">
        <f>IF(Tabla4[[#This Row],['#]]="","",VLOOKUP(C102,Tabla1[[#All],['#]:[Número documento*]],4,FALSE))</f>
        <v/>
      </c>
      <c r="G102" s="353" t="str">
        <f>IF(Tabla4[[#This Row],['#]]="","",VLOOKUP(C102,Tabla1[[#All],['#]:[Número documento*]],5,FALSE))</f>
        <v/>
      </c>
      <c r="H102" s="352" t="str">
        <f>IF(Tabla4[[#This Row],['#]]="","",VLOOKUP(C102,Tabla1[[#All],['#]:[Empleador]],31,FALSE))</f>
        <v/>
      </c>
      <c r="I102" s="352"/>
      <c r="J102" s="352"/>
      <c r="K102" s="354"/>
      <c r="L102" s="354"/>
      <c r="M102" s="354"/>
      <c r="N102" s="135"/>
    </row>
    <row r="103" spans="2:14" hidden="1" x14ac:dyDescent="0.25">
      <c r="B103" s="27">
        <v>100</v>
      </c>
      <c r="C103" s="351"/>
      <c r="D103" s="352" t="str">
        <f>IF(Tabla4[[#This Row],['#]]="","",VLOOKUP(C103,Tabla1[[#All],['#]:[Número documento*]],2,FALSE))</f>
        <v/>
      </c>
      <c r="E103" s="352" t="str">
        <f>IF(Tabla4[[#This Row],['#]]="","",VLOOKUP(C103,Tabla1[[#All],['#]:[Número documento*]],3,FALSE))</f>
        <v/>
      </c>
      <c r="F103" s="352" t="str">
        <f>IF(Tabla4[[#This Row],['#]]="","",VLOOKUP(C103,Tabla1[[#All],['#]:[Número documento*]],4,FALSE))</f>
        <v/>
      </c>
      <c r="G103" s="353" t="str">
        <f>IF(Tabla4[[#This Row],['#]]="","",VLOOKUP(C103,Tabla1[[#All],['#]:[Número documento*]],5,FALSE))</f>
        <v/>
      </c>
      <c r="H103" s="352" t="str">
        <f>IF(Tabla4[[#This Row],['#]]="","",VLOOKUP(C103,Tabla1[[#All],['#]:[Empleador]],31,FALSE))</f>
        <v/>
      </c>
      <c r="I103" s="352"/>
      <c r="J103" s="352"/>
      <c r="K103" s="354"/>
      <c r="L103" s="354"/>
      <c r="M103" s="354"/>
      <c r="N103" s="135"/>
    </row>
    <row r="104" spans="2:14" hidden="1" x14ac:dyDescent="0.25">
      <c r="B104" s="27">
        <v>101</v>
      </c>
      <c r="C104" s="351"/>
      <c r="D104" s="352" t="str">
        <f>IF(Tabla4[[#This Row],['#]]="","",VLOOKUP(C104,Tabla1[[#All],['#]:[Número documento*]],2,FALSE))</f>
        <v/>
      </c>
      <c r="E104" s="352" t="str">
        <f>IF(Tabla4[[#This Row],['#]]="","",VLOOKUP(C104,Tabla1[[#All],['#]:[Número documento*]],3,FALSE))</f>
        <v/>
      </c>
      <c r="F104" s="352" t="str">
        <f>IF(Tabla4[[#This Row],['#]]="","",VLOOKUP(C104,Tabla1[[#All],['#]:[Número documento*]],4,FALSE))</f>
        <v/>
      </c>
      <c r="G104" s="353" t="str">
        <f>IF(Tabla4[[#This Row],['#]]="","",VLOOKUP(C104,Tabla1[[#All],['#]:[Número documento*]],5,FALSE))</f>
        <v/>
      </c>
      <c r="H104" s="352" t="str">
        <f>IF(Tabla4[[#This Row],['#]]="","",VLOOKUP(C104,Tabla1[[#All],['#]:[Empleador]],31,FALSE))</f>
        <v/>
      </c>
      <c r="I104" s="352"/>
      <c r="J104" s="352"/>
      <c r="K104" s="354"/>
      <c r="L104" s="354"/>
      <c r="M104" s="354"/>
      <c r="N104" s="135"/>
    </row>
    <row r="105" spans="2:14" hidden="1" x14ac:dyDescent="0.25">
      <c r="B105" s="27">
        <v>102</v>
      </c>
      <c r="C105" s="351"/>
      <c r="D105" s="352" t="str">
        <f>IF(Tabla4[[#This Row],['#]]="","",VLOOKUP(C105,Tabla1[[#All],['#]:[Número documento*]],2,FALSE))</f>
        <v/>
      </c>
      <c r="E105" s="352" t="str">
        <f>IF(Tabla4[[#This Row],['#]]="","",VLOOKUP(C105,Tabla1[[#All],['#]:[Número documento*]],3,FALSE))</f>
        <v/>
      </c>
      <c r="F105" s="352" t="str">
        <f>IF(Tabla4[[#This Row],['#]]="","",VLOOKUP(C105,Tabla1[[#All],['#]:[Número documento*]],4,FALSE))</f>
        <v/>
      </c>
      <c r="G105" s="353" t="str">
        <f>IF(Tabla4[[#This Row],['#]]="","",VLOOKUP(C105,Tabla1[[#All],['#]:[Número documento*]],5,FALSE))</f>
        <v/>
      </c>
      <c r="H105" s="352" t="str">
        <f>IF(Tabla4[[#This Row],['#]]="","",VLOOKUP(C105,Tabla1[[#All],['#]:[Empleador]],31,FALSE))</f>
        <v/>
      </c>
      <c r="I105" s="352"/>
      <c r="J105" s="352"/>
      <c r="K105" s="354"/>
      <c r="L105" s="354"/>
      <c r="M105" s="354"/>
      <c r="N105" s="135"/>
    </row>
    <row r="106" spans="2:14" hidden="1" x14ac:dyDescent="0.25">
      <c r="B106" s="27">
        <v>103</v>
      </c>
      <c r="C106" s="351"/>
      <c r="D106" s="352" t="str">
        <f>IF(Tabla4[[#This Row],['#]]="","",VLOOKUP(C106,Tabla1[[#All],['#]:[Número documento*]],2,FALSE))</f>
        <v/>
      </c>
      <c r="E106" s="352" t="str">
        <f>IF(Tabla4[[#This Row],['#]]="","",VLOOKUP(C106,Tabla1[[#All],['#]:[Número documento*]],3,FALSE))</f>
        <v/>
      </c>
      <c r="F106" s="352" t="str">
        <f>IF(Tabla4[[#This Row],['#]]="","",VLOOKUP(C106,Tabla1[[#All],['#]:[Número documento*]],4,FALSE))</f>
        <v/>
      </c>
      <c r="G106" s="353" t="str">
        <f>IF(Tabla4[[#This Row],['#]]="","",VLOOKUP(C106,Tabla1[[#All],['#]:[Número documento*]],5,FALSE))</f>
        <v/>
      </c>
      <c r="H106" s="352" t="str">
        <f>IF(Tabla4[[#This Row],['#]]="","",VLOOKUP(C106,Tabla1[[#All],['#]:[Empleador]],31,FALSE))</f>
        <v/>
      </c>
      <c r="I106" s="352"/>
      <c r="J106" s="352"/>
      <c r="K106" s="354"/>
      <c r="L106" s="354"/>
      <c r="M106" s="354"/>
      <c r="N106" s="135"/>
    </row>
    <row r="107" spans="2:14" hidden="1" x14ac:dyDescent="0.25">
      <c r="B107" s="27">
        <v>104</v>
      </c>
      <c r="C107" s="351"/>
      <c r="D107" s="352" t="str">
        <f>IF(Tabla4[[#This Row],['#]]="","",VLOOKUP(C107,Tabla1[[#All],['#]:[Número documento*]],2,FALSE))</f>
        <v/>
      </c>
      <c r="E107" s="352" t="str">
        <f>IF(Tabla4[[#This Row],['#]]="","",VLOOKUP(C107,Tabla1[[#All],['#]:[Número documento*]],3,FALSE))</f>
        <v/>
      </c>
      <c r="F107" s="352" t="str">
        <f>IF(Tabla4[[#This Row],['#]]="","",VLOOKUP(C107,Tabla1[[#All],['#]:[Número documento*]],4,FALSE))</f>
        <v/>
      </c>
      <c r="G107" s="353" t="str">
        <f>IF(Tabla4[[#This Row],['#]]="","",VLOOKUP(C107,Tabla1[[#All],['#]:[Número documento*]],5,FALSE))</f>
        <v/>
      </c>
      <c r="H107" s="352" t="str">
        <f>IF(Tabla4[[#This Row],['#]]="","",VLOOKUP(C107,Tabla1[[#All],['#]:[Empleador]],31,FALSE))</f>
        <v/>
      </c>
      <c r="I107" s="352"/>
      <c r="J107" s="352"/>
      <c r="K107" s="354"/>
      <c r="L107" s="354"/>
      <c r="M107" s="354"/>
      <c r="N107" s="135"/>
    </row>
    <row r="108" spans="2:14" hidden="1" x14ac:dyDescent="0.25">
      <c r="B108" s="27">
        <v>105</v>
      </c>
      <c r="C108" s="351"/>
      <c r="D108" s="352" t="str">
        <f>IF(Tabla4[[#This Row],['#]]="","",VLOOKUP(C108,Tabla1[[#All],['#]:[Número documento*]],2,FALSE))</f>
        <v/>
      </c>
      <c r="E108" s="352" t="str">
        <f>IF(Tabla4[[#This Row],['#]]="","",VLOOKUP(C108,Tabla1[[#All],['#]:[Número documento*]],3,FALSE))</f>
        <v/>
      </c>
      <c r="F108" s="352" t="str">
        <f>IF(Tabla4[[#This Row],['#]]="","",VLOOKUP(C108,Tabla1[[#All],['#]:[Número documento*]],4,FALSE))</f>
        <v/>
      </c>
      <c r="G108" s="353" t="str">
        <f>IF(Tabla4[[#This Row],['#]]="","",VLOOKUP(C108,Tabla1[[#All],['#]:[Número documento*]],5,FALSE))</f>
        <v/>
      </c>
      <c r="H108" s="352" t="str">
        <f>IF(Tabla4[[#This Row],['#]]="","",VLOOKUP(C108,Tabla1[[#All],['#]:[Empleador]],31,FALSE))</f>
        <v/>
      </c>
      <c r="I108" s="352"/>
      <c r="J108" s="352"/>
      <c r="K108" s="354"/>
      <c r="L108" s="354"/>
      <c r="M108" s="354"/>
      <c r="N108" s="135"/>
    </row>
    <row r="109" spans="2:14" hidden="1" x14ac:dyDescent="0.25">
      <c r="B109" s="27">
        <v>106</v>
      </c>
      <c r="C109" s="351"/>
      <c r="D109" s="352" t="str">
        <f>IF(Tabla4[[#This Row],['#]]="","",VLOOKUP(C109,Tabla1[[#All],['#]:[Número documento*]],2,FALSE))</f>
        <v/>
      </c>
      <c r="E109" s="352" t="str">
        <f>IF(Tabla4[[#This Row],['#]]="","",VLOOKUP(C109,Tabla1[[#All],['#]:[Número documento*]],3,FALSE))</f>
        <v/>
      </c>
      <c r="F109" s="352" t="str">
        <f>IF(Tabla4[[#This Row],['#]]="","",VLOOKUP(C109,Tabla1[[#All],['#]:[Número documento*]],4,FALSE))</f>
        <v/>
      </c>
      <c r="G109" s="353" t="str">
        <f>IF(Tabla4[[#This Row],['#]]="","",VLOOKUP(C109,Tabla1[[#All],['#]:[Número documento*]],5,FALSE))</f>
        <v/>
      </c>
      <c r="H109" s="352" t="str">
        <f>IF(Tabla4[[#This Row],['#]]="","",VLOOKUP(C109,Tabla1[[#All],['#]:[Empleador]],31,FALSE))</f>
        <v/>
      </c>
      <c r="I109" s="352"/>
      <c r="J109" s="352"/>
      <c r="K109" s="354"/>
      <c r="L109" s="354"/>
      <c r="M109" s="354"/>
      <c r="N109" s="135"/>
    </row>
    <row r="110" spans="2:14" hidden="1" x14ac:dyDescent="0.25">
      <c r="B110" s="27">
        <v>107</v>
      </c>
      <c r="C110" s="351"/>
      <c r="D110" s="352" t="str">
        <f>IF(Tabla4[[#This Row],['#]]="","",VLOOKUP(C110,Tabla1[[#All],['#]:[Número documento*]],2,FALSE))</f>
        <v/>
      </c>
      <c r="E110" s="352" t="str">
        <f>IF(Tabla4[[#This Row],['#]]="","",VLOOKUP(C110,Tabla1[[#All],['#]:[Número documento*]],3,FALSE))</f>
        <v/>
      </c>
      <c r="F110" s="352" t="str">
        <f>IF(Tabla4[[#This Row],['#]]="","",VLOOKUP(C110,Tabla1[[#All],['#]:[Número documento*]],4,FALSE))</f>
        <v/>
      </c>
      <c r="G110" s="353" t="str">
        <f>IF(Tabla4[[#This Row],['#]]="","",VLOOKUP(C110,Tabla1[[#All],['#]:[Número documento*]],5,FALSE))</f>
        <v/>
      </c>
      <c r="H110" s="352" t="str">
        <f>IF(Tabla4[[#This Row],['#]]="","",VLOOKUP(C110,Tabla1[[#All],['#]:[Empleador]],31,FALSE))</f>
        <v/>
      </c>
      <c r="I110" s="352"/>
      <c r="J110" s="352"/>
      <c r="K110" s="354"/>
      <c r="L110" s="354"/>
      <c r="M110" s="354"/>
      <c r="N110" s="135"/>
    </row>
    <row r="111" spans="2:14" hidden="1" x14ac:dyDescent="0.25">
      <c r="B111" s="27">
        <v>108</v>
      </c>
      <c r="C111" s="351"/>
      <c r="D111" s="352" t="str">
        <f>IF(Tabla4[[#This Row],['#]]="","",VLOOKUP(C111,Tabla1[[#All],['#]:[Número documento*]],2,FALSE))</f>
        <v/>
      </c>
      <c r="E111" s="352" t="str">
        <f>IF(Tabla4[[#This Row],['#]]="","",VLOOKUP(C111,Tabla1[[#All],['#]:[Número documento*]],3,FALSE))</f>
        <v/>
      </c>
      <c r="F111" s="352" t="str">
        <f>IF(Tabla4[[#This Row],['#]]="","",VLOOKUP(C111,Tabla1[[#All],['#]:[Número documento*]],4,FALSE))</f>
        <v/>
      </c>
      <c r="G111" s="353" t="str">
        <f>IF(Tabla4[[#This Row],['#]]="","",VLOOKUP(C111,Tabla1[[#All],['#]:[Número documento*]],5,FALSE))</f>
        <v/>
      </c>
      <c r="H111" s="352" t="str">
        <f>IF(Tabla4[[#This Row],['#]]="","",VLOOKUP(C111,Tabla1[[#All],['#]:[Empleador]],31,FALSE))</f>
        <v/>
      </c>
      <c r="I111" s="352"/>
      <c r="J111" s="352"/>
      <c r="K111" s="354"/>
      <c r="L111" s="354"/>
      <c r="M111" s="354"/>
      <c r="N111" s="135"/>
    </row>
    <row r="112" spans="2:14" hidden="1" x14ac:dyDescent="0.25">
      <c r="B112" s="27">
        <v>109</v>
      </c>
      <c r="C112" s="351"/>
      <c r="D112" s="352" t="str">
        <f>IF(Tabla4[[#This Row],['#]]="","",VLOOKUP(C112,Tabla1[[#All],['#]:[Número documento*]],2,FALSE))</f>
        <v/>
      </c>
      <c r="E112" s="352" t="str">
        <f>IF(Tabla4[[#This Row],['#]]="","",VLOOKUP(C112,Tabla1[[#All],['#]:[Número documento*]],3,FALSE))</f>
        <v/>
      </c>
      <c r="F112" s="352" t="str">
        <f>IF(Tabla4[[#This Row],['#]]="","",VLOOKUP(C112,Tabla1[[#All],['#]:[Número documento*]],4,FALSE))</f>
        <v/>
      </c>
      <c r="G112" s="353" t="str">
        <f>IF(Tabla4[[#This Row],['#]]="","",VLOOKUP(C112,Tabla1[[#All],['#]:[Número documento*]],5,FALSE))</f>
        <v/>
      </c>
      <c r="H112" s="352" t="str">
        <f>IF(Tabla4[[#This Row],['#]]="","",VLOOKUP(C112,Tabla1[[#All],['#]:[Empleador]],31,FALSE))</f>
        <v/>
      </c>
      <c r="I112" s="352"/>
      <c r="J112" s="352"/>
      <c r="K112" s="354"/>
      <c r="L112" s="354"/>
      <c r="M112" s="354"/>
      <c r="N112" s="135"/>
    </row>
    <row r="113" spans="2:14" hidden="1" x14ac:dyDescent="0.25">
      <c r="B113" s="27">
        <v>110</v>
      </c>
      <c r="C113" s="351"/>
      <c r="D113" s="352" t="str">
        <f>IF(Tabla4[[#This Row],['#]]="","",VLOOKUP(C113,Tabla1[[#All],['#]:[Número documento*]],2,FALSE))</f>
        <v/>
      </c>
      <c r="E113" s="352" t="str">
        <f>IF(Tabla4[[#This Row],['#]]="","",VLOOKUP(C113,Tabla1[[#All],['#]:[Número documento*]],3,FALSE))</f>
        <v/>
      </c>
      <c r="F113" s="352" t="str">
        <f>IF(Tabla4[[#This Row],['#]]="","",VLOOKUP(C113,Tabla1[[#All],['#]:[Número documento*]],4,FALSE))</f>
        <v/>
      </c>
      <c r="G113" s="353" t="str">
        <f>IF(Tabla4[[#This Row],['#]]="","",VLOOKUP(C113,Tabla1[[#All],['#]:[Número documento*]],5,FALSE))</f>
        <v/>
      </c>
      <c r="H113" s="352" t="str">
        <f>IF(Tabla4[[#This Row],['#]]="","",VLOOKUP(C113,Tabla1[[#All],['#]:[Empleador]],31,FALSE))</f>
        <v/>
      </c>
      <c r="I113" s="352"/>
      <c r="J113" s="352"/>
      <c r="K113" s="354"/>
      <c r="L113" s="354"/>
      <c r="M113" s="354"/>
      <c r="N113" s="135"/>
    </row>
    <row r="114" spans="2:14" hidden="1" x14ac:dyDescent="0.25">
      <c r="B114" s="27">
        <v>111</v>
      </c>
      <c r="C114" s="351"/>
      <c r="D114" s="352" t="str">
        <f>IF(Tabla4[[#This Row],['#]]="","",VLOOKUP(C114,Tabla1[[#All],['#]:[Número documento*]],2,FALSE))</f>
        <v/>
      </c>
      <c r="E114" s="352" t="str">
        <f>IF(Tabla4[[#This Row],['#]]="","",VLOOKUP(C114,Tabla1[[#All],['#]:[Número documento*]],3,FALSE))</f>
        <v/>
      </c>
      <c r="F114" s="352" t="str">
        <f>IF(Tabla4[[#This Row],['#]]="","",VLOOKUP(C114,Tabla1[[#All],['#]:[Número documento*]],4,FALSE))</f>
        <v/>
      </c>
      <c r="G114" s="353" t="str">
        <f>IF(Tabla4[[#This Row],['#]]="","",VLOOKUP(C114,Tabla1[[#All],['#]:[Número documento*]],5,FALSE))</f>
        <v/>
      </c>
      <c r="H114" s="352" t="str">
        <f>IF(Tabla4[[#This Row],['#]]="","",VLOOKUP(C114,Tabla1[[#All],['#]:[Empleador]],31,FALSE))</f>
        <v/>
      </c>
      <c r="I114" s="352"/>
      <c r="J114" s="352"/>
      <c r="K114" s="354"/>
      <c r="L114" s="354"/>
      <c r="M114" s="354"/>
      <c r="N114" s="135"/>
    </row>
    <row r="115" spans="2:14" hidden="1" x14ac:dyDescent="0.25">
      <c r="B115" s="27">
        <v>112</v>
      </c>
      <c r="C115" s="351"/>
      <c r="D115" s="352" t="str">
        <f>IF(Tabla4[[#This Row],['#]]="","",VLOOKUP(C115,Tabla1[[#All],['#]:[Número documento*]],2,FALSE))</f>
        <v/>
      </c>
      <c r="E115" s="352" t="str">
        <f>IF(Tabla4[[#This Row],['#]]="","",VLOOKUP(C115,Tabla1[[#All],['#]:[Número documento*]],3,FALSE))</f>
        <v/>
      </c>
      <c r="F115" s="352" t="str">
        <f>IF(Tabla4[[#This Row],['#]]="","",VLOOKUP(C115,Tabla1[[#All],['#]:[Número documento*]],4,FALSE))</f>
        <v/>
      </c>
      <c r="G115" s="353" t="str">
        <f>IF(Tabla4[[#This Row],['#]]="","",VLOOKUP(C115,Tabla1[[#All],['#]:[Número documento*]],5,FALSE))</f>
        <v/>
      </c>
      <c r="H115" s="352" t="str">
        <f>IF(Tabla4[[#This Row],['#]]="","",VLOOKUP(C115,Tabla1[[#All],['#]:[Empleador]],31,FALSE))</f>
        <v/>
      </c>
      <c r="I115" s="352"/>
      <c r="J115" s="352"/>
      <c r="K115" s="354"/>
      <c r="L115" s="354"/>
      <c r="M115" s="354"/>
      <c r="N115" s="135"/>
    </row>
    <row r="116" spans="2:14" hidden="1" x14ac:dyDescent="0.25">
      <c r="B116" s="27">
        <v>113</v>
      </c>
      <c r="C116" s="351"/>
      <c r="D116" s="352" t="str">
        <f>IF(Tabla4[[#This Row],['#]]="","",VLOOKUP(C116,Tabla1[[#All],['#]:[Número documento*]],2,FALSE))</f>
        <v/>
      </c>
      <c r="E116" s="352" t="str">
        <f>IF(Tabla4[[#This Row],['#]]="","",VLOOKUP(C116,Tabla1[[#All],['#]:[Número documento*]],3,FALSE))</f>
        <v/>
      </c>
      <c r="F116" s="352" t="str">
        <f>IF(Tabla4[[#This Row],['#]]="","",VLOOKUP(C116,Tabla1[[#All],['#]:[Número documento*]],4,FALSE))</f>
        <v/>
      </c>
      <c r="G116" s="353" t="str">
        <f>IF(Tabla4[[#This Row],['#]]="","",VLOOKUP(C116,Tabla1[[#All],['#]:[Número documento*]],5,FALSE))</f>
        <v/>
      </c>
      <c r="H116" s="352" t="str">
        <f>IF(Tabla4[[#This Row],['#]]="","",VLOOKUP(C116,Tabla1[[#All],['#]:[Empleador]],31,FALSE))</f>
        <v/>
      </c>
      <c r="I116" s="352"/>
      <c r="J116" s="352"/>
      <c r="K116" s="354"/>
      <c r="L116" s="354"/>
      <c r="M116" s="354"/>
      <c r="N116" s="135"/>
    </row>
    <row r="117" spans="2:14" hidden="1" x14ac:dyDescent="0.25">
      <c r="B117" s="27">
        <v>114</v>
      </c>
      <c r="C117" s="351"/>
      <c r="D117" s="352" t="str">
        <f>IF(Tabla4[[#This Row],['#]]="","",VLOOKUP(C117,Tabla1[[#All],['#]:[Número documento*]],2,FALSE))</f>
        <v/>
      </c>
      <c r="E117" s="352" t="str">
        <f>IF(Tabla4[[#This Row],['#]]="","",VLOOKUP(C117,Tabla1[[#All],['#]:[Número documento*]],3,FALSE))</f>
        <v/>
      </c>
      <c r="F117" s="352" t="str">
        <f>IF(Tabla4[[#This Row],['#]]="","",VLOOKUP(C117,Tabla1[[#All],['#]:[Número documento*]],4,FALSE))</f>
        <v/>
      </c>
      <c r="G117" s="353" t="str">
        <f>IF(Tabla4[[#This Row],['#]]="","",VLOOKUP(C117,Tabla1[[#All],['#]:[Número documento*]],5,FALSE))</f>
        <v/>
      </c>
      <c r="H117" s="352" t="str">
        <f>IF(Tabla4[[#This Row],['#]]="","",VLOOKUP(C117,Tabla1[[#All],['#]:[Empleador]],31,FALSE))</f>
        <v/>
      </c>
      <c r="I117" s="352"/>
      <c r="J117" s="352"/>
      <c r="K117" s="354"/>
      <c r="L117" s="354"/>
      <c r="M117" s="354"/>
      <c r="N117" s="135"/>
    </row>
    <row r="118" spans="2:14" hidden="1" x14ac:dyDescent="0.25">
      <c r="B118" s="27">
        <v>115</v>
      </c>
      <c r="C118" s="351"/>
      <c r="D118" s="352" t="str">
        <f>IF(Tabla4[[#This Row],['#]]="","",VLOOKUP(C118,Tabla1[[#All],['#]:[Número documento*]],2,FALSE))</f>
        <v/>
      </c>
      <c r="E118" s="352" t="str">
        <f>IF(Tabla4[[#This Row],['#]]="","",VLOOKUP(C118,Tabla1[[#All],['#]:[Número documento*]],3,FALSE))</f>
        <v/>
      </c>
      <c r="F118" s="352" t="str">
        <f>IF(Tabla4[[#This Row],['#]]="","",VLOOKUP(C118,Tabla1[[#All],['#]:[Número documento*]],4,FALSE))</f>
        <v/>
      </c>
      <c r="G118" s="353" t="str">
        <f>IF(Tabla4[[#This Row],['#]]="","",VLOOKUP(C118,Tabla1[[#All],['#]:[Número documento*]],5,FALSE))</f>
        <v/>
      </c>
      <c r="H118" s="352" t="str">
        <f>IF(Tabla4[[#This Row],['#]]="","",VLOOKUP(C118,Tabla1[[#All],['#]:[Empleador]],31,FALSE))</f>
        <v/>
      </c>
      <c r="I118" s="352"/>
      <c r="J118" s="352"/>
      <c r="K118" s="354"/>
      <c r="L118" s="354"/>
      <c r="M118" s="354"/>
      <c r="N118" s="135"/>
    </row>
    <row r="119" spans="2:14" hidden="1" x14ac:dyDescent="0.25">
      <c r="B119" s="27">
        <v>116</v>
      </c>
      <c r="C119" s="351"/>
      <c r="D119" s="352" t="str">
        <f>IF(Tabla4[[#This Row],['#]]="","",VLOOKUP(C119,Tabla1[[#All],['#]:[Número documento*]],2,FALSE))</f>
        <v/>
      </c>
      <c r="E119" s="352" t="str">
        <f>IF(Tabla4[[#This Row],['#]]="","",VLOOKUP(C119,Tabla1[[#All],['#]:[Número documento*]],3,FALSE))</f>
        <v/>
      </c>
      <c r="F119" s="352" t="str">
        <f>IF(Tabla4[[#This Row],['#]]="","",VLOOKUP(C119,Tabla1[[#All],['#]:[Número documento*]],4,FALSE))</f>
        <v/>
      </c>
      <c r="G119" s="353" t="str">
        <f>IF(Tabla4[[#This Row],['#]]="","",VLOOKUP(C119,Tabla1[[#All],['#]:[Número documento*]],5,FALSE))</f>
        <v/>
      </c>
      <c r="H119" s="352" t="str">
        <f>IF(Tabla4[[#This Row],['#]]="","",VLOOKUP(C119,Tabla1[[#All],['#]:[Empleador]],31,FALSE))</f>
        <v/>
      </c>
      <c r="I119" s="352"/>
      <c r="J119" s="352"/>
      <c r="K119" s="354"/>
      <c r="L119" s="354"/>
      <c r="M119" s="354"/>
      <c r="N119" s="135"/>
    </row>
    <row r="120" spans="2:14" hidden="1" x14ac:dyDescent="0.25">
      <c r="B120" s="27">
        <v>117</v>
      </c>
      <c r="C120" s="351"/>
      <c r="D120" s="352" t="str">
        <f>IF(Tabla4[[#This Row],['#]]="","",VLOOKUP(C120,Tabla1[[#All],['#]:[Número documento*]],2,FALSE))</f>
        <v/>
      </c>
      <c r="E120" s="352" t="str">
        <f>IF(Tabla4[[#This Row],['#]]="","",VLOOKUP(C120,Tabla1[[#All],['#]:[Número documento*]],3,FALSE))</f>
        <v/>
      </c>
      <c r="F120" s="352" t="str">
        <f>IF(Tabla4[[#This Row],['#]]="","",VLOOKUP(C120,Tabla1[[#All],['#]:[Número documento*]],4,FALSE))</f>
        <v/>
      </c>
      <c r="G120" s="353" t="str">
        <f>IF(Tabla4[[#This Row],['#]]="","",VLOOKUP(C120,Tabla1[[#All],['#]:[Número documento*]],5,FALSE))</f>
        <v/>
      </c>
      <c r="H120" s="352" t="str">
        <f>IF(Tabla4[[#This Row],['#]]="","",VLOOKUP(C120,Tabla1[[#All],['#]:[Empleador]],31,FALSE))</f>
        <v/>
      </c>
      <c r="I120" s="352"/>
      <c r="J120" s="352"/>
      <c r="K120" s="354"/>
      <c r="L120" s="354"/>
      <c r="M120" s="354"/>
      <c r="N120" s="135"/>
    </row>
    <row r="121" spans="2:14" hidden="1" x14ac:dyDescent="0.25">
      <c r="B121" s="27">
        <v>118</v>
      </c>
      <c r="C121" s="351"/>
      <c r="D121" s="352" t="str">
        <f>IF(Tabla4[[#This Row],['#]]="","",VLOOKUP(C121,Tabla1[[#All],['#]:[Número documento*]],2,FALSE))</f>
        <v/>
      </c>
      <c r="E121" s="352" t="str">
        <f>IF(Tabla4[[#This Row],['#]]="","",VLOOKUP(C121,Tabla1[[#All],['#]:[Número documento*]],3,FALSE))</f>
        <v/>
      </c>
      <c r="F121" s="352" t="str">
        <f>IF(Tabla4[[#This Row],['#]]="","",VLOOKUP(C121,Tabla1[[#All],['#]:[Número documento*]],4,FALSE))</f>
        <v/>
      </c>
      <c r="G121" s="353" t="str">
        <f>IF(Tabla4[[#This Row],['#]]="","",VLOOKUP(C121,Tabla1[[#All],['#]:[Número documento*]],5,FALSE))</f>
        <v/>
      </c>
      <c r="H121" s="352" t="str">
        <f>IF(Tabla4[[#This Row],['#]]="","",VLOOKUP(C121,Tabla1[[#All],['#]:[Empleador]],31,FALSE))</f>
        <v/>
      </c>
      <c r="I121" s="352"/>
      <c r="J121" s="352"/>
      <c r="K121" s="354"/>
      <c r="L121" s="354"/>
      <c r="M121" s="354"/>
      <c r="N121" s="135"/>
    </row>
    <row r="122" spans="2:14" hidden="1" x14ac:dyDescent="0.25">
      <c r="B122" s="27">
        <v>119</v>
      </c>
      <c r="C122" s="351"/>
      <c r="D122" s="352" t="str">
        <f>IF(Tabla4[[#This Row],['#]]="","",VLOOKUP(C122,Tabla1[[#All],['#]:[Número documento*]],2,FALSE))</f>
        <v/>
      </c>
      <c r="E122" s="352" t="str">
        <f>IF(Tabla4[[#This Row],['#]]="","",VLOOKUP(C122,Tabla1[[#All],['#]:[Número documento*]],3,FALSE))</f>
        <v/>
      </c>
      <c r="F122" s="352" t="str">
        <f>IF(Tabla4[[#This Row],['#]]="","",VLOOKUP(C122,Tabla1[[#All],['#]:[Número documento*]],4,FALSE))</f>
        <v/>
      </c>
      <c r="G122" s="353" t="str">
        <f>IF(Tabla4[[#This Row],['#]]="","",VLOOKUP(C122,Tabla1[[#All],['#]:[Número documento*]],5,FALSE))</f>
        <v/>
      </c>
      <c r="H122" s="352" t="str">
        <f>IF(Tabla4[[#This Row],['#]]="","",VLOOKUP(C122,Tabla1[[#All],['#]:[Empleador]],31,FALSE))</f>
        <v/>
      </c>
      <c r="I122" s="352"/>
      <c r="J122" s="352"/>
      <c r="K122" s="354"/>
      <c r="L122" s="354"/>
      <c r="M122" s="354"/>
      <c r="N122" s="135"/>
    </row>
    <row r="123" spans="2:14" hidden="1" x14ac:dyDescent="0.25">
      <c r="B123" s="27">
        <v>120</v>
      </c>
      <c r="C123" s="351"/>
      <c r="D123" s="352" t="str">
        <f>IF(Tabla4[[#This Row],['#]]="","",VLOOKUP(C123,Tabla1[[#All],['#]:[Número documento*]],2,FALSE))</f>
        <v/>
      </c>
      <c r="E123" s="352" t="str">
        <f>IF(Tabla4[[#This Row],['#]]="","",VLOOKUP(C123,Tabla1[[#All],['#]:[Número documento*]],3,FALSE))</f>
        <v/>
      </c>
      <c r="F123" s="352" t="str">
        <f>IF(Tabla4[[#This Row],['#]]="","",VLOOKUP(C123,Tabla1[[#All],['#]:[Número documento*]],4,FALSE))</f>
        <v/>
      </c>
      <c r="G123" s="353" t="str">
        <f>IF(Tabla4[[#This Row],['#]]="","",VLOOKUP(C123,Tabla1[[#All],['#]:[Número documento*]],5,FALSE))</f>
        <v/>
      </c>
      <c r="H123" s="352" t="str">
        <f>IF(Tabla4[[#This Row],['#]]="","",VLOOKUP(C123,Tabla1[[#All],['#]:[Empleador]],31,FALSE))</f>
        <v/>
      </c>
      <c r="I123" s="352"/>
      <c r="J123" s="352"/>
      <c r="K123" s="354"/>
      <c r="L123" s="354"/>
      <c r="M123" s="354"/>
      <c r="N123" s="135"/>
    </row>
    <row r="124" spans="2:14" hidden="1" x14ac:dyDescent="0.25">
      <c r="B124" s="27">
        <v>121</v>
      </c>
      <c r="C124" s="351"/>
      <c r="D124" s="352" t="str">
        <f>IF(Tabla4[[#This Row],['#]]="","",VLOOKUP(C124,Tabla1[[#All],['#]:[Número documento*]],2,FALSE))</f>
        <v/>
      </c>
      <c r="E124" s="352" t="str">
        <f>IF(Tabla4[[#This Row],['#]]="","",VLOOKUP(C124,Tabla1[[#All],['#]:[Número documento*]],3,FALSE))</f>
        <v/>
      </c>
      <c r="F124" s="352" t="str">
        <f>IF(Tabla4[[#This Row],['#]]="","",VLOOKUP(C124,Tabla1[[#All],['#]:[Número documento*]],4,FALSE))</f>
        <v/>
      </c>
      <c r="G124" s="353" t="str">
        <f>IF(Tabla4[[#This Row],['#]]="","",VLOOKUP(C124,Tabla1[[#All],['#]:[Número documento*]],5,FALSE))</f>
        <v/>
      </c>
      <c r="H124" s="352" t="str">
        <f>IF(Tabla4[[#This Row],['#]]="","",VLOOKUP(C124,Tabla1[[#All],['#]:[Empleador]],31,FALSE))</f>
        <v/>
      </c>
      <c r="I124" s="352"/>
      <c r="J124" s="352"/>
      <c r="K124" s="354"/>
      <c r="L124" s="354"/>
      <c r="M124" s="354"/>
      <c r="N124" s="135"/>
    </row>
    <row r="125" spans="2:14" hidden="1" x14ac:dyDescent="0.25">
      <c r="B125" s="27">
        <v>122</v>
      </c>
      <c r="C125" s="351"/>
      <c r="D125" s="352" t="str">
        <f>IF(Tabla4[[#This Row],['#]]="","",VLOOKUP(C125,Tabla1[[#All],['#]:[Número documento*]],2,FALSE))</f>
        <v/>
      </c>
      <c r="E125" s="352" t="str">
        <f>IF(Tabla4[[#This Row],['#]]="","",VLOOKUP(C125,Tabla1[[#All],['#]:[Número documento*]],3,FALSE))</f>
        <v/>
      </c>
      <c r="F125" s="352" t="str">
        <f>IF(Tabla4[[#This Row],['#]]="","",VLOOKUP(C125,Tabla1[[#All],['#]:[Número documento*]],4,FALSE))</f>
        <v/>
      </c>
      <c r="G125" s="353" t="str">
        <f>IF(Tabla4[[#This Row],['#]]="","",VLOOKUP(C125,Tabla1[[#All],['#]:[Número documento*]],5,FALSE))</f>
        <v/>
      </c>
      <c r="H125" s="352" t="str">
        <f>IF(Tabla4[[#This Row],['#]]="","",VLOOKUP(C125,Tabla1[[#All],['#]:[Empleador]],31,FALSE))</f>
        <v/>
      </c>
      <c r="I125" s="352"/>
      <c r="J125" s="352"/>
      <c r="K125" s="354"/>
      <c r="L125" s="354"/>
      <c r="M125" s="354"/>
      <c r="N125" s="135"/>
    </row>
    <row r="126" spans="2:14" hidden="1" x14ac:dyDescent="0.25">
      <c r="B126" s="27">
        <v>123</v>
      </c>
      <c r="C126" s="351"/>
      <c r="D126" s="352" t="str">
        <f>IF(Tabla4[[#This Row],['#]]="","",VLOOKUP(C126,Tabla1[[#All],['#]:[Número documento*]],2,FALSE))</f>
        <v/>
      </c>
      <c r="E126" s="352" t="str">
        <f>IF(Tabla4[[#This Row],['#]]="","",VLOOKUP(C126,Tabla1[[#All],['#]:[Número documento*]],3,FALSE))</f>
        <v/>
      </c>
      <c r="F126" s="352" t="str">
        <f>IF(Tabla4[[#This Row],['#]]="","",VLOOKUP(C126,Tabla1[[#All],['#]:[Número documento*]],4,FALSE))</f>
        <v/>
      </c>
      <c r="G126" s="353" t="str">
        <f>IF(Tabla4[[#This Row],['#]]="","",VLOOKUP(C126,Tabla1[[#All],['#]:[Número documento*]],5,FALSE))</f>
        <v/>
      </c>
      <c r="H126" s="352" t="str">
        <f>IF(Tabla4[[#This Row],['#]]="","",VLOOKUP(C126,Tabla1[[#All],['#]:[Empleador]],31,FALSE))</f>
        <v/>
      </c>
      <c r="I126" s="352"/>
      <c r="J126" s="352"/>
      <c r="K126" s="354"/>
      <c r="L126" s="354"/>
      <c r="M126" s="354"/>
      <c r="N126" s="135"/>
    </row>
    <row r="127" spans="2:14" hidden="1" x14ac:dyDescent="0.25">
      <c r="B127" s="27">
        <v>124</v>
      </c>
      <c r="C127" s="351"/>
      <c r="D127" s="352" t="str">
        <f>IF(Tabla4[[#This Row],['#]]="","",VLOOKUP(C127,Tabla1[[#All],['#]:[Número documento*]],2,FALSE))</f>
        <v/>
      </c>
      <c r="E127" s="352" t="str">
        <f>IF(Tabla4[[#This Row],['#]]="","",VLOOKUP(C127,Tabla1[[#All],['#]:[Número documento*]],3,FALSE))</f>
        <v/>
      </c>
      <c r="F127" s="352" t="str">
        <f>IF(Tabla4[[#This Row],['#]]="","",VLOOKUP(C127,Tabla1[[#All],['#]:[Número documento*]],4,FALSE))</f>
        <v/>
      </c>
      <c r="G127" s="353" t="str">
        <f>IF(Tabla4[[#This Row],['#]]="","",VLOOKUP(C127,Tabla1[[#All],['#]:[Número documento*]],5,FALSE))</f>
        <v/>
      </c>
      <c r="H127" s="352" t="str">
        <f>IF(Tabla4[[#This Row],['#]]="","",VLOOKUP(C127,Tabla1[[#All],['#]:[Empleador]],31,FALSE))</f>
        <v/>
      </c>
      <c r="I127" s="352"/>
      <c r="J127" s="352"/>
      <c r="K127" s="354"/>
      <c r="L127" s="354"/>
      <c r="M127" s="354"/>
      <c r="N127" s="135"/>
    </row>
    <row r="128" spans="2:14" hidden="1" x14ac:dyDescent="0.25">
      <c r="B128" s="27">
        <v>125</v>
      </c>
      <c r="C128" s="351"/>
      <c r="D128" s="352" t="str">
        <f>IF(Tabla4[[#This Row],['#]]="","",VLOOKUP(C128,Tabla1[[#All],['#]:[Número documento*]],2,FALSE))</f>
        <v/>
      </c>
      <c r="E128" s="352" t="str">
        <f>IF(Tabla4[[#This Row],['#]]="","",VLOOKUP(C128,Tabla1[[#All],['#]:[Número documento*]],3,FALSE))</f>
        <v/>
      </c>
      <c r="F128" s="352" t="str">
        <f>IF(Tabla4[[#This Row],['#]]="","",VLOOKUP(C128,Tabla1[[#All],['#]:[Número documento*]],4,FALSE))</f>
        <v/>
      </c>
      <c r="G128" s="353" t="str">
        <f>IF(Tabla4[[#This Row],['#]]="","",VLOOKUP(C128,Tabla1[[#All],['#]:[Número documento*]],5,FALSE))</f>
        <v/>
      </c>
      <c r="H128" s="352" t="str">
        <f>IF(Tabla4[[#This Row],['#]]="","",VLOOKUP(C128,Tabla1[[#All],['#]:[Empleador]],31,FALSE))</f>
        <v/>
      </c>
      <c r="I128" s="352"/>
      <c r="J128" s="352"/>
      <c r="K128" s="354"/>
      <c r="L128" s="354"/>
      <c r="M128" s="354"/>
      <c r="N128" s="135"/>
    </row>
    <row r="129" spans="2:14" hidden="1" x14ac:dyDescent="0.25">
      <c r="B129" s="27">
        <v>126</v>
      </c>
      <c r="C129" s="351"/>
      <c r="D129" s="352" t="str">
        <f>IF(Tabla4[[#This Row],['#]]="","",VLOOKUP(C129,Tabla1[[#All],['#]:[Número documento*]],2,FALSE))</f>
        <v/>
      </c>
      <c r="E129" s="352" t="str">
        <f>IF(Tabla4[[#This Row],['#]]="","",VLOOKUP(C129,Tabla1[[#All],['#]:[Número documento*]],3,FALSE))</f>
        <v/>
      </c>
      <c r="F129" s="352" t="str">
        <f>IF(Tabla4[[#This Row],['#]]="","",VLOOKUP(C129,Tabla1[[#All],['#]:[Número documento*]],4,FALSE))</f>
        <v/>
      </c>
      <c r="G129" s="353" t="str">
        <f>IF(Tabla4[[#This Row],['#]]="","",VLOOKUP(C129,Tabla1[[#All],['#]:[Número documento*]],5,FALSE))</f>
        <v/>
      </c>
      <c r="H129" s="352" t="str">
        <f>IF(Tabla4[[#This Row],['#]]="","",VLOOKUP(C129,Tabla1[[#All],['#]:[Empleador]],31,FALSE))</f>
        <v/>
      </c>
      <c r="I129" s="352"/>
      <c r="J129" s="352"/>
      <c r="K129" s="354"/>
      <c r="L129" s="354"/>
      <c r="M129" s="354"/>
      <c r="N129" s="135"/>
    </row>
    <row r="130" spans="2:14" hidden="1" x14ac:dyDescent="0.25">
      <c r="B130" s="27">
        <v>127</v>
      </c>
      <c r="C130" s="351"/>
      <c r="D130" s="352" t="str">
        <f>IF(Tabla4[[#This Row],['#]]="","",VLOOKUP(C130,Tabla1[[#All],['#]:[Número documento*]],2,FALSE))</f>
        <v/>
      </c>
      <c r="E130" s="352" t="str">
        <f>IF(Tabla4[[#This Row],['#]]="","",VLOOKUP(C130,Tabla1[[#All],['#]:[Número documento*]],3,FALSE))</f>
        <v/>
      </c>
      <c r="F130" s="352" t="str">
        <f>IF(Tabla4[[#This Row],['#]]="","",VLOOKUP(C130,Tabla1[[#All],['#]:[Número documento*]],4,FALSE))</f>
        <v/>
      </c>
      <c r="G130" s="353" t="str">
        <f>IF(Tabla4[[#This Row],['#]]="","",VLOOKUP(C130,Tabla1[[#All],['#]:[Número documento*]],5,FALSE))</f>
        <v/>
      </c>
      <c r="H130" s="352" t="str">
        <f>IF(Tabla4[[#This Row],['#]]="","",VLOOKUP(C130,Tabla1[[#All],['#]:[Empleador]],31,FALSE))</f>
        <v/>
      </c>
      <c r="I130" s="352"/>
      <c r="J130" s="352"/>
      <c r="K130" s="354"/>
      <c r="L130" s="354"/>
      <c r="M130" s="354"/>
      <c r="N130" s="135"/>
    </row>
    <row r="131" spans="2:14" hidden="1" x14ac:dyDescent="0.25">
      <c r="B131" s="27">
        <v>128</v>
      </c>
      <c r="C131" s="351"/>
      <c r="D131" s="352" t="str">
        <f>IF(Tabla4[[#This Row],['#]]="","",VLOOKUP(C131,Tabla1[[#All],['#]:[Número documento*]],2,FALSE))</f>
        <v/>
      </c>
      <c r="E131" s="352" t="str">
        <f>IF(Tabla4[[#This Row],['#]]="","",VLOOKUP(C131,Tabla1[[#All],['#]:[Número documento*]],3,FALSE))</f>
        <v/>
      </c>
      <c r="F131" s="352" t="str">
        <f>IF(Tabla4[[#This Row],['#]]="","",VLOOKUP(C131,Tabla1[[#All],['#]:[Número documento*]],4,FALSE))</f>
        <v/>
      </c>
      <c r="G131" s="353" t="str">
        <f>IF(Tabla4[[#This Row],['#]]="","",VLOOKUP(C131,Tabla1[[#All],['#]:[Número documento*]],5,FALSE))</f>
        <v/>
      </c>
      <c r="H131" s="352" t="str">
        <f>IF(Tabla4[[#This Row],['#]]="","",VLOOKUP(C131,Tabla1[[#All],['#]:[Empleador]],31,FALSE))</f>
        <v/>
      </c>
      <c r="I131" s="352"/>
      <c r="J131" s="352"/>
      <c r="K131" s="354"/>
      <c r="L131" s="354"/>
      <c r="M131" s="354"/>
      <c r="N131" s="135"/>
    </row>
  </sheetData>
  <phoneticPr fontId="18" type="noConversion"/>
  <dataValidations count="1">
    <dataValidation type="list" allowBlank="1" showInputMessage="1" showErrorMessage="1" sqref="M4:M131" xr:uid="{3C4DA45B-D66A-49F1-A60E-9BFC97CD27CD}">
      <formula1>"Suspensión,Llamado de atención,Multa,Archivo,Pendiente,Renuncia,Recordatorio de funciones"</formula1>
    </dataValidation>
  </dataValidations>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B2D025-D81B-4C56-ACD1-B11DDC7CF875}">
  <sheetPr codeName="Hoja17">
    <pageSetUpPr fitToPage="1"/>
  </sheetPr>
  <dimension ref="B2:K41"/>
  <sheetViews>
    <sheetView showGridLines="0" zoomScale="90" zoomScaleNormal="90" workbookViewId="0">
      <selection activeCell="A2" sqref="A2"/>
    </sheetView>
  </sheetViews>
  <sheetFormatPr baseColWidth="10" defaultColWidth="11" defaultRowHeight="15.75" x14ac:dyDescent="0.25"/>
  <cols>
    <col min="2" max="2" width="28.125" customWidth="1"/>
    <col min="3" max="3" width="37.375" customWidth="1"/>
    <col min="5" max="5" width="4.125" customWidth="1"/>
    <col min="6" max="8" width="42.625" customWidth="1"/>
    <col min="9" max="9" width="4.125" customWidth="1"/>
  </cols>
  <sheetData>
    <row r="2" spans="2:11" ht="16.5" thickBot="1" x14ac:dyDescent="0.3"/>
    <row r="3" spans="2:11" x14ac:dyDescent="0.25">
      <c r="B3" s="361" t="s">
        <v>2440</v>
      </c>
      <c r="C3" s="361" t="s">
        <v>2445</v>
      </c>
      <c r="E3" s="257"/>
      <c r="F3" s="355"/>
      <c r="G3" s="355"/>
      <c r="H3" s="355"/>
      <c r="I3" s="356"/>
    </row>
    <row r="4" spans="2:11" ht="15.75" customHeight="1" x14ac:dyDescent="0.25">
      <c r="B4" s="362">
        <v>12</v>
      </c>
      <c r="C4" s="362" t="str">
        <f>VLOOKUP(B4,Tabla4[#All],12,FALSE)</f>
        <v>Llamado de atención</v>
      </c>
      <c r="E4" s="260"/>
      <c r="F4" s="202"/>
      <c r="G4" s="202"/>
      <c r="H4" s="202"/>
      <c r="I4" s="263"/>
    </row>
    <row r="5" spans="2:11" ht="15.75" hidden="1" customHeight="1" x14ac:dyDescent="0.25">
      <c r="B5" s="38"/>
      <c r="C5" s="38"/>
      <c r="E5" s="260"/>
      <c r="F5" s="202"/>
      <c r="G5" s="202"/>
      <c r="H5" s="357" t="str">
        <f ca="1">CONCATENATE("Armenia,Quindío",", ",TEXT(TODAY(), "dd mmmm yyyy"))</f>
        <v>Armenia,Quindío, 17 junio 2024</v>
      </c>
      <c r="I5" s="263"/>
    </row>
    <row r="6" spans="2:11" ht="15.95" customHeight="1" x14ac:dyDescent="0.25">
      <c r="B6" s="363" t="s">
        <v>0</v>
      </c>
      <c r="C6" s="364" t="str">
        <f>VLOOKUP(B4,Tabla4[#All],7,FALSE)</f>
        <v>Grupo Gacama S.A.S.</v>
      </c>
      <c r="E6" s="260"/>
      <c r="F6" s="202"/>
      <c r="G6" s="202"/>
      <c r="H6" s="202"/>
      <c r="I6" s="263"/>
      <c r="K6" s="32"/>
    </row>
    <row r="7" spans="2:11" ht="15.95" customHeight="1" x14ac:dyDescent="0.25">
      <c r="B7" s="361" t="s">
        <v>2453</v>
      </c>
      <c r="C7" s="365">
        <v>165</v>
      </c>
      <c r="E7" s="260"/>
      <c r="F7" s="202"/>
      <c r="G7" s="202"/>
      <c r="H7" s="357" t="str">
        <f ca="1">CONCATENATE("Armenia,Quindío",", ",TEXT(TODAY(), "dd mmmm yyyy"))</f>
        <v>Armenia,Quindío, 17 junio 2024</v>
      </c>
      <c r="I7" s="263"/>
      <c r="K7" s="33"/>
    </row>
    <row r="8" spans="2:11" ht="15.95" customHeight="1" x14ac:dyDescent="0.25">
      <c r="B8" s="361" t="s">
        <v>2454</v>
      </c>
      <c r="C8" s="365" t="str">
        <f>VLOOKUP($C$7,Tabla1[#All],2,FALSE)</f>
        <v>Joana Andrea</v>
      </c>
      <c r="E8" s="260"/>
      <c r="F8" s="202" t="s">
        <v>2455</v>
      </c>
      <c r="G8" s="202"/>
      <c r="H8" s="202"/>
      <c r="I8" s="263"/>
      <c r="K8" s="33"/>
    </row>
    <row r="9" spans="2:11" ht="15.95" customHeight="1" x14ac:dyDescent="0.25">
      <c r="B9" s="361" t="s">
        <v>2456</v>
      </c>
      <c r="C9" s="365" t="str">
        <f>VLOOKUP($C$7,Tabla1[#All],3,FALSE)</f>
        <v>Restrepo Fernández</v>
      </c>
      <c r="E9" s="260"/>
      <c r="F9" s="433" t="str">
        <f>CONCATENATE(C8," ",C9)</f>
        <v>Joana Andrea Restrepo Fernández</v>
      </c>
      <c r="G9" s="202"/>
      <c r="H9" s="202"/>
      <c r="I9" s="263"/>
      <c r="K9" s="33"/>
    </row>
    <row r="10" spans="2:11" ht="15.95" customHeight="1" x14ac:dyDescent="0.25">
      <c r="B10" s="361" t="s">
        <v>2457</v>
      </c>
      <c r="C10" s="365" t="str">
        <f>VLOOKUP($C$7,Tabla1[#All],4,FALSE)</f>
        <v>Cédula de ciudadanía</v>
      </c>
      <c r="E10" s="260"/>
      <c r="F10" s="359" t="str">
        <f>CONCATENATE(C10," No. ",C11)</f>
        <v>Cédula de ciudadanía No. 1096032371</v>
      </c>
      <c r="G10" s="202"/>
      <c r="H10" s="202"/>
      <c r="I10" s="263"/>
    </row>
    <row r="11" spans="2:11" ht="15.95" customHeight="1" x14ac:dyDescent="0.25">
      <c r="B11" s="361" t="s">
        <v>2458</v>
      </c>
      <c r="C11" s="365">
        <f>VLOOKUP($C$7,Tabla1[#All],5,FALSE)</f>
        <v>1096032371</v>
      </c>
      <c r="E11" s="260"/>
      <c r="F11" s="202" t="s">
        <v>2459</v>
      </c>
      <c r="G11" s="202"/>
      <c r="H11" s="202"/>
      <c r="I11" s="263"/>
    </row>
    <row r="12" spans="2:11" ht="15.95" customHeight="1" x14ac:dyDescent="0.25">
      <c r="B12" s="539" t="s">
        <v>2442</v>
      </c>
      <c r="C12" s="540" t="str">
        <f>VLOOKUP($B$4,Tabla4[#All],9,FALSE)</f>
        <v>afectar la prestación del servicio encomendado, cumplir deficientemente las funciones asignadas, descuidar el punto asignado para la prestación del servicio y utilizar frecuentemente el dispositivo móvil en horario laboral</v>
      </c>
      <c r="E12" s="260"/>
      <c r="F12" s="202"/>
      <c r="G12" s="202"/>
      <c r="H12" s="202"/>
      <c r="I12" s="263"/>
      <c r="K12" s="33"/>
    </row>
    <row r="13" spans="2:11" ht="73.5" customHeight="1" x14ac:dyDescent="0.25">
      <c r="B13" s="539"/>
      <c r="C13" s="540"/>
      <c r="E13" s="260"/>
      <c r="F13" s="202"/>
      <c r="G13" s="202"/>
      <c r="H13" s="360" t="s">
        <v>2460</v>
      </c>
      <c r="I13" s="263"/>
    </row>
    <row r="14" spans="2:11" ht="28.5" customHeight="1" x14ac:dyDescent="0.25">
      <c r="E14" s="260"/>
      <c r="F14" s="202"/>
      <c r="G14" s="202"/>
      <c r="H14" s="202"/>
      <c r="I14" s="263"/>
      <c r="K14" s="33"/>
    </row>
    <row r="15" spans="2:11" ht="48" customHeight="1" x14ac:dyDescent="0.25">
      <c r="E15" s="260"/>
      <c r="F15" s="538" t="str">
        <f>CONCATENATE("Día tras día, requerimos de todos nuestros trabajadores para alcanzar los objetivos que en ",C6,", (el Empleador), nos hemos trazado. Para ello se requiere que todos los trabajadores cumplan las políticas, lineamientos y reglamentos del Empleador así como las funciones ordinarias, anexas y complementarias propias de cada cargo.")</f>
        <v>Día tras día, requerimos de todos nuestros trabajadores para alcanzar los objetivos que en Grupo Gacama S.A.S., (el Empleador), nos hemos trazado. Para ello se requiere que todos los trabajadores cumplan las políticas, lineamientos y reglamentos del Empleador así como las funciones ordinarias, anexas y complementarias propias de cada cargo.</v>
      </c>
      <c r="G15" s="538"/>
      <c r="H15" s="538"/>
      <c r="I15" s="263"/>
    </row>
    <row r="16" spans="2:11" x14ac:dyDescent="0.25">
      <c r="E16" s="260"/>
      <c r="F16" s="268"/>
      <c r="G16" s="268"/>
      <c r="H16" s="268"/>
      <c r="I16" s="263"/>
      <c r="K16" s="33"/>
    </row>
    <row r="17" spans="5:11" ht="48" customHeight="1" x14ac:dyDescent="0.25">
      <c r="E17" s="260"/>
      <c r="F17" s="538" t="s">
        <v>2461</v>
      </c>
      <c r="G17" s="538"/>
      <c r="H17" s="538"/>
      <c r="I17" s="263"/>
    </row>
    <row r="18" spans="5:11" x14ac:dyDescent="0.25">
      <c r="E18" s="260"/>
      <c r="F18" s="268"/>
      <c r="G18" s="268"/>
      <c r="H18" s="268"/>
      <c r="I18" s="263"/>
      <c r="K18" s="33"/>
    </row>
    <row r="19" spans="5:11" ht="33" customHeight="1" x14ac:dyDescent="0.25">
      <c r="E19" s="260"/>
      <c r="F19" s="538" t="str">
        <f>CONCATENATE("Así, le recordamos que esta estrictamente prohibido ",C12)</f>
        <v>Así, le recordamos que esta estrictamente prohibido afectar la prestación del servicio encomendado, cumplir deficientemente las funciones asignadas, descuidar el punto asignado para la prestación del servicio y utilizar frecuentemente el dispositivo móvil en horario laboral</v>
      </c>
      <c r="G19" s="538"/>
      <c r="H19" s="538"/>
      <c r="I19" s="263"/>
    </row>
    <row r="20" spans="5:11" x14ac:dyDescent="0.25">
      <c r="E20" s="260"/>
      <c r="F20" s="268"/>
      <c r="G20" s="268"/>
      <c r="H20" s="268"/>
      <c r="I20" s="263"/>
      <c r="K20" s="33"/>
    </row>
    <row r="21" spans="5:11" ht="34.5" customHeight="1" x14ac:dyDescent="0.25">
      <c r="E21" s="260"/>
      <c r="F21" s="538" t="str">
        <f>CONCATENATE("Después de revisar las justificaciones y pruebas por usted brindadas en el proceso disciplinario realizado el pasado ",TEXT(VLOOKUP($B$4,Tabla4[#All],11,FALSE),"dd mmmm yyyy"),", se ha tomado la decisión de realizarle el presente llamado de atención con copia a su hoja de vida.")</f>
        <v>Después de revisar las justificaciones y pruebas por usted brindadas en el proceso disciplinario realizado el pasado 17 mayo 2024, se ha tomado la decisión de realizarle el presente llamado de atención con copia a su hoja de vida.</v>
      </c>
      <c r="G21" s="538"/>
      <c r="H21" s="538"/>
      <c r="I21" s="263"/>
    </row>
    <row r="22" spans="5:11" x14ac:dyDescent="0.25">
      <c r="E22" s="260"/>
      <c r="F22" s="537"/>
      <c r="G22" s="537"/>
      <c r="H22" s="537"/>
      <c r="I22" s="263"/>
    </row>
    <row r="23" spans="5:11" ht="33" customHeight="1" x14ac:dyDescent="0.25">
      <c r="E23" s="260"/>
      <c r="F23" s="537" t="s">
        <v>2462</v>
      </c>
      <c r="G23" s="537"/>
      <c r="H23" s="537"/>
      <c r="I23" s="263"/>
    </row>
    <row r="24" spans="5:11" x14ac:dyDescent="0.25">
      <c r="E24" s="260"/>
      <c r="F24" s="537"/>
      <c r="G24" s="537"/>
      <c r="H24" s="537"/>
      <c r="I24" s="263"/>
    </row>
    <row r="25" spans="5:11" ht="20.100000000000001" customHeight="1" x14ac:dyDescent="0.25">
      <c r="E25" s="260"/>
      <c r="F25" s="537" t="s">
        <v>2463</v>
      </c>
      <c r="G25" s="537"/>
      <c r="H25" s="537"/>
      <c r="I25" s="263"/>
    </row>
    <row r="26" spans="5:11" x14ac:dyDescent="0.25">
      <c r="E26" s="260"/>
      <c r="F26" s="537"/>
      <c r="G26" s="537"/>
      <c r="H26" s="537"/>
      <c r="I26" s="263"/>
    </row>
    <row r="27" spans="5:11" ht="33.75" customHeight="1" x14ac:dyDescent="0.25">
      <c r="E27" s="260"/>
      <c r="F27" s="537" t="s">
        <v>2464</v>
      </c>
      <c r="G27" s="537"/>
      <c r="H27" s="537"/>
      <c r="I27" s="263"/>
    </row>
    <row r="28" spans="5:11" x14ac:dyDescent="0.25">
      <c r="E28" s="260"/>
      <c r="F28" s="536"/>
      <c r="G28" s="536"/>
      <c r="H28" s="536"/>
      <c r="I28" s="263"/>
    </row>
    <row r="29" spans="5:11" x14ac:dyDescent="0.25">
      <c r="E29" s="260"/>
      <c r="F29" s="358" t="s">
        <v>2465</v>
      </c>
      <c r="G29" s="201"/>
      <c r="H29" s="358" t="s">
        <v>2466</v>
      </c>
      <c r="I29" s="263"/>
    </row>
    <row r="30" spans="5:11" x14ac:dyDescent="0.25">
      <c r="E30" s="260"/>
      <c r="F30" s="358"/>
      <c r="G30" s="201"/>
      <c r="H30" s="358"/>
      <c r="I30" s="263"/>
    </row>
    <row r="31" spans="5:11" x14ac:dyDescent="0.25">
      <c r="E31" s="260"/>
      <c r="F31" s="358"/>
      <c r="G31" s="201"/>
      <c r="H31" s="358"/>
      <c r="I31" s="263"/>
    </row>
    <row r="32" spans="5:11" x14ac:dyDescent="0.25">
      <c r="E32" s="260"/>
      <c r="F32" s="358" t="s">
        <v>2467</v>
      </c>
      <c r="G32" s="201"/>
      <c r="H32" s="358" t="s">
        <v>2467</v>
      </c>
      <c r="I32" s="263"/>
    </row>
    <row r="33" spans="5:9" x14ac:dyDescent="0.25">
      <c r="E33" s="260"/>
      <c r="F33" s="358" t="str">
        <f>C6</f>
        <v>Grupo Gacama S.A.S.</v>
      </c>
      <c r="G33" s="202"/>
      <c r="H33" s="358" t="str">
        <f>F9</f>
        <v>Joana Andrea Restrepo Fernández</v>
      </c>
      <c r="I33" s="263"/>
    </row>
    <row r="34" spans="5:9" x14ac:dyDescent="0.25">
      <c r="E34" s="260"/>
      <c r="F34" s="434" t="s">
        <v>3026</v>
      </c>
      <c r="G34" s="202"/>
      <c r="H34" s="359" t="str">
        <f>F10</f>
        <v>Cédula de ciudadanía No. 1096032371</v>
      </c>
      <c r="I34" s="263"/>
    </row>
    <row r="35" spans="5:9" x14ac:dyDescent="0.25">
      <c r="E35" s="260"/>
      <c r="F35" s="358"/>
      <c r="G35" s="202"/>
      <c r="H35" s="202"/>
      <c r="I35" s="263"/>
    </row>
    <row r="36" spans="5:9" ht="16.5" thickBot="1" x14ac:dyDescent="0.3">
      <c r="E36" s="273"/>
      <c r="F36" s="274"/>
      <c r="G36" s="274"/>
      <c r="H36" s="274"/>
      <c r="I36" s="275"/>
    </row>
    <row r="41" spans="5:9" x14ac:dyDescent="0.25">
      <c r="F41" s="33"/>
    </row>
  </sheetData>
  <mergeCells count="13">
    <mergeCell ref="F21:H21"/>
    <mergeCell ref="B12:B13"/>
    <mergeCell ref="C12:C13"/>
    <mergeCell ref="F15:H15"/>
    <mergeCell ref="F17:H17"/>
    <mergeCell ref="F19:H19"/>
    <mergeCell ref="F28:H28"/>
    <mergeCell ref="F22:H22"/>
    <mergeCell ref="F23:H23"/>
    <mergeCell ref="F24:H24"/>
    <mergeCell ref="F25:H25"/>
    <mergeCell ref="F26:H26"/>
    <mergeCell ref="F27:H27"/>
  </mergeCells>
  <conditionalFormatting sqref="C4">
    <cfRule type="cellIs" dxfId="11" priority="1" operator="equal">
      <formula>"Verificar la falta registrada"</formula>
    </cfRule>
  </conditionalFormatting>
  <pageMargins left="0.7" right="0.7" top="0.75" bottom="0.75" header="0.3" footer="0.3"/>
  <pageSetup scale="62" orientation="portrait" horizontalDpi="300" verticalDpi="3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10036-5658-F44E-9BA4-FC35C9F8C7E0}">
  <sheetPr codeName="Hoja6">
    <pageSetUpPr fitToPage="1"/>
  </sheetPr>
  <dimension ref="B2:K41"/>
  <sheetViews>
    <sheetView showGridLines="0" zoomScale="80" zoomScaleNormal="80" workbookViewId="0"/>
  </sheetViews>
  <sheetFormatPr baseColWidth="10" defaultColWidth="11" defaultRowHeight="15.75" x14ac:dyDescent="0.25"/>
  <cols>
    <col min="2" max="2" width="41.375" customWidth="1"/>
    <col min="3" max="3" width="32.875" bestFit="1" customWidth="1"/>
    <col min="5" max="5" width="4.125" customWidth="1"/>
    <col min="6" max="8" width="42.625" customWidth="1"/>
    <col min="9" max="9" width="4.125" customWidth="1"/>
  </cols>
  <sheetData>
    <row r="2" spans="2:11" ht="16.5" thickBot="1" x14ac:dyDescent="0.3"/>
    <row r="3" spans="2:11" x14ac:dyDescent="0.25">
      <c r="B3" s="361" t="s">
        <v>2440</v>
      </c>
      <c r="C3" s="361" t="s">
        <v>2445</v>
      </c>
      <c r="E3" s="257"/>
      <c r="F3" s="355"/>
      <c r="G3" s="355"/>
      <c r="H3" s="355"/>
      <c r="I3" s="356"/>
    </row>
    <row r="4" spans="2:11" ht="15.95" customHeight="1" x14ac:dyDescent="0.25">
      <c r="B4" s="362">
        <v>10</v>
      </c>
      <c r="C4" s="362" t="str">
        <f>VLOOKUP($B$4,Tabla4[#All],12,FALSE)</f>
        <v>Recordatorio de funciones</v>
      </c>
      <c r="E4" s="260"/>
      <c r="F4" s="202"/>
      <c r="G4" s="202"/>
      <c r="H4" s="202"/>
      <c r="I4" s="263"/>
    </row>
    <row r="5" spans="2:11" ht="15.95" customHeight="1" x14ac:dyDescent="0.25">
      <c r="B5" s="38"/>
      <c r="C5" s="38"/>
      <c r="E5" s="260"/>
      <c r="F5" s="202"/>
      <c r="G5" s="202"/>
      <c r="H5" s="357" t="str">
        <f ca="1">CONCATENATE("Armenia,Quindío",", ",TEXT(TODAY(), "dd mmmm yyyy"))</f>
        <v>Armenia,Quindío, 17 junio 2024</v>
      </c>
      <c r="I5" s="263"/>
    </row>
    <row r="6" spans="2:11" ht="15.95" customHeight="1" x14ac:dyDescent="0.25">
      <c r="B6" s="363" t="s">
        <v>0</v>
      </c>
      <c r="C6" s="364" t="str">
        <f>VLOOKUP($C$7,Tabla1[#All],31,FALSE)</f>
        <v>La Terreza de la Cava S.A.S.</v>
      </c>
      <c r="E6" s="260"/>
      <c r="F6" s="202"/>
      <c r="G6" s="202"/>
      <c r="H6" s="202"/>
      <c r="I6" s="263"/>
      <c r="K6" s="32"/>
    </row>
    <row r="7" spans="2:11" ht="15.95" customHeight="1" x14ac:dyDescent="0.25">
      <c r="B7" s="361" t="s">
        <v>2453</v>
      </c>
      <c r="C7" s="365">
        <f>VLOOKUP($B$4,Tabla4[#All],2,FALSE)</f>
        <v>443</v>
      </c>
      <c r="E7" s="260"/>
      <c r="F7" s="202"/>
      <c r="G7" s="202"/>
      <c r="H7" s="202"/>
      <c r="I7" s="263"/>
      <c r="K7" s="33"/>
    </row>
    <row r="8" spans="2:11" ht="15.95" customHeight="1" x14ac:dyDescent="0.25">
      <c r="B8" s="361" t="s">
        <v>2454</v>
      </c>
      <c r="C8" s="365" t="str">
        <f>VLOOKUP($C$7,Tabla1[#All],2,FALSE)</f>
        <v>Robinson</v>
      </c>
      <c r="E8" s="260"/>
      <c r="F8" s="202" t="s">
        <v>2455</v>
      </c>
      <c r="G8" s="202"/>
      <c r="H8" s="202"/>
      <c r="I8" s="263"/>
      <c r="K8" s="33"/>
    </row>
    <row r="9" spans="2:11" ht="15.95" customHeight="1" x14ac:dyDescent="0.25">
      <c r="B9" s="361" t="s">
        <v>2456</v>
      </c>
      <c r="C9" s="365" t="str">
        <f>VLOOKUP($C$7,Tabla1[#All],3,FALSE)</f>
        <v xml:space="preserve">Hernandez Montoya </v>
      </c>
      <c r="E9" s="260"/>
      <c r="F9" s="358" t="str">
        <f>CONCATENATE(C8," ",C9)</f>
        <v xml:space="preserve">Robinson Hernandez Montoya </v>
      </c>
      <c r="G9" s="202"/>
      <c r="H9" s="202"/>
      <c r="I9" s="263"/>
      <c r="K9" s="33"/>
    </row>
    <row r="10" spans="2:11" ht="15.95" customHeight="1" x14ac:dyDescent="0.25">
      <c r="B10" s="361" t="s">
        <v>2457</v>
      </c>
      <c r="C10" s="365" t="str">
        <f>VLOOKUP($C$7,Tabla1[#All],4,FALSE)</f>
        <v>Cédula de ciudadanía</v>
      </c>
      <c r="E10" s="260"/>
      <c r="F10" s="359" t="str">
        <f>CONCATENATE(C10," No. ",C11)</f>
        <v>Cédula de ciudadanía No. 1088291857.</v>
      </c>
      <c r="G10" s="202"/>
      <c r="H10" s="202"/>
      <c r="I10" s="263"/>
    </row>
    <row r="11" spans="2:11" ht="15.95" customHeight="1" x14ac:dyDescent="0.25">
      <c r="B11" s="361" t="s">
        <v>2458</v>
      </c>
      <c r="C11" s="365" t="str">
        <f>TEXT(VLOOKUP($C$7,Tabla1[#All],5,FALSE),"###.###")</f>
        <v>1088291857.</v>
      </c>
      <c r="E11" s="260"/>
      <c r="F11" s="202" t="s">
        <v>2459</v>
      </c>
      <c r="G11" s="202"/>
      <c r="H11" s="202"/>
      <c r="I11" s="263"/>
    </row>
    <row r="12" spans="2:11" ht="15.95" customHeight="1" x14ac:dyDescent="0.25">
      <c r="B12" s="539" t="s">
        <v>2442</v>
      </c>
      <c r="C12" s="540" t="str">
        <f>VLOOKUP($B$4,Tabla4[#All],9,FALSE)</f>
        <v>incumplir con las funciones de acuerdo con el cargo desempeñado, particularmente en lo que respecta a no tener el mise en place correspondiente</v>
      </c>
      <c r="E12" s="260"/>
      <c r="F12" s="202"/>
      <c r="G12" s="202"/>
      <c r="H12" s="202"/>
      <c r="I12" s="263"/>
      <c r="K12" s="33"/>
    </row>
    <row r="13" spans="2:11" ht="88.5" customHeight="1" x14ac:dyDescent="0.25">
      <c r="B13" s="539"/>
      <c r="C13" s="540"/>
      <c r="E13" s="260"/>
      <c r="F13" s="202"/>
      <c r="G13" s="202"/>
      <c r="H13" s="360" t="s">
        <v>2468</v>
      </c>
      <c r="I13" s="263"/>
    </row>
    <row r="14" spans="2:11" x14ac:dyDescent="0.25">
      <c r="E14" s="260"/>
      <c r="F14" s="202"/>
      <c r="G14" s="202"/>
      <c r="H14" s="202"/>
      <c r="I14" s="263"/>
      <c r="K14" s="33"/>
    </row>
    <row r="15" spans="2:11" ht="51.95" customHeight="1" x14ac:dyDescent="0.25">
      <c r="E15" s="260"/>
      <c r="F15" s="538" t="str">
        <f>CONCATENATE("Día tras día, requerimos de todos nuestros trabajadores para alcanzar los objetivos que en ",C6," nos hemos trazado. Para ello se requiere que todos los trabajadores cumplan las políticas, lineamientos y reglamentos de la Compañía, así como las funciones ordinarias, anexas y complementarias propias de cada cargo.")</f>
        <v>Día tras día, requerimos de todos nuestros trabajadores para alcanzar los objetivos que en La Terreza de la Cava S.A.S. nos hemos trazado. Para ello se requiere que todos los trabajadores cumplan las políticas, lineamientos y reglamentos de la Compañía, así como las funciones ordinarias, anexas y complementarias propias de cada cargo.</v>
      </c>
      <c r="G15" s="538"/>
      <c r="H15" s="538"/>
      <c r="I15" s="263"/>
    </row>
    <row r="16" spans="2:11" x14ac:dyDescent="0.25">
      <c r="E16" s="260"/>
      <c r="F16" s="268"/>
      <c r="G16" s="268"/>
      <c r="H16" s="268"/>
      <c r="I16" s="263"/>
      <c r="K16" s="33"/>
    </row>
    <row r="17" spans="5:11" ht="51.75" customHeight="1" x14ac:dyDescent="0.25">
      <c r="E17" s="260"/>
      <c r="F17" s="538" t="s">
        <v>2469</v>
      </c>
      <c r="G17" s="538"/>
      <c r="H17" s="538"/>
      <c r="I17" s="263"/>
    </row>
    <row r="18" spans="5:11" x14ac:dyDescent="0.25">
      <c r="E18" s="260"/>
      <c r="F18" s="268"/>
      <c r="G18" s="268"/>
      <c r="H18" s="268"/>
      <c r="I18" s="263"/>
      <c r="K18" s="33"/>
    </row>
    <row r="19" spans="5:11" ht="56.25" customHeight="1" x14ac:dyDescent="0.25">
      <c r="E19" s="260"/>
      <c r="F19" s="538" t="str">
        <f>CONCATENATE("Así, le recordamos que esta estrictamente prohibido ",C12,".")</f>
        <v>Así, le recordamos que esta estrictamente prohibido incumplir con las funciones de acuerdo con el cargo desempeñado, particularmente en lo que respecta a no tener el mise en place correspondiente.</v>
      </c>
      <c r="G19" s="538"/>
      <c r="H19" s="538"/>
      <c r="I19" s="263"/>
    </row>
    <row r="20" spans="5:11" x14ac:dyDescent="0.25">
      <c r="E20" s="260"/>
      <c r="F20" s="268"/>
      <c r="G20" s="268"/>
      <c r="H20" s="268"/>
      <c r="I20" s="263"/>
      <c r="K20" s="33"/>
    </row>
    <row r="21" spans="5:11" ht="35.25" customHeight="1" x14ac:dyDescent="0.25">
      <c r="E21" s="260"/>
      <c r="F21" s="537" t="s">
        <v>2462</v>
      </c>
      <c r="G21" s="537"/>
      <c r="H21" s="537"/>
      <c r="I21" s="263"/>
    </row>
    <row r="22" spans="5:11" x14ac:dyDescent="0.25">
      <c r="E22" s="260"/>
      <c r="F22" s="537"/>
      <c r="G22" s="537"/>
      <c r="H22" s="537"/>
      <c r="I22" s="263"/>
    </row>
    <row r="23" spans="5:11" ht="36" customHeight="1" x14ac:dyDescent="0.25">
      <c r="E23" s="260"/>
      <c r="F23" s="537" t="s">
        <v>2470</v>
      </c>
      <c r="G23" s="537"/>
      <c r="H23" s="537"/>
      <c r="I23" s="263"/>
    </row>
    <row r="24" spans="5:11" x14ac:dyDescent="0.25">
      <c r="E24" s="260"/>
      <c r="F24" s="537"/>
      <c r="G24" s="537"/>
      <c r="H24" s="537"/>
      <c r="I24" s="263"/>
    </row>
    <row r="25" spans="5:11" ht="20.100000000000001" customHeight="1" x14ac:dyDescent="0.25">
      <c r="E25" s="260"/>
      <c r="F25" s="537" t="s">
        <v>2471</v>
      </c>
      <c r="G25" s="537"/>
      <c r="H25" s="537"/>
      <c r="I25" s="263"/>
    </row>
    <row r="26" spans="5:11" x14ac:dyDescent="0.25">
      <c r="E26" s="260"/>
      <c r="F26" s="537"/>
      <c r="G26" s="537"/>
      <c r="H26" s="537"/>
      <c r="I26" s="263"/>
    </row>
    <row r="27" spans="5:11" ht="39.75" customHeight="1" x14ac:dyDescent="0.25">
      <c r="E27" s="260"/>
      <c r="F27" s="538" t="s">
        <v>2472</v>
      </c>
      <c r="G27" s="538"/>
      <c r="H27" s="538"/>
      <c r="I27" s="263"/>
    </row>
    <row r="28" spans="5:11" x14ac:dyDescent="0.25">
      <c r="E28" s="260"/>
      <c r="F28" s="536"/>
      <c r="G28" s="536"/>
      <c r="H28" s="536"/>
      <c r="I28" s="263"/>
    </row>
    <row r="29" spans="5:11" x14ac:dyDescent="0.25">
      <c r="E29" s="260"/>
      <c r="F29" s="358" t="s">
        <v>2465</v>
      </c>
      <c r="G29" s="201"/>
      <c r="H29" s="358" t="s">
        <v>2466</v>
      </c>
      <c r="I29" s="263"/>
    </row>
    <row r="30" spans="5:11" x14ac:dyDescent="0.25">
      <c r="E30" s="260"/>
      <c r="F30" s="358"/>
      <c r="G30" s="201"/>
      <c r="H30" s="358"/>
      <c r="I30" s="263"/>
    </row>
    <row r="31" spans="5:11" x14ac:dyDescent="0.25">
      <c r="E31" s="260"/>
      <c r="F31" s="358"/>
      <c r="G31" s="201"/>
      <c r="H31" s="358"/>
      <c r="I31" s="263"/>
    </row>
    <row r="32" spans="5:11" x14ac:dyDescent="0.25">
      <c r="E32" s="260"/>
      <c r="F32" s="358" t="s">
        <v>2467</v>
      </c>
      <c r="G32" s="201"/>
      <c r="H32" s="358" t="s">
        <v>2467</v>
      </c>
      <c r="I32" s="263"/>
    </row>
    <row r="33" spans="5:9" x14ac:dyDescent="0.25">
      <c r="E33" s="260"/>
      <c r="F33" s="358" t="str">
        <f>C6</f>
        <v>La Terreza de la Cava S.A.S.</v>
      </c>
      <c r="G33" s="202"/>
      <c r="H33" s="358" t="str">
        <f>F9</f>
        <v xml:space="preserve">Robinson Hernandez Montoya </v>
      </c>
      <c r="I33" s="263"/>
    </row>
    <row r="34" spans="5:9" x14ac:dyDescent="0.25">
      <c r="E34" s="260"/>
      <c r="F34" s="358" t="e">
        <f>CONCATENATE(VLOOKUP($C$6,Tabla2[#All],2,FALSE)," ","No. ",VLOOKUP($C$6,Tabla2[#All],3,FALSE))</f>
        <v>#N/A</v>
      </c>
      <c r="G34" s="202"/>
      <c r="H34" s="359" t="str">
        <f>F10</f>
        <v>Cédula de ciudadanía No. 1088291857.</v>
      </c>
      <c r="I34" s="263"/>
    </row>
    <row r="35" spans="5:9" x14ac:dyDescent="0.25">
      <c r="E35" s="260"/>
      <c r="F35" s="358"/>
      <c r="G35" s="202"/>
      <c r="H35" s="202"/>
      <c r="I35" s="263"/>
    </row>
    <row r="36" spans="5:9" ht="16.5" thickBot="1" x14ac:dyDescent="0.3">
      <c r="E36" s="273"/>
      <c r="F36" s="274"/>
      <c r="G36" s="274"/>
      <c r="H36" s="274"/>
      <c r="I36" s="275"/>
    </row>
    <row r="41" spans="5:9" x14ac:dyDescent="0.25">
      <c r="F41" s="33"/>
    </row>
  </sheetData>
  <mergeCells count="13">
    <mergeCell ref="B12:B13"/>
    <mergeCell ref="C12:C13"/>
    <mergeCell ref="F15:H15"/>
    <mergeCell ref="F28:H28"/>
    <mergeCell ref="F17:H17"/>
    <mergeCell ref="F19:H19"/>
    <mergeCell ref="F23:H23"/>
    <mergeCell ref="F25:H25"/>
    <mergeCell ref="F27:H27"/>
    <mergeCell ref="F21:H21"/>
    <mergeCell ref="F22:H22"/>
    <mergeCell ref="F24:H24"/>
    <mergeCell ref="F26:H26"/>
  </mergeCells>
  <conditionalFormatting sqref="C4">
    <cfRule type="cellIs" dxfId="10" priority="1" operator="equal">
      <formula>"Verificar la falta registrada"</formula>
    </cfRule>
  </conditionalFormatting>
  <pageMargins left="0.25" right="0.25" top="0.75" bottom="0.75" header="0.3" footer="0.3"/>
  <pageSetup scale="6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9C9321-74C1-C347-AF0D-2F152F47CCE0}">
  <sheetPr codeName="Hoja7"/>
  <dimension ref="B1:G22"/>
  <sheetViews>
    <sheetView showGridLines="0" zoomScale="70" zoomScaleNormal="70" workbookViewId="0"/>
  </sheetViews>
  <sheetFormatPr baseColWidth="10" defaultColWidth="11" defaultRowHeight="15.75" x14ac:dyDescent="0.25"/>
  <cols>
    <col min="1" max="1" width="12.75" customWidth="1"/>
    <col min="3" max="3" width="57" customWidth="1"/>
    <col min="6" max="6" width="13" bestFit="1" customWidth="1"/>
    <col min="7" max="7" width="24" bestFit="1" customWidth="1"/>
  </cols>
  <sheetData>
    <row r="1" spans="2:7" ht="16.5" thickBot="1" x14ac:dyDescent="0.3"/>
    <row r="2" spans="2:7" x14ac:dyDescent="0.25">
      <c r="B2" s="257"/>
      <c r="C2" s="258"/>
      <c r="D2" s="259"/>
      <c r="E2" s="56"/>
      <c r="F2" s="57" t="s">
        <v>2432</v>
      </c>
      <c r="G2" s="58" t="s">
        <v>0</v>
      </c>
    </row>
    <row r="3" spans="2:7" ht="21" x14ac:dyDescent="0.35">
      <c r="B3" s="260"/>
      <c r="C3" s="261" t="str">
        <f>VLOOKUP($G$3,Tabla2[#All],1,FALSE)</f>
        <v>Valencia Echeverry S.A.S.</v>
      </c>
      <c r="D3" s="262"/>
      <c r="E3" s="59"/>
      <c r="F3" s="60">
        <v>457</v>
      </c>
      <c r="G3" s="61" t="str">
        <f>VLOOKUP($F$3,Tabla1[#All],31,FALSE)</f>
        <v>Valencia Echeverry S.A.S.</v>
      </c>
    </row>
    <row r="4" spans="2:7" ht="21" x14ac:dyDescent="0.35">
      <c r="B4" s="260"/>
      <c r="C4" s="261" t="str">
        <f>CONCATENATE(VLOOKUP($G$3,Tabla2[#All],2,FALSE)," ","No. ",VLOOKUP($G$3,Tabla2[#All],3,FALSE))</f>
        <v>NIT. No. 901252224-2</v>
      </c>
      <c r="D4" s="262"/>
      <c r="E4" s="59"/>
      <c r="F4" s="38"/>
      <c r="G4" s="38"/>
    </row>
    <row r="5" spans="2:7" x14ac:dyDescent="0.25">
      <c r="B5" s="260"/>
      <c r="C5" s="202"/>
      <c r="D5" s="263"/>
      <c r="E5" s="55"/>
      <c r="F5" s="38"/>
      <c r="G5" s="38"/>
    </row>
    <row r="6" spans="2:7" x14ac:dyDescent="0.25">
      <c r="B6" s="260"/>
      <c r="C6" s="264" t="s">
        <v>2473</v>
      </c>
      <c r="D6" s="265"/>
      <c r="E6" s="62"/>
      <c r="F6" s="38"/>
      <c r="G6" s="38"/>
    </row>
    <row r="7" spans="2:7" x14ac:dyDescent="0.25">
      <c r="B7" s="260"/>
      <c r="C7" s="55"/>
      <c r="D7" s="263"/>
      <c r="E7" s="55"/>
      <c r="F7" s="38"/>
      <c r="G7" s="38"/>
    </row>
    <row r="8" spans="2:7" ht="75" x14ac:dyDescent="0.25">
      <c r="B8" s="260"/>
      <c r="C8" s="266" t="str">
        <f>CONCATENATE(VLOOKUP($F$3,Tabla1[#All],2,FALSE)," ",VLOOKUP($F$3,Tabla1[#All],3,FALSE),", identificado(a) con ",CONCATENATE(VLOOKUP($F$3,Tabla1[#All],4,FALSE)," ","No. ",TEXT(VLOOKUP($F$3,Tabla1[#All],5,FALSE),"###.##"))," labora desde el ",TEXT(VLOOKUP($F$3,Tabla1[#All],8,FALSE),"dd mmmm yyyy")," a la fecha "," desempeñando el cargo de ",VLOOKUP($F$3,Tabla1[#All],26,FALSE)," mediante contrato de trabajo a ",VLOOKUP($F$3,Tabla1[#All],7,FALSE)," y con un salario mensual de $",TEXT(VLOOKUP($F$3,Tabla1[#All],11,FALSE),"###.##"))</f>
        <v>Cristian Camilo Rincón Giraldo, identificado(a) con Cédula de ciudadanía No. 1010085659. labora desde el 19 abril 2024 a la fecha  desempeñando el cargo de Aprendiz mediante contrato de trabajo a Término fijo y con un salario mensual de $975000.</v>
      </c>
      <c r="D8" s="267"/>
      <c r="E8" s="63"/>
      <c r="F8" s="38"/>
      <c r="G8" s="38"/>
    </row>
    <row r="9" spans="2:7" x14ac:dyDescent="0.25">
      <c r="B9" s="260"/>
      <c r="C9" s="266"/>
      <c r="D9" s="267"/>
      <c r="E9" s="63"/>
      <c r="F9" s="38"/>
      <c r="G9" s="38"/>
    </row>
    <row r="10" spans="2:7" x14ac:dyDescent="0.25">
      <c r="B10" s="260"/>
      <c r="C10" s="266" t="str">
        <f>IF(ISBLANK(VLOOKUP($F$3,Tabla1[#All],35,FALSE))," ",CONCATENATE("Así mismo, ","recibe sumas no constitutivas de salario por la suma de ","$",TEXT(VLOOKUP($F$3,Tabla1[#All],35,FALSE),"###.##")," mensuales."))</f>
        <v xml:space="preserve"> </v>
      </c>
      <c r="D10" s="267"/>
      <c r="E10" s="63"/>
      <c r="F10" s="38"/>
      <c r="G10" s="38"/>
    </row>
    <row r="11" spans="2:7" x14ac:dyDescent="0.25">
      <c r="B11" s="260"/>
      <c r="C11" s="266"/>
      <c r="D11" s="267"/>
      <c r="E11" s="63"/>
      <c r="F11" s="38"/>
      <c r="G11" s="38"/>
    </row>
    <row r="12" spans="2:7" x14ac:dyDescent="0.25">
      <c r="B12" s="260"/>
      <c r="C12" s="268"/>
      <c r="D12" s="263"/>
      <c r="E12" s="55"/>
      <c r="F12" s="38"/>
      <c r="G12" s="38"/>
    </row>
    <row r="13" spans="2:7" x14ac:dyDescent="0.25">
      <c r="B13" s="260"/>
      <c r="C13" s="266" t="str">
        <f ca="1">CONCATENATE("Para constancia de lo anterior, se firma el ",TEXT(TODAY(),"dd mmmm yyyy"),".")</f>
        <v>Para constancia de lo anterior, se firma el 17 junio 2024.</v>
      </c>
      <c r="D13" s="267"/>
      <c r="E13" s="63"/>
      <c r="F13" s="38"/>
      <c r="G13" s="38"/>
    </row>
    <row r="14" spans="2:7" x14ac:dyDescent="0.25">
      <c r="B14" s="260"/>
      <c r="C14" s="269"/>
      <c r="D14" s="267"/>
      <c r="E14" s="63"/>
      <c r="F14" s="38"/>
      <c r="G14" s="38"/>
    </row>
    <row r="15" spans="2:7" x14ac:dyDescent="0.25">
      <c r="B15" s="260"/>
      <c r="C15" s="202"/>
      <c r="D15" s="263"/>
      <c r="E15" s="55"/>
      <c r="F15" s="38"/>
      <c r="G15" s="38"/>
    </row>
    <row r="16" spans="2:7" x14ac:dyDescent="0.25">
      <c r="B16" s="260"/>
      <c r="C16" s="201" t="s">
        <v>2474</v>
      </c>
      <c r="D16" s="270"/>
      <c r="E16" s="65"/>
      <c r="F16" s="38"/>
      <c r="G16" s="38"/>
    </row>
    <row r="17" spans="2:7" x14ac:dyDescent="0.25">
      <c r="B17" s="260"/>
      <c r="C17" s="202"/>
      <c r="D17" s="263"/>
      <c r="E17" s="55"/>
      <c r="F17" s="38"/>
      <c r="G17" s="38"/>
    </row>
    <row r="18" spans="2:7" x14ac:dyDescent="0.25">
      <c r="B18" s="260"/>
      <c r="C18" s="202"/>
      <c r="D18" s="263"/>
      <c r="E18" s="55"/>
      <c r="F18" s="38"/>
      <c r="G18" s="38"/>
    </row>
    <row r="19" spans="2:7" x14ac:dyDescent="0.25">
      <c r="B19" s="260"/>
      <c r="C19" s="276" t="s">
        <v>2475</v>
      </c>
      <c r="D19" s="270"/>
      <c r="E19" s="65"/>
      <c r="F19" s="38"/>
      <c r="G19" s="38"/>
    </row>
    <row r="20" spans="2:7" x14ac:dyDescent="0.25">
      <c r="B20" s="260"/>
      <c r="C20" s="271" t="str">
        <f>VLOOKUP($G$3,Tabla2[#All],1,FALSE)</f>
        <v>Valencia Echeverry S.A.S.</v>
      </c>
      <c r="D20" s="272"/>
      <c r="E20" s="66"/>
      <c r="F20" s="38"/>
      <c r="G20" s="38"/>
    </row>
    <row r="21" spans="2:7" x14ac:dyDescent="0.25">
      <c r="B21" s="260"/>
      <c r="C21" s="201" t="str">
        <f>CONCATENATE(VLOOKUP($G$3,Tabla2[#All],2,FALSE)," ","No. ",VLOOKUP($G$3,Tabla2[#All],3,FALSE))</f>
        <v>NIT. No. 901252224-2</v>
      </c>
      <c r="D21" s="270"/>
      <c r="E21" s="65"/>
      <c r="F21" s="38"/>
      <c r="G21" s="38"/>
    </row>
    <row r="22" spans="2:7" ht="16.5" thickBot="1" x14ac:dyDescent="0.3">
      <c r="B22" s="273"/>
      <c r="C22" s="274"/>
      <c r="D22" s="275"/>
      <c r="E22" s="38"/>
      <c r="F22" s="38"/>
      <c r="G22" s="38"/>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2DB94-99F3-4C47-ACFC-27D18358A5CE}">
  <sheetPr codeName="Hoja8">
    <pageSetUpPr fitToPage="1"/>
  </sheetPr>
  <dimension ref="B1:S100"/>
  <sheetViews>
    <sheetView showGridLines="0" view="pageBreakPreview" zoomScale="80" zoomScaleNormal="85" zoomScaleSheetLayoutView="80" workbookViewId="0"/>
  </sheetViews>
  <sheetFormatPr baseColWidth="10" defaultColWidth="11" defaultRowHeight="15.75" x14ac:dyDescent="0.25"/>
  <cols>
    <col min="1" max="1" width="12.875" customWidth="1"/>
    <col min="2" max="2" width="16.375" customWidth="1"/>
    <col min="3" max="3" width="26.25" bestFit="1" customWidth="1"/>
    <col min="4" max="4" width="5.125" customWidth="1"/>
    <col min="5" max="5" width="1.375" customWidth="1"/>
    <col min="6" max="6" width="23.875" customWidth="1"/>
    <col min="7" max="7" width="1.125" customWidth="1"/>
    <col min="8" max="8" width="22.875" customWidth="1"/>
    <col min="9" max="9" width="1.125" customWidth="1"/>
    <col min="10" max="10" width="19.125" customWidth="1"/>
    <col min="11" max="11" width="1.125" customWidth="1"/>
    <col min="12" max="12" width="23.625" bestFit="1" customWidth="1"/>
    <col min="13" max="13" width="2.375" customWidth="1"/>
    <col min="14" max="14" width="28.125" customWidth="1"/>
    <col min="15" max="19" width="16.5" customWidth="1"/>
  </cols>
  <sheetData>
    <row r="1" spans="2:19" ht="16.5" thickBot="1" x14ac:dyDescent="0.3"/>
    <row r="2" spans="2:19" x14ac:dyDescent="0.25">
      <c r="B2" s="255" t="s">
        <v>2432</v>
      </c>
      <c r="C2" s="256" t="s">
        <v>0</v>
      </c>
      <c r="E2" s="569"/>
      <c r="F2" s="570"/>
      <c r="G2" s="381"/>
      <c r="H2" s="381"/>
      <c r="I2" s="381"/>
      <c r="J2" s="381"/>
      <c r="K2" s="381"/>
      <c r="L2" s="381"/>
      <c r="M2" s="382"/>
    </row>
    <row r="3" spans="2:19" ht="24" thickBot="1" x14ac:dyDescent="0.3">
      <c r="B3" s="254">
        <v>457</v>
      </c>
      <c r="C3" s="366" t="str">
        <f>VLOOKUP($B$3,Tabla1[#All],31,FALSE)</f>
        <v>Valencia Echeverry S.A.S.</v>
      </c>
      <c r="D3" s="218"/>
      <c r="E3" s="377"/>
      <c r="F3" s="571" t="s">
        <v>2476</v>
      </c>
      <c r="G3" s="571"/>
      <c r="H3" s="571"/>
      <c r="I3" s="571"/>
      <c r="J3" s="571"/>
      <c r="K3" s="571"/>
      <c r="L3" s="571"/>
      <c r="M3" s="378"/>
    </row>
    <row r="4" spans="2:19" ht="9.9499999999999993" customHeight="1" x14ac:dyDescent="0.25">
      <c r="D4" s="219"/>
      <c r="E4" s="377"/>
      <c r="F4" s="383"/>
      <c r="G4" s="330"/>
      <c r="H4" s="330"/>
      <c r="I4" s="330"/>
      <c r="J4" s="330"/>
      <c r="K4" s="330"/>
      <c r="L4" s="330"/>
      <c r="M4" s="378"/>
    </row>
    <row r="5" spans="2:19" ht="20.25" customHeight="1" x14ac:dyDescent="0.25">
      <c r="E5" s="377"/>
      <c r="F5" s="331" t="s">
        <v>2477</v>
      </c>
      <c r="G5" s="330"/>
      <c r="H5" s="330"/>
      <c r="I5" s="330"/>
      <c r="J5" s="330"/>
      <c r="K5" s="330"/>
      <c r="L5" s="330"/>
      <c r="M5" s="378"/>
    </row>
    <row r="6" spans="2:19" ht="9.9499999999999993" customHeight="1" x14ac:dyDescent="0.25">
      <c r="E6" s="377"/>
      <c r="F6" s="330"/>
      <c r="G6" s="330"/>
      <c r="H6" s="330"/>
      <c r="I6" s="330"/>
      <c r="J6" s="330"/>
      <c r="K6" s="330"/>
      <c r="L6" s="330"/>
      <c r="M6" s="378"/>
    </row>
    <row r="7" spans="2:19" ht="30" x14ac:dyDescent="0.25">
      <c r="E7" s="318"/>
      <c r="F7" s="224" t="s">
        <v>2478</v>
      </c>
      <c r="G7" s="332"/>
      <c r="H7" s="563" t="str">
        <f>VLOOKUP($C$3,Tabla2[#All],1,FALSE)</f>
        <v>Valencia Echeverry S.A.S.</v>
      </c>
      <c r="I7" s="564"/>
      <c r="J7" s="564"/>
      <c r="K7" s="564"/>
      <c r="L7" s="565"/>
      <c r="M7" s="378"/>
      <c r="R7" s="10"/>
      <c r="S7" s="10"/>
    </row>
    <row r="8" spans="2:19" ht="2.85" customHeight="1" x14ac:dyDescent="0.25">
      <c r="E8" s="318"/>
      <c r="F8" s="222"/>
      <c r="G8" s="332"/>
      <c r="H8" s="221"/>
      <c r="I8" s="221"/>
      <c r="J8" s="221"/>
      <c r="K8" s="221"/>
      <c r="L8" s="221"/>
      <c r="M8" s="378"/>
      <c r="R8" s="10"/>
      <c r="S8" s="10"/>
    </row>
    <row r="9" spans="2:19" ht="15" customHeight="1" x14ac:dyDescent="0.25">
      <c r="E9" s="379"/>
      <c r="F9" s="224" t="s">
        <v>2457</v>
      </c>
      <c r="G9" s="332"/>
      <c r="H9" s="236" t="str">
        <f>VLOOKUP($C$3,Tabla2[#All],2,FALSE)</f>
        <v>NIT.</v>
      </c>
      <c r="I9" s="223"/>
      <c r="J9" s="235" t="s">
        <v>2458</v>
      </c>
      <c r="K9" s="223"/>
      <c r="L9" s="237" t="str">
        <f>TEXT(VLOOKUP($C$3,Tabla2[#All],3,FALSE),"###.###")</f>
        <v>901252224-2</v>
      </c>
      <c r="M9" s="378"/>
      <c r="R9" s="10"/>
      <c r="S9" s="10"/>
    </row>
    <row r="10" spans="2:19" ht="2.85" customHeight="1" x14ac:dyDescent="0.25">
      <c r="E10" s="379"/>
      <c r="F10" s="222"/>
      <c r="G10" s="332"/>
      <c r="H10" s="221"/>
      <c r="I10" s="221"/>
      <c r="J10" s="221"/>
      <c r="K10" s="221"/>
      <c r="L10" s="221"/>
      <c r="M10" s="378"/>
      <c r="R10" s="10"/>
      <c r="S10" s="10"/>
    </row>
    <row r="11" spans="2:19" x14ac:dyDescent="0.25">
      <c r="E11" s="377"/>
      <c r="F11" s="224" t="s">
        <v>2479</v>
      </c>
      <c r="G11" s="332"/>
      <c r="H11" s="563" t="str">
        <f>IF(ISBLANK(VLOOKUP($C$3, Tabla2[#All], 4, FALSE)), "No aplica", VLOOKUP($C$3, Tabla2[#All], 4, FALSE))</f>
        <v>Marcela Echeverry P</v>
      </c>
      <c r="I11" s="564"/>
      <c r="J11" s="564"/>
      <c r="K11" s="564"/>
      <c r="L11" s="565"/>
      <c r="M11" s="378"/>
      <c r="R11" s="10"/>
      <c r="S11" s="10"/>
    </row>
    <row r="12" spans="2:19" ht="2.85" customHeight="1" x14ac:dyDescent="0.25">
      <c r="E12" s="377"/>
      <c r="F12" s="222"/>
      <c r="G12" s="332"/>
      <c r="H12" s="225"/>
      <c r="I12" s="221"/>
      <c r="J12" s="221"/>
      <c r="K12" s="221"/>
      <c r="L12" s="221"/>
      <c r="M12" s="378"/>
      <c r="R12" s="10"/>
      <c r="S12" s="10"/>
    </row>
    <row r="13" spans="2:19" ht="15" customHeight="1" x14ac:dyDescent="0.25">
      <c r="E13" s="377"/>
      <c r="F13" s="224" t="s">
        <v>2480</v>
      </c>
      <c r="G13" s="332"/>
      <c r="H13" s="236" t="str">
        <f>IF(ISBLANK(VLOOKUP($C$3,Tabla2[#All],5,FALSE)),"No aplica",TEXT(VLOOKUP($C$3,Tabla2[#All],5,FALSE),"###.##"))</f>
        <v>Cédula de ciudadanía</v>
      </c>
      <c r="I13" s="223"/>
      <c r="J13" s="235" t="s">
        <v>2458</v>
      </c>
      <c r="K13" s="223"/>
      <c r="L13" s="237" t="str">
        <f>IF(ISBLANK(VLOOKUP($C$3,Tabla2[#All],6,FALSE)),"No aplica",TEXT(VLOOKUP($C$3,Tabla2[#All],6,FALSE),"###.##"))</f>
        <v>41915946.</v>
      </c>
      <c r="M13" s="378"/>
      <c r="R13" s="10"/>
      <c r="S13" s="10"/>
    </row>
    <row r="14" spans="2:19" ht="2.85" customHeight="1" x14ac:dyDescent="0.25">
      <c r="E14" s="377"/>
      <c r="F14" s="222"/>
      <c r="G14" s="332"/>
      <c r="H14" s="221"/>
      <c r="I14" s="221"/>
      <c r="J14" s="221"/>
      <c r="K14" s="221"/>
      <c r="L14" s="221"/>
      <c r="M14" s="378"/>
      <c r="R14" s="10"/>
      <c r="S14" s="10"/>
    </row>
    <row r="15" spans="2:19" x14ac:dyDescent="0.25">
      <c r="B15" s="20"/>
      <c r="E15" s="377"/>
      <c r="F15" s="224" t="s">
        <v>2481</v>
      </c>
      <c r="G15" s="332"/>
      <c r="H15" s="566">
        <f>VLOOKUP($C$3,Tabla2[#All],7,FALSE)</f>
        <v>3178875241</v>
      </c>
      <c r="I15" s="567"/>
      <c r="J15" s="567"/>
      <c r="K15" s="567"/>
      <c r="L15" s="568"/>
      <c r="M15" s="378"/>
      <c r="R15" s="10"/>
      <c r="S15" s="10"/>
    </row>
    <row r="16" spans="2:19" ht="2.85" customHeight="1" x14ac:dyDescent="0.25">
      <c r="B16" s="20"/>
      <c r="E16" s="377"/>
      <c r="F16" s="222"/>
      <c r="G16" s="332"/>
      <c r="H16" s="333"/>
      <c r="I16" s="333"/>
      <c r="J16" s="333"/>
      <c r="K16" s="333"/>
      <c r="L16" s="333"/>
      <c r="M16" s="378"/>
      <c r="R16" s="10"/>
      <c r="S16" s="10"/>
    </row>
    <row r="17" spans="5:19" x14ac:dyDescent="0.25">
      <c r="E17" s="377"/>
      <c r="F17" s="224" t="s">
        <v>107</v>
      </c>
      <c r="G17" s="332"/>
      <c r="H17" s="563" t="str">
        <f>VLOOKUP($C$3,Tabla2[#All],8,FALSE)</f>
        <v>restaurante-elsolar@hotmail.com</v>
      </c>
      <c r="I17" s="564"/>
      <c r="J17" s="564"/>
      <c r="K17" s="564"/>
      <c r="L17" s="565"/>
      <c r="M17" s="378"/>
      <c r="R17" s="10"/>
      <c r="S17" s="10"/>
    </row>
    <row r="18" spans="5:19" ht="2.85" customHeight="1" x14ac:dyDescent="0.25">
      <c r="E18" s="377"/>
      <c r="F18" s="222"/>
      <c r="G18" s="332"/>
      <c r="H18" s="221"/>
      <c r="I18" s="221"/>
      <c r="J18" s="221"/>
      <c r="K18" s="221"/>
      <c r="L18" s="221"/>
      <c r="M18" s="378"/>
      <c r="R18" s="10"/>
      <c r="S18" s="10"/>
    </row>
    <row r="19" spans="5:19" x14ac:dyDescent="0.25">
      <c r="E19" s="377"/>
      <c r="F19" s="224" t="s">
        <v>114</v>
      </c>
      <c r="G19" s="332"/>
      <c r="H19" s="563" t="str">
        <f>VLOOKUP($C$3,Tabla2[#All],9,FALSE)</f>
        <v>Km 2 Vía Armenia Circasia</v>
      </c>
      <c r="I19" s="564"/>
      <c r="J19" s="564"/>
      <c r="K19" s="564"/>
      <c r="L19" s="565"/>
      <c r="M19" s="378"/>
      <c r="R19" s="10"/>
      <c r="S19" s="10"/>
    </row>
    <row r="20" spans="5:19" ht="2.85" customHeight="1" x14ac:dyDescent="0.25">
      <c r="E20" s="377"/>
      <c r="F20" s="221"/>
      <c r="G20" s="221"/>
      <c r="H20" s="221"/>
      <c r="I20" s="221"/>
      <c r="J20" s="221"/>
      <c r="K20" s="221"/>
      <c r="L20" s="221"/>
      <c r="M20" s="378"/>
      <c r="R20" s="10"/>
      <c r="S20" s="10"/>
    </row>
    <row r="21" spans="5:19" ht="15" customHeight="1" x14ac:dyDescent="0.25">
      <c r="E21" s="377"/>
      <c r="F21" s="334" t="s">
        <v>2482</v>
      </c>
      <c r="G21" s="335"/>
      <c r="H21" s="335"/>
      <c r="I21" s="335"/>
      <c r="J21" s="335"/>
      <c r="K21" s="335"/>
      <c r="L21" s="335"/>
      <c r="M21" s="378"/>
      <c r="R21" s="10"/>
      <c r="S21" s="10"/>
    </row>
    <row r="22" spans="5:19" ht="2.85" customHeight="1" x14ac:dyDescent="0.25">
      <c r="E22" s="377"/>
      <c r="F22" s="221"/>
      <c r="G22" s="221"/>
      <c r="H22" s="221"/>
      <c r="I22" s="221"/>
      <c r="J22" s="221"/>
      <c r="K22" s="221"/>
      <c r="L22" s="221"/>
      <c r="M22" s="378"/>
      <c r="R22" s="10"/>
      <c r="S22" s="10"/>
    </row>
    <row r="23" spans="5:19" x14ac:dyDescent="0.25">
      <c r="E23" s="377"/>
      <c r="F23" s="224" t="s">
        <v>2483</v>
      </c>
      <c r="G23" s="332"/>
      <c r="H23" s="543" t="str">
        <f>CONCATENATE(VLOOKUP($B$3,Tabla1[#All],2,FALSE)," ",VLOOKUP($B$3,Tabla1[#All],3,FALSE))</f>
        <v>Cristian Camilo Rincón Giraldo</v>
      </c>
      <c r="I23" s="544"/>
      <c r="J23" s="544"/>
      <c r="K23" s="544"/>
      <c r="L23" s="545"/>
      <c r="M23" s="378"/>
      <c r="R23" s="10"/>
      <c r="S23" s="10"/>
    </row>
    <row r="24" spans="5:19" ht="2.85" customHeight="1" x14ac:dyDescent="0.25">
      <c r="E24" s="377"/>
      <c r="F24" s="222"/>
      <c r="G24" s="332"/>
      <c r="H24" s="220"/>
      <c r="I24" s="220"/>
      <c r="J24" s="220"/>
      <c r="K24" s="220"/>
      <c r="L24" s="220"/>
      <c r="M24" s="378"/>
      <c r="R24" s="10"/>
      <c r="S24" s="10"/>
    </row>
    <row r="25" spans="5:19" ht="15.75" customHeight="1" x14ac:dyDescent="0.25">
      <c r="E25" s="377"/>
      <c r="F25" s="224" t="s">
        <v>2484</v>
      </c>
      <c r="G25" s="332"/>
      <c r="H25" s="229" t="str">
        <f>VLOOKUP($B$3,Tabla1[#All],4,FALSE)</f>
        <v>Cédula de ciudadanía</v>
      </c>
      <c r="I25" s="222"/>
      <c r="J25" s="235" t="s">
        <v>2458</v>
      </c>
      <c r="K25" s="222"/>
      <c r="L25" s="229" t="str">
        <f>TEXT(VLOOKUP($B$3,Tabla1[#All],5,FALSE),"###.##")</f>
        <v>1010085659.</v>
      </c>
      <c r="M25" s="378"/>
      <c r="R25" s="10"/>
      <c r="S25" s="10"/>
    </row>
    <row r="26" spans="5:19" ht="2.85" customHeight="1" x14ac:dyDescent="0.25">
      <c r="E26" s="377"/>
      <c r="F26" s="222"/>
      <c r="G26" s="332"/>
      <c r="H26" s="220"/>
      <c r="I26" s="220"/>
      <c r="J26" s="220"/>
      <c r="K26" s="220"/>
      <c r="L26" s="220"/>
      <c r="M26" s="378"/>
      <c r="R26" s="10"/>
      <c r="S26" s="10"/>
    </row>
    <row r="27" spans="5:19" x14ac:dyDescent="0.25">
      <c r="E27" s="377"/>
      <c r="F27" s="224" t="s">
        <v>2485</v>
      </c>
      <c r="G27" s="332"/>
      <c r="H27" s="543" t="str">
        <f>VLOOKUP($B$3,Tabla1[#All],22,FALSE)</f>
        <v>Barrio Cooperativo Manzana H Casa 6</v>
      </c>
      <c r="I27" s="544"/>
      <c r="J27" s="544"/>
      <c r="K27" s="544"/>
      <c r="L27" s="545"/>
      <c r="M27" s="378"/>
      <c r="R27" s="10"/>
      <c r="S27" s="10"/>
    </row>
    <row r="28" spans="5:19" ht="2.85" customHeight="1" x14ac:dyDescent="0.25">
      <c r="E28" s="377"/>
      <c r="F28" s="222"/>
      <c r="G28" s="332"/>
      <c r="H28" s="220"/>
      <c r="I28" s="220"/>
      <c r="J28" s="220"/>
      <c r="K28" s="220"/>
      <c r="L28" s="220"/>
      <c r="M28" s="378"/>
      <c r="R28" s="10"/>
      <c r="S28" s="10"/>
    </row>
    <row r="29" spans="5:19" x14ac:dyDescent="0.25">
      <c r="E29" s="377"/>
      <c r="F29" s="224" t="s">
        <v>2486</v>
      </c>
      <c r="G29" s="332"/>
      <c r="H29" s="546">
        <f>VLOOKUP($B$3,Tabla1[#All],23,FALSE)</f>
        <v>3234816480</v>
      </c>
      <c r="I29" s="547"/>
      <c r="J29" s="547"/>
      <c r="K29" s="547"/>
      <c r="L29" s="548"/>
      <c r="M29" s="378"/>
      <c r="R29" s="10"/>
      <c r="S29" s="10"/>
    </row>
    <row r="30" spans="5:19" ht="2.85" customHeight="1" x14ac:dyDescent="0.25">
      <c r="E30" s="377"/>
      <c r="F30" s="222"/>
      <c r="G30" s="332"/>
      <c r="H30" s="336"/>
      <c r="I30" s="336"/>
      <c r="J30" s="336"/>
      <c r="K30" s="336"/>
      <c r="L30" s="336"/>
      <c r="M30" s="378"/>
      <c r="R30" s="10"/>
      <c r="S30" s="10"/>
    </row>
    <row r="31" spans="5:19" x14ac:dyDescent="0.25">
      <c r="E31" s="377"/>
      <c r="F31" s="224" t="s">
        <v>107</v>
      </c>
      <c r="G31" s="332"/>
      <c r="H31" s="543" t="str">
        <f>VLOOKUP($B$3,Tabla1[#All],15,FALSE)</f>
        <v>cristianrincongiraldo@gmail.com</v>
      </c>
      <c r="I31" s="544"/>
      <c r="J31" s="544"/>
      <c r="K31" s="544"/>
      <c r="L31" s="545"/>
      <c r="M31" s="378"/>
      <c r="R31" s="10"/>
      <c r="S31" s="10"/>
    </row>
    <row r="32" spans="5:19" ht="2.85" customHeight="1" x14ac:dyDescent="0.25">
      <c r="E32" s="377"/>
      <c r="F32" s="222"/>
      <c r="G32" s="332"/>
      <c r="H32" s="220"/>
      <c r="I32" s="220"/>
      <c r="J32" s="220"/>
      <c r="K32" s="220"/>
      <c r="L32" s="220"/>
      <c r="M32" s="378"/>
      <c r="R32" s="10"/>
      <c r="S32" s="10"/>
    </row>
    <row r="33" spans="5:19" x14ac:dyDescent="0.25">
      <c r="E33" s="377"/>
      <c r="F33" s="224" t="s">
        <v>2487</v>
      </c>
      <c r="G33" s="332"/>
      <c r="H33" s="551">
        <f>VLOOKUP($B$3,Tabla1[#All],21,FALSE)</f>
        <v>37513</v>
      </c>
      <c r="I33" s="552"/>
      <c r="J33" s="552"/>
      <c r="K33" s="552"/>
      <c r="L33" s="553"/>
      <c r="M33" s="378"/>
      <c r="R33" s="10"/>
      <c r="S33" s="10"/>
    </row>
    <row r="34" spans="5:19" ht="2.85" customHeight="1" x14ac:dyDescent="0.25">
      <c r="E34" s="377"/>
      <c r="F34" s="222"/>
      <c r="G34" s="332"/>
      <c r="H34" s="337"/>
      <c r="I34" s="337"/>
      <c r="J34" s="337"/>
      <c r="K34" s="337"/>
      <c r="L34" s="337"/>
      <c r="M34" s="378"/>
      <c r="R34" s="10"/>
      <c r="S34" s="10"/>
    </row>
    <row r="35" spans="5:19" x14ac:dyDescent="0.25">
      <c r="E35" s="377"/>
      <c r="F35" s="549" t="s">
        <v>2488</v>
      </c>
      <c r="G35" s="335"/>
      <c r="H35" s="226" t="s">
        <v>2489</v>
      </c>
      <c r="I35" s="338"/>
      <c r="J35" s="226" t="s">
        <v>2490</v>
      </c>
      <c r="K35" s="338"/>
      <c r="L35" s="226" t="s">
        <v>2491</v>
      </c>
      <c r="M35" s="378"/>
      <c r="R35" s="10"/>
      <c r="S35" s="10"/>
    </row>
    <row r="36" spans="5:19" ht="15" customHeight="1" x14ac:dyDescent="0.25">
      <c r="E36" s="377"/>
      <c r="F36" s="550"/>
      <c r="G36" s="335"/>
      <c r="H36" s="227" t="str">
        <f>VLOOKUP($B$3,Tabla1[#All],28,FALSE)</f>
        <v>EPS Sura</v>
      </c>
      <c r="I36" s="338"/>
      <c r="J36" s="227">
        <f>VLOOKUP($B$3,Tabla1[#All],29,FALSE)</f>
        <v>0</v>
      </c>
      <c r="K36" s="338"/>
      <c r="L36" s="227" t="str">
        <f>IF(ISBLANK(VLOOKUP($B$3,Tabla1[#All],30,FALSE)), "No aplica", VLOOKUP($B$3,Tabla1[#All],30,FALSE))</f>
        <v>No aplica</v>
      </c>
      <c r="M36" s="378"/>
      <c r="R36" s="10"/>
      <c r="S36" s="10"/>
    </row>
    <row r="37" spans="5:19" ht="2.85" customHeight="1" x14ac:dyDescent="0.25">
      <c r="E37" s="377"/>
      <c r="F37" s="220"/>
      <c r="G37" s="335"/>
      <c r="H37" s="338"/>
      <c r="I37" s="338"/>
      <c r="J37" s="338"/>
      <c r="K37" s="338"/>
      <c r="L37" s="338"/>
      <c r="M37" s="378"/>
      <c r="R37" s="10"/>
      <c r="S37" s="10"/>
    </row>
    <row r="38" spans="5:19" x14ac:dyDescent="0.25">
      <c r="E38" s="377"/>
      <c r="F38" s="549" t="s">
        <v>2492</v>
      </c>
      <c r="G38" s="335"/>
      <c r="H38" s="226" t="s">
        <v>110</v>
      </c>
      <c r="I38" s="338"/>
      <c r="J38" s="226" t="s">
        <v>2493</v>
      </c>
      <c r="K38" s="338"/>
      <c r="L38" s="226" t="s">
        <v>2494</v>
      </c>
      <c r="M38" s="378"/>
      <c r="R38" s="10"/>
      <c r="S38" s="10"/>
    </row>
    <row r="39" spans="5:19" ht="15.75" customHeight="1" x14ac:dyDescent="0.25">
      <c r="E39" s="377"/>
      <c r="F39" s="550"/>
      <c r="G39" s="335"/>
      <c r="H39" s="227" t="str">
        <f>IF(L53="Transferencia Bancaria",VLOOKUP($B$3, Tabla1[#All], 18, FALSE),"No aplica")</f>
        <v>Nequi</v>
      </c>
      <c r="I39" s="338"/>
      <c r="J39" s="227" t="str">
        <f>IF(L53="Transferencia Bancaria",VLOOKUP($B$3, Tabla1[#All], 19, FALSE),"No aplica")</f>
        <v>Cuenta de Ahorros</v>
      </c>
      <c r="K39" s="338"/>
      <c r="L39" s="228">
        <f>IF(L53="Transferencia Bancaria",VLOOKUP($B$3, Tabla1[#All], 20, FALSE),"No aplica")</f>
        <v>3106427643</v>
      </c>
      <c r="M39" s="378"/>
      <c r="R39" s="10"/>
      <c r="S39" s="10"/>
    </row>
    <row r="40" spans="5:19" ht="2.25" customHeight="1" x14ac:dyDescent="0.25">
      <c r="E40" s="377"/>
      <c r="F40" s="335"/>
      <c r="G40" s="335"/>
      <c r="H40" s="338"/>
      <c r="I40" s="338"/>
      <c r="J40" s="338"/>
      <c r="K40" s="338"/>
      <c r="L40" s="339"/>
      <c r="M40" s="378"/>
      <c r="R40" s="10"/>
      <c r="S40" s="10"/>
    </row>
    <row r="41" spans="5:19" ht="15" customHeight="1" x14ac:dyDescent="0.25">
      <c r="E41" s="377"/>
      <c r="F41" s="331" t="s">
        <v>2495</v>
      </c>
      <c r="G41" s="330"/>
      <c r="H41" s="330"/>
      <c r="I41" s="330"/>
      <c r="J41" s="330"/>
      <c r="K41" s="330"/>
      <c r="L41" s="330"/>
      <c r="M41" s="378"/>
      <c r="R41" s="10"/>
      <c r="S41" s="10"/>
    </row>
    <row r="42" spans="5:19" ht="2.85" customHeight="1" x14ac:dyDescent="0.25">
      <c r="E42" s="377"/>
      <c r="F42" s="340"/>
      <c r="G42" s="340"/>
      <c r="H42" s="340"/>
      <c r="I42" s="340"/>
      <c r="J42" s="340"/>
      <c r="K42" s="340"/>
      <c r="L42" s="340"/>
      <c r="M42" s="378"/>
      <c r="R42" s="10"/>
      <c r="S42" s="10"/>
    </row>
    <row r="43" spans="5:19" ht="16.5" customHeight="1" x14ac:dyDescent="0.25">
      <c r="E43" s="377"/>
      <c r="F43" s="224" t="s">
        <v>2496</v>
      </c>
      <c r="G43" s="332"/>
      <c r="H43" s="229" t="str">
        <f>VLOOKUP($B$3,Tabla1[#All],7,FALSE)</f>
        <v>Término fijo</v>
      </c>
      <c r="I43" s="222"/>
      <c r="J43" s="224" t="s">
        <v>2497</v>
      </c>
      <c r="K43" s="222"/>
      <c r="L43" s="229" t="str">
        <f>_xlfn.CONCAT("Personal ",VLOOKUP($B$3,Tabla1[#All],33,FALSE))</f>
        <v>Personal ordinario</v>
      </c>
      <c r="M43" s="378"/>
      <c r="R43" s="10"/>
      <c r="S43" s="10"/>
    </row>
    <row r="44" spans="5:19" ht="2.85" customHeight="1" x14ac:dyDescent="0.25">
      <c r="E44" s="377"/>
      <c r="F44" s="222"/>
      <c r="G44" s="332"/>
      <c r="H44" s="220"/>
      <c r="I44" s="220"/>
      <c r="J44" s="220"/>
      <c r="K44" s="220"/>
      <c r="L44" s="220"/>
      <c r="M44" s="378"/>
      <c r="R44" s="10"/>
      <c r="S44" s="10"/>
    </row>
    <row r="45" spans="5:19" ht="15.75" customHeight="1" x14ac:dyDescent="0.25">
      <c r="E45" s="377"/>
      <c r="F45" s="224" t="s">
        <v>2498</v>
      </c>
      <c r="G45" s="332"/>
      <c r="H45" s="405" t="str">
        <f>TEXT(VLOOKUP($B$3,Tabla1[#All],8,FALSE),"dd mmmm yyyy")</f>
        <v>19 abril 2024</v>
      </c>
      <c r="I45" s="341"/>
      <c r="J45" s="231" t="s">
        <v>2499</v>
      </c>
      <c r="K45" s="342"/>
      <c r="L45" s="406" t="str">
        <f>IF(ISBLANK(VLOOKUP($B$3, Tabla1[#All], 9, FALSE)), "No aplica",TEXT(VLOOKUP($B$3,Tabla1[#All],9,FALSE),"dd mmmm yyyy"))</f>
        <v>18 octubre 2024</v>
      </c>
      <c r="M45" s="378"/>
      <c r="R45" s="10"/>
      <c r="S45" s="10"/>
    </row>
    <row r="46" spans="5:19" ht="2.85" customHeight="1" x14ac:dyDescent="0.25">
      <c r="E46" s="377"/>
      <c r="F46" s="222"/>
      <c r="G46" s="332"/>
      <c r="H46" s="341"/>
      <c r="I46" s="341"/>
      <c r="J46" s="342"/>
      <c r="K46" s="342"/>
      <c r="L46" s="341"/>
      <c r="M46" s="378"/>
      <c r="R46" s="10"/>
      <c r="S46" s="10"/>
    </row>
    <row r="47" spans="5:19" x14ac:dyDescent="0.25">
      <c r="E47" s="377"/>
      <c r="F47" s="224" t="s">
        <v>2500</v>
      </c>
      <c r="G47" s="332"/>
      <c r="H47" s="543" t="str">
        <f>VLOOKUP($B$3,Tabla1[#All],24,FALSE)</f>
        <v>Restaurante El Solar</v>
      </c>
      <c r="I47" s="544"/>
      <c r="J47" s="544"/>
      <c r="K47" s="544"/>
      <c r="L47" s="545"/>
      <c r="M47" s="378"/>
      <c r="R47" s="10"/>
      <c r="S47" s="10"/>
    </row>
    <row r="48" spans="5:19" ht="2.85" customHeight="1" x14ac:dyDescent="0.25">
      <c r="E48" s="377"/>
      <c r="F48" s="222"/>
      <c r="G48" s="332"/>
      <c r="H48" s="220"/>
      <c r="I48" s="220"/>
      <c r="J48" s="220"/>
      <c r="K48" s="220"/>
      <c r="L48" s="220"/>
      <c r="M48" s="378"/>
      <c r="R48" s="10"/>
      <c r="S48" s="10"/>
    </row>
    <row r="49" spans="5:19" x14ac:dyDescent="0.25">
      <c r="E49" s="377"/>
      <c r="F49" s="224" t="s">
        <v>2501</v>
      </c>
      <c r="G49" s="332"/>
      <c r="H49" s="543" t="str">
        <f>VLOOKUP($B$3,Tabla1[#All],26,FALSE)</f>
        <v>Aprendiz</v>
      </c>
      <c r="I49" s="544"/>
      <c r="J49" s="544"/>
      <c r="K49" s="544"/>
      <c r="L49" s="545"/>
      <c r="M49" s="378"/>
      <c r="R49" s="10"/>
      <c r="S49" s="10"/>
    </row>
    <row r="50" spans="5:19" ht="2.85" customHeight="1" x14ac:dyDescent="0.25">
      <c r="E50" s="377"/>
      <c r="F50" s="222"/>
      <c r="G50" s="332"/>
      <c r="H50" s="220"/>
      <c r="I50" s="220"/>
      <c r="J50" s="220"/>
      <c r="K50" s="220"/>
      <c r="L50" s="220"/>
      <c r="M50" s="378"/>
      <c r="R50" s="10"/>
      <c r="S50" s="10"/>
    </row>
    <row r="51" spans="5:19" ht="15.75" customHeight="1" x14ac:dyDescent="0.25">
      <c r="E51" s="377"/>
      <c r="F51" s="224" t="s">
        <v>2502</v>
      </c>
      <c r="G51" s="332"/>
      <c r="H51" s="232" t="str" cm="1">
        <f t="array" ref="H51">CONCATENATE("Salario ",_xlfn.IFS(VLOOKUP($B$3,Tabla1[#All],10,FALSE)="Mensual","ordinario",VLOOKUP($B$3,Tabla1[#All],10,FALSE)="Integral mensual","integral",VLOOKUP($B$3,Tabla1[#All],10,FALSE)="Mensual- medio tiempo","ordinario medio tiempo"))</f>
        <v>Salario ordinario</v>
      </c>
      <c r="I51" s="220"/>
      <c r="J51" s="317" t="s">
        <v>2503</v>
      </c>
      <c r="K51" s="343"/>
      <c r="L51" s="233">
        <f>VLOOKUP($B$3,Tabla1[#All],11,FALSE)</f>
        <v>975000</v>
      </c>
      <c r="M51" s="378"/>
      <c r="R51" s="10"/>
      <c r="S51" s="10"/>
    </row>
    <row r="52" spans="5:19" ht="2.85" customHeight="1" x14ac:dyDescent="0.25">
      <c r="E52" s="377"/>
      <c r="F52" s="222"/>
      <c r="G52" s="332"/>
      <c r="H52" s="220"/>
      <c r="I52" s="220"/>
      <c r="J52" s="344"/>
      <c r="K52" s="344"/>
      <c r="L52" s="344"/>
      <c r="M52" s="378"/>
      <c r="R52" s="10"/>
      <c r="S52" s="10"/>
    </row>
    <row r="53" spans="5:19" ht="15" customHeight="1" x14ac:dyDescent="0.25">
      <c r="E53" s="377"/>
      <c r="F53" s="224" t="s">
        <v>2504</v>
      </c>
      <c r="G53" s="332"/>
      <c r="H53" s="232" t="str">
        <f>VLOOKUP($C$3,Tabla2[#All],11,FALSE)</f>
        <v>Quincenal</v>
      </c>
      <c r="I53" s="220"/>
      <c r="J53" s="317" t="s">
        <v>2505</v>
      </c>
      <c r="K53" s="222"/>
      <c r="L53" s="234" t="str">
        <f>VLOOKUP($B$3,Tabla1[#All],17,FALSE)</f>
        <v>Transferencia Bancaria</v>
      </c>
      <c r="M53" s="378"/>
      <c r="R53" s="10"/>
      <c r="S53" s="10"/>
    </row>
    <row r="54" spans="5:19" ht="2.85" customHeight="1" x14ac:dyDescent="0.25">
      <c r="E54" s="377"/>
      <c r="F54" s="222"/>
      <c r="G54" s="332"/>
      <c r="H54" s="220"/>
      <c r="I54" s="220"/>
      <c r="J54" s="220"/>
      <c r="K54" s="220"/>
      <c r="L54" s="220"/>
      <c r="M54" s="378"/>
      <c r="R54" s="10"/>
      <c r="S54" s="10"/>
    </row>
    <row r="55" spans="5:19" x14ac:dyDescent="0.25">
      <c r="E55" s="377"/>
      <c r="F55" s="224" t="s">
        <v>2506</v>
      </c>
      <c r="G55" s="332"/>
      <c r="H55" s="543" t="s">
        <v>2507</v>
      </c>
      <c r="I55" s="544"/>
      <c r="J55" s="544"/>
      <c r="K55" s="544"/>
      <c r="L55" s="545"/>
      <c r="M55" s="378"/>
      <c r="N55" s="10"/>
      <c r="O55" s="10"/>
      <c r="P55" s="10"/>
      <c r="Q55" s="10"/>
      <c r="R55" s="10"/>
      <c r="S55" s="10"/>
    </row>
    <row r="56" spans="5:19" ht="2.85" customHeight="1" x14ac:dyDescent="0.25">
      <c r="E56" s="377"/>
      <c r="F56" s="345"/>
      <c r="G56" s="345"/>
      <c r="H56" s="345"/>
      <c r="I56" s="345"/>
      <c r="J56" s="345"/>
      <c r="K56" s="345"/>
      <c r="L56" s="345"/>
      <c r="M56" s="378"/>
      <c r="N56" s="10"/>
      <c r="O56" s="10"/>
      <c r="P56" s="10"/>
      <c r="Q56" s="10"/>
      <c r="R56" s="10"/>
      <c r="S56" s="10"/>
    </row>
    <row r="57" spans="5:19" ht="88.5" customHeight="1" x14ac:dyDescent="0.25">
      <c r="E57" s="377"/>
      <c r="F57" s="560" t="s">
        <v>2508</v>
      </c>
      <c r="G57" s="561"/>
      <c r="H57" s="561"/>
      <c r="I57" s="561"/>
      <c r="J57" s="561"/>
      <c r="K57" s="561"/>
      <c r="L57" s="562"/>
      <c r="M57" s="378"/>
      <c r="N57" s="10"/>
      <c r="O57" s="10"/>
      <c r="P57" s="10"/>
      <c r="Q57" s="10"/>
      <c r="R57" s="10"/>
      <c r="S57" s="10"/>
    </row>
    <row r="58" spans="5:19" ht="2.85" customHeight="1" x14ac:dyDescent="0.25">
      <c r="E58" s="377"/>
      <c r="F58" s="217"/>
      <c r="G58" s="217"/>
      <c r="H58" s="217"/>
      <c r="I58" s="217"/>
      <c r="J58" s="217"/>
      <c r="K58" s="217"/>
      <c r="L58" s="217"/>
      <c r="M58" s="378"/>
      <c r="N58" s="10"/>
      <c r="O58" s="10"/>
      <c r="P58" s="10"/>
      <c r="Q58" s="10"/>
      <c r="R58" s="10"/>
      <c r="S58" s="10"/>
    </row>
    <row r="59" spans="5:19" ht="81.75" customHeight="1" x14ac:dyDescent="0.25">
      <c r="E59" s="377"/>
      <c r="F59" s="560" t="s">
        <v>2509</v>
      </c>
      <c r="G59" s="561"/>
      <c r="H59" s="561"/>
      <c r="I59" s="561"/>
      <c r="J59" s="561"/>
      <c r="K59" s="561"/>
      <c r="L59" s="562"/>
      <c r="M59" s="378"/>
      <c r="N59" s="10"/>
      <c r="O59" s="10"/>
      <c r="P59" s="10"/>
      <c r="Q59" s="10"/>
      <c r="R59" s="10"/>
      <c r="S59" s="10"/>
    </row>
    <row r="60" spans="5:19" ht="2.85" customHeight="1" x14ac:dyDescent="0.25">
      <c r="E60" s="377"/>
      <c r="F60" s="346"/>
      <c r="G60" s="346"/>
      <c r="H60" s="346"/>
      <c r="I60" s="346"/>
      <c r="J60" s="346"/>
      <c r="K60" s="346"/>
      <c r="L60" s="346"/>
      <c r="M60" s="378"/>
      <c r="N60" s="10"/>
      <c r="O60" s="10"/>
      <c r="P60" s="10"/>
      <c r="Q60" s="10"/>
      <c r="R60" s="10"/>
      <c r="S60" s="10"/>
    </row>
    <row r="61" spans="5:19" ht="29.25" customHeight="1" x14ac:dyDescent="0.25">
      <c r="E61" s="377"/>
      <c r="F61" s="560" t="str">
        <f>CONCATENATE("Para constancia, se firma en la ciudad de ",VLOOKUP($C$3,Tabla2[#All],10,FALSE),", el ",TEXT(H45, "dd mmmm yyyy")," en dos (2) ejemplares del mismo tenor y valor.")</f>
        <v>Para constancia, se firma en la ciudad de Armenia, Quindío, el 19 abril 2024 en dos (2) ejemplares del mismo tenor y valor.</v>
      </c>
      <c r="G61" s="561"/>
      <c r="H61" s="561"/>
      <c r="I61" s="561"/>
      <c r="J61" s="561"/>
      <c r="K61" s="561"/>
      <c r="L61" s="562"/>
      <c r="M61" s="378"/>
      <c r="N61" s="10"/>
      <c r="O61" s="10"/>
      <c r="P61" s="10"/>
      <c r="Q61" s="10"/>
      <c r="R61" s="10"/>
      <c r="S61" s="10"/>
    </row>
    <row r="62" spans="5:19" ht="15" customHeight="1" x14ac:dyDescent="0.25">
      <c r="E62" s="377"/>
      <c r="F62" s="223"/>
      <c r="G62" s="223"/>
      <c r="H62" s="223"/>
      <c r="I62" s="223"/>
      <c r="J62" s="223"/>
      <c r="K62" s="223"/>
      <c r="L62" s="223"/>
      <c r="M62" s="378"/>
    </row>
    <row r="63" spans="5:19" ht="23.25" customHeight="1" x14ac:dyDescent="0.25">
      <c r="E63" s="377"/>
      <c r="F63" s="238" t="s">
        <v>2510</v>
      </c>
      <c r="G63" s="347"/>
      <c r="H63" s="223"/>
      <c r="I63" s="223"/>
      <c r="J63" s="384"/>
      <c r="K63" s="241" t="s">
        <v>2511</v>
      </c>
      <c r="L63" s="242"/>
      <c r="M63" s="378"/>
    </row>
    <row r="64" spans="5:19" ht="15" customHeight="1" x14ac:dyDescent="0.25">
      <c r="E64" s="377"/>
      <c r="F64" s="239"/>
      <c r="G64" s="223"/>
      <c r="H64" s="223"/>
      <c r="I64" s="223"/>
      <c r="J64" s="384"/>
      <c r="K64" s="243"/>
      <c r="L64" s="244"/>
      <c r="M64" s="378"/>
    </row>
    <row r="65" spans="5:13" ht="7.5" hidden="1" customHeight="1" x14ac:dyDescent="0.25">
      <c r="E65" s="377"/>
      <c r="F65" s="253" t="s">
        <v>2512</v>
      </c>
      <c r="G65" s="223"/>
      <c r="H65" s="223"/>
      <c r="I65" s="223"/>
      <c r="J65" s="384"/>
      <c r="K65" s="558" t="s">
        <v>2513</v>
      </c>
      <c r="L65" s="559"/>
      <c r="M65" s="378"/>
    </row>
    <row r="66" spans="5:13" ht="31.5" customHeight="1" x14ac:dyDescent="0.25">
      <c r="E66" s="377"/>
      <c r="F66" s="310" t="str">
        <f>H7</f>
        <v>Valencia Echeverry S.A.S.</v>
      </c>
      <c r="G66" s="223"/>
      <c r="H66" s="223"/>
      <c r="I66" s="223"/>
      <c r="J66" s="384"/>
      <c r="K66" s="556" t="str">
        <f>H23</f>
        <v>Cristian Camilo Rincón Giraldo</v>
      </c>
      <c r="L66" s="557"/>
      <c r="M66" s="378"/>
    </row>
    <row r="67" spans="5:13" ht="27" customHeight="1" x14ac:dyDescent="0.25">
      <c r="E67" s="377"/>
      <c r="F67" s="312" t="str">
        <f>_xlfn.CONCAT(H9," No. ",L9)</f>
        <v>NIT. No. 901252224-2</v>
      </c>
      <c r="G67" s="223"/>
      <c r="H67" s="223"/>
      <c r="I67" s="223"/>
      <c r="J67" s="384"/>
      <c r="K67" s="554" t="str">
        <f>_xlfn.CONCAT(H25," No. ",L25)</f>
        <v>Cédula de ciudadanía No. 1010085659.</v>
      </c>
      <c r="L67" s="555"/>
      <c r="M67" s="378"/>
    </row>
    <row r="68" spans="5:13" ht="12.75" customHeight="1" thickBot="1" x14ac:dyDescent="0.3">
      <c r="E68" s="385"/>
      <c r="F68" s="250"/>
      <c r="G68" s="250"/>
      <c r="H68" s="250"/>
      <c r="I68" s="250"/>
      <c r="J68" s="251"/>
      <c r="K68" s="251"/>
      <c r="L68" s="251"/>
      <c r="M68" s="386"/>
    </row>
    <row r="69" spans="5:13" ht="21" customHeight="1" x14ac:dyDescent="0.25">
      <c r="E69" s="384"/>
      <c r="F69" s="223"/>
      <c r="G69" s="223"/>
      <c r="H69" s="223"/>
      <c r="I69" s="223"/>
      <c r="J69" s="221"/>
      <c r="K69" s="221"/>
      <c r="L69" s="221"/>
      <c r="M69" s="384"/>
    </row>
    <row r="70" spans="5:13" ht="16.5" thickBot="1" x14ac:dyDescent="0.3">
      <c r="E70" s="384"/>
      <c r="F70" s="223"/>
      <c r="G70" s="223"/>
      <c r="H70" s="223"/>
      <c r="I70" s="223"/>
      <c r="J70" s="221"/>
      <c r="K70" s="221"/>
      <c r="L70" s="221"/>
      <c r="M70" s="384"/>
    </row>
    <row r="71" spans="5:13" x14ac:dyDescent="0.25">
      <c r="E71" s="387"/>
      <c r="F71" s="388"/>
      <c r="G71" s="388"/>
      <c r="H71" s="388"/>
      <c r="I71" s="388"/>
      <c r="J71" s="388"/>
      <c r="K71" s="388"/>
      <c r="L71" s="388"/>
      <c r="M71" s="382"/>
    </row>
    <row r="72" spans="5:13" ht="13.5" customHeight="1" x14ac:dyDescent="0.25">
      <c r="E72" s="377"/>
      <c r="F72" s="541" t="str">
        <f>H45</f>
        <v>19 abril 2024</v>
      </c>
      <c r="G72" s="541"/>
      <c r="H72" s="541"/>
      <c r="I72" s="541"/>
      <c r="J72" s="541"/>
      <c r="K72" s="541"/>
      <c r="L72" s="541"/>
      <c r="M72" s="378"/>
    </row>
    <row r="73" spans="5:13" x14ac:dyDescent="0.25">
      <c r="E73" s="377"/>
      <c r="F73" s="222"/>
      <c r="G73" s="222"/>
      <c r="H73" s="222"/>
      <c r="I73" s="222"/>
      <c r="J73" s="222"/>
      <c r="K73" s="222"/>
      <c r="L73" s="222"/>
      <c r="M73" s="378"/>
    </row>
    <row r="74" spans="5:13" x14ac:dyDescent="0.25">
      <c r="E74" s="377"/>
      <c r="F74" s="222" t="s">
        <v>2514</v>
      </c>
      <c r="G74" s="222"/>
      <c r="H74" s="222"/>
      <c r="I74" s="222"/>
      <c r="J74" s="222"/>
      <c r="K74" s="222"/>
      <c r="L74" s="222"/>
      <c r="M74" s="378"/>
    </row>
    <row r="75" spans="5:13" ht="34.5" customHeight="1" x14ac:dyDescent="0.25">
      <c r="E75" s="377"/>
      <c r="F75" s="222" t="str">
        <f>C3</f>
        <v>Valencia Echeverry S.A.S.</v>
      </c>
      <c r="G75" s="222"/>
      <c r="H75" s="222"/>
      <c r="I75" s="222"/>
      <c r="J75" s="222"/>
      <c r="K75" s="222"/>
      <c r="L75" s="222"/>
      <c r="M75" s="378"/>
    </row>
    <row r="76" spans="5:13" ht="21" customHeight="1" x14ac:dyDescent="0.25">
      <c r="E76" s="377"/>
      <c r="F76" s="222" t="s">
        <v>2515</v>
      </c>
      <c r="G76" s="222"/>
      <c r="H76" s="222"/>
      <c r="I76" s="222"/>
      <c r="J76" s="222"/>
      <c r="K76" s="222"/>
      <c r="L76" s="222"/>
      <c r="M76" s="378"/>
    </row>
    <row r="77" spans="5:13" x14ac:dyDescent="0.25">
      <c r="E77" s="377"/>
      <c r="F77" s="222"/>
      <c r="G77" s="222"/>
      <c r="H77" s="222"/>
      <c r="I77" s="222"/>
      <c r="J77" s="222"/>
      <c r="K77" s="222"/>
      <c r="L77" s="222"/>
      <c r="M77" s="378"/>
    </row>
    <row r="78" spans="5:13" x14ac:dyDescent="0.25">
      <c r="E78" s="377"/>
      <c r="F78" s="542" t="s">
        <v>2516</v>
      </c>
      <c r="G78" s="542"/>
      <c r="H78" s="542"/>
      <c r="I78" s="542"/>
      <c r="J78" s="542"/>
      <c r="K78" s="542"/>
      <c r="L78" s="542"/>
      <c r="M78" s="378"/>
    </row>
    <row r="79" spans="5:13" x14ac:dyDescent="0.25">
      <c r="E79" s="377"/>
      <c r="F79" s="542"/>
      <c r="G79" s="542"/>
      <c r="H79" s="542"/>
      <c r="I79" s="542"/>
      <c r="J79" s="542"/>
      <c r="K79" s="542"/>
      <c r="L79" s="542"/>
      <c r="M79" s="378"/>
    </row>
    <row r="80" spans="5:13" ht="9" customHeight="1" x14ac:dyDescent="0.25">
      <c r="E80" s="377"/>
      <c r="F80" s="542"/>
      <c r="G80" s="542"/>
      <c r="H80" s="542"/>
      <c r="I80" s="542"/>
      <c r="J80" s="542"/>
      <c r="K80" s="542"/>
      <c r="L80" s="542"/>
      <c r="M80" s="378"/>
    </row>
    <row r="81" spans="5:13" x14ac:dyDescent="0.25">
      <c r="E81" s="377"/>
      <c r="F81" s="217"/>
      <c r="G81" s="217"/>
      <c r="H81" s="217"/>
      <c r="I81" s="217"/>
      <c r="J81" s="217"/>
      <c r="K81" s="217"/>
      <c r="L81" s="217"/>
      <c r="M81" s="378"/>
    </row>
    <row r="82" spans="5:13" x14ac:dyDescent="0.25">
      <c r="E82" s="377"/>
      <c r="F82" s="542" t="s">
        <v>2517</v>
      </c>
      <c r="G82" s="542"/>
      <c r="H82" s="542"/>
      <c r="I82" s="542"/>
      <c r="J82" s="542"/>
      <c r="K82" s="542"/>
      <c r="L82" s="542"/>
      <c r="M82" s="378"/>
    </row>
    <row r="83" spans="5:13" x14ac:dyDescent="0.25">
      <c r="E83" s="377"/>
      <c r="F83" s="542"/>
      <c r="G83" s="542"/>
      <c r="H83" s="542"/>
      <c r="I83" s="542"/>
      <c r="J83" s="542"/>
      <c r="K83" s="542"/>
      <c r="L83" s="542"/>
      <c r="M83" s="378"/>
    </row>
    <row r="84" spans="5:13" ht="41.1" customHeight="1" x14ac:dyDescent="0.25">
      <c r="E84" s="377"/>
      <c r="F84" s="542"/>
      <c r="G84" s="542"/>
      <c r="H84" s="542"/>
      <c r="I84" s="542"/>
      <c r="J84" s="542"/>
      <c r="K84" s="542"/>
      <c r="L84" s="542"/>
      <c r="M84" s="378"/>
    </row>
    <row r="85" spans="5:13" ht="15" customHeight="1" x14ac:dyDescent="0.25">
      <c r="E85" s="377"/>
      <c r="F85" s="542"/>
      <c r="G85" s="542"/>
      <c r="H85" s="542"/>
      <c r="I85" s="542"/>
      <c r="J85" s="542"/>
      <c r="K85" s="542"/>
      <c r="L85" s="542"/>
      <c r="M85" s="378"/>
    </row>
    <row r="86" spans="5:13" ht="9.75" customHeight="1" x14ac:dyDescent="0.25">
      <c r="E86" s="377"/>
      <c r="F86" s="217"/>
      <c r="G86" s="217"/>
      <c r="H86" s="217"/>
      <c r="I86" s="217"/>
      <c r="J86" s="217"/>
      <c r="K86" s="217"/>
      <c r="L86" s="217"/>
      <c r="M86" s="378"/>
    </row>
    <row r="87" spans="5:13" ht="12.95" customHeight="1" x14ac:dyDescent="0.25">
      <c r="E87" s="377"/>
      <c r="F87" s="542" t="s">
        <v>2518</v>
      </c>
      <c r="G87" s="542"/>
      <c r="H87" s="542"/>
      <c r="I87" s="542"/>
      <c r="J87" s="542"/>
      <c r="K87" s="542"/>
      <c r="L87" s="542"/>
      <c r="M87" s="378"/>
    </row>
    <row r="88" spans="5:13" ht="12.95" customHeight="1" x14ac:dyDescent="0.25">
      <c r="E88" s="377"/>
      <c r="F88" s="542"/>
      <c r="G88" s="542"/>
      <c r="H88" s="542"/>
      <c r="I88" s="542"/>
      <c r="J88" s="542"/>
      <c r="K88" s="542"/>
      <c r="L88" s="542"/>
      <c r="M88" s="378"/>
    </row>
    <row r="89" spans="5:13" ht="12.95" customHeight="1" x14ac:dyDescent="0.25">
      <c r="E89" s="377"/>
      <c r="F89" s="542"/>
      <c r="G89" s="542"/>
      <c r="H89" s="542"/>
      <c r="I89" s="542"/>
      <c r="J89" s="542"/>
      <c r="K89" s="542"/>
      <c r="L89" s="542"/>
      <c r="M89" s="378"/>
    </row>
    <row r="90" spans="5:13" ht="12.95" customHeight="1" x14ac:dyDescent="0.25">
      <c r="E90" s="377"/>
      <c r="F90" s="542"/>
      <c r="G90" s="542"/>
      <c r="H90" s="542"/>
      <c r="I90" s="542"/>
      <c r="J90" s="542"/>
      <c r="K90" s="542"/>
      <c r="L90" s="542"/>
      <c r="M90" s="378"/>
    </row>
    <row r="91" spans="5:13" ht="21" customHeight="1" x14ac:dyDescent="0.25">
      <c r="E91" s="377"/>
      <c r="F91" s="542"/>
      <c r="G91" s="542"/>
      <c r="H91" s="542"/>
      <c r="I91" s="542"/>
      <c r="J91" s="542"/>
      <c r="K91" s="542"/>
      <c r="L91" s="542"/>
      <c r="M91" s="378"/>
    </row>
    <row r="92" spans="5:13" x14ac:dyDescent="0.25">
      <c r="E92" s="377"/>
      <c r="F92" s="222"/>
      <c r="G92" s="222"/>
      <c r="H92" s="222"/>
      <c r="I92" s="222"/>
      <c r="J92" s="222"/>
      <c r="K92" s="222"/>
      <c r="L92" s="222"/>
      <c r="M92" s="378"/>
    </row>
    <row r="93" spans="5:13" x14ac:dyDescent="0.25">
      <c r="E93" s="377"/>
      <c r="F93" s="222" t="s">
        <v>2474</v>
      </c>
      <c r="G93" s="222"/>
      <c r="H93" s="222"/>
      <c r="I93" s="222"/>
      <c r="J93" s="222"/>
      <c r="K93" s="222"/>
      <c r="L93" s="222"/>
      <c r="M93" s="378"/>
    </row>
    <row r="94" spans="5:13" x14ac:dyDescent="0.25">
      <c r="E94" s="377"/>
      <c r="F94" s="222"/>
      <c r="G94" s="222"/>
      <c r="H94" s="222"/>
      <c r="I94" s="222"/>
      <c r="J94" s="222"/>
      <c r="K94" s="222"/>
      <c r="L94" s="222"/>
      <c r="M94" s="378"/>
    </row>
    <row r="95" spans="5:13" x14ac:dyDescent="0.25">
      <c r="E95" s="377"/>
      <c r="F95" s="309"/>
      <c r="G95" s="222"/>
      <c r="H95" s="222"/>
      <c r="I95" s="222"/>
      <c r="J95" s="222"/>
      <c r="K95" s="222"/>
      <c r="L95" s="222"/>
      <c r="M95" s="378"/>
    </row>
    <row r="96" spans="5:13" x14ac:dyDescent="0.25">
      <c r="E96" s="377"/>
      <c r="F96" s="310"/>
      <c r="G96" s="222"/>
      <c r="H96" s="222"/>
      <c r="I96" s="222"/>
      <c r="J96" s="222"/>
      <c r="K96" s="222"/>
      <c r="L96" s="222"/>
      <c r="M96" s="378"/>
    </row>
    <row r="97" spans="5:13" x14ac:dyDescent="0.25">
      <c r="E97" s="377"/>
      <c r="F97" s="311" t="s">
        <v>2519</v>
      </c>
      <c r="G97" s="222"/>
      <c r="H97" s="222"/>
      <c r="I97" s="222"/>
      <c r="J97" s="222"/>
      <c r="K97" s="222"/>
      <c r="L97" s="222"/>
      <c r="M97" s="378"/>
    </row>
    <row r="98" spans="5:13" ht="30" customHeight="1" x14ac:dyDescent="0.25">
      <c r="E98" s="377"/>
      <c r="F98" s="310" t="str">
        <f>H23</f>
        <v>Cristian Camilo Rincón Giraldo</v>
      </c>
      <c r="G98" s="222"/>
      <c r="H98" s="222"/>
      <c r="I98" s="220"/>
      <c r="J98" s="222"/>
      <c r="K98" s="222"/>
      <c r="L98" s="222"/>
      <c r="M98" s="378"/>
    </row>
    <row r="99" spans="5:13" ht="30.75" customHeight="1" x14ac:dyDescent="0.25">
      <c r="E99" s="377"/>
      <c r="F99" s="312" t="str">
        <f>K67</f>
        <v>Cédula de ciudadanía No. 1010085659.</v>
      </c>
      <c r="G99" s="222"/>
      <c r="H99" s="222"/>
      <c r="I99" s="220"/>
      <c r="J99" s="222"/>
      <c r="K99" s="222"/>
      <c r="L99" s="222"/>
      <c r="M99" s="378"/>
    </row>
    <row r="100" spans="5:13" ht="16.5" thickBot="1" x14ac:dyDescent="0.3">
      <c r="E100" s="385"/>
      <c r="F100" s="389"/>
      <c r="G100" s="389"/>
      <c r="H100" s="389"/>
      <c r="I100" s="389"/>
      <c r="J100" s="389"/>
      <c r="K100" s="389"/>
      <c r="L100" s="390"/>
      <c r="M100" s="252"/>
    </row>
  </sheetData>
  <mergeCells count="27">
    <mergeCell ref="E2:F2"/>
    <mergeCell ref="H23:L23"/>
    <mergeCell ref="F3:L3"/>
    <mergeCell ref="F38:F39"/>
    <mergeCell ref="H47:L47"/>
    <mergeCell ref="F57:L57"/>
    <mergeCell ref="H7:L7"/>
    <mergeCell ref="H11:L11"/>
    <mergeCell ref="H15:L15"/>
    <mergeCell ref="H17:L17"/>
    <mergeCell ref="H19:L19"/>
    <mergeCell ref="F72:L72"/>
    <mergeCell ref="F78:L80"/>
    <mergeCell ref="F82:L85"/>
    <mergeCell ref="F87:L91"/>
    <mergeCell ref="H27:L27"/>
    <mergeCell ref="H29:L29"/>
    <mergeCell ref="F35:F36"/>
    <mergeCell ref="H31:L31"/>
    <mergeCell ref="H33:L33"/>
    <mergeCell ref="K67:L67"/>
    <mergeCell ref="K66:L66"/>
    <mergeCell ref="K65:L65"/>
    <mergeCell ref="F59:L59"/>
    <mergeCell ref="F61:L61"/>
    <mergeCell ref="H55:L55"/>
    <mergeCell ref="H49:L49"/>
  </mergeCells>
  <printOptions verticalCentered="1"/>
  <pageMargins left="0.25" right="0.25" top="0.75" bottom="0.75" header="0.3" footer="0.3"/>
  <pageSetup paperSize="5" scale="99" fitToHeight="0" orientation="portrait" horizontalDpi="203" verticalDpi="203" r:id="rId1"/>
  <rowBreaks count="1" manualBreakCount="1">
    <brk id="68" min="4" max="12" man="1"/>
  </row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AAAEA4-7C92-BD4A-9D2C-DB1B784BD3E1}">
  <sheetPr codeName="Hoja9">
    <pageSetUpPr fitToPage="1"/>
  </sheetPr>
  <dimension ref="A1:G175"/>
  <sheetViews>
    <sheetView showGridLines="0" view="pageBreakPreview" zoomScale="90" zoomScaleNormal="104" zoomScaleSheetLayoutView="90" workbookViewId="0"/>
  </sheetViews>
  <sheetFormatPr baseColWidth="10" defaultColWidth="11" defaultRowHeight="15.75" x14ac:dyDescent="0.25"/>
  <cols>
    <col min="1" max="1" width="97" style="38" customWidth="1"/>
    <col min="2" max="2" width="4.5" customWidth="1"/>
    <col min="3" max="3" width="13.5" bestFit="1" customWidth="1"/>
    <col min="4" max="4" width="22.125" customWidth="1"/>
  </cols>
  <sheetData>
    <row r="1" spans="1:4" x14ac:dyDescent="0.25">
      <c r="A1" s="203"/>
    </row>
    <row r="2" spans="1:4" x14ac:dyDescent="0.25">
      <c r="A2" s="204" t="s">
        <v>2533</v>
      </c>
      <c r="C2" s="3" t="s">
        <v>2432</v>
      </c>
      <c r="D2" s="11" t="s">
        <v>0</v>
      </c>
    </row>
    <row r="3" spans="1:4" x14ac:dyDescent="0.25">
      <c r="A3" s="203"/>
      <c r="C3" s="14">
        <v>480</v>
      </c>
      <c r="D3" s="12" t="str">
        <f>VLOOKUP($C$3,Tabla1[#All],31,FALSE)</f>
        <v>Agencia Alquimia S.A.S.</v>
      </c>
    </row>
    <row r="4" spans="1:4" ht="72" x14ac:dyDescent="0.25">
      <c r="A4" s="205" t="s">
        <v>2534</v>
      </c>
      <c r="C4" t="s">
        <v>2535</v>
      </c>
    </row>
    <row r="5" spans="1:4" x14ac:dyDescent="0.25">
      <c r="A5" s="203"/>
    </row>
    <row r="6" spans="1:4" x14ac:dyDescent="0.25">
      <c r="A6" s="206" t="s">
        <v>2536</v>
      </c>
    </row>
    <row r="7" spans="1:4" x14ac:dyDescent="0.25">
      <c r="A7" s="67"/>
    </row>
    <row r="8" spans="1:4" ht="60.95" customHeight="1" x14ac:dyDescent="0.25">
      <c r="A8" s="207" t="s">
        <v>2537</v>
      </c>
    </row>
    <row r="9" spans="1:4" x14ac:dyDescent="0.25">
      <c r="A9" s="208"/>
    </row>
    <row r="10" spans="1:4" ht="29.25" x14ac:dyDescent="0.25">
      <c r="A10" s="207" t="s">
        <v>2538</v>
      </c>
    </row>
    <row r="11" spans="1:4" x14ac:dyDescent="0.25">
      <c r="A11" s="208"/>
    </row>
    <row r="12" spans="1:4" ht="43.5" x14ac:dyDescent="0.25">
      <c r="A12" s="207" t="s">
        <v>2539</v>
      </c>
    </row>
    <row r="13" spans="1:4" x14ac:dyDescent="0.25">
      <c r="A13" s="207"/>
    </row>
    <row r="14" spans="1:4" ht="45" customHeight="1" x14ac:dyDescent="0.25">
      <c r="A14" s="207" t="s">
        <v>2540</v>
      </c>
    </row>
    <row r="15" spans="1:4" x14ac:dyDescent="0.25">
      <c r="A15" s="208"/>
    </row>
    <row r="16" spans="1:4" ht="75.95" customHeight="1" x14ac:dyDescent="0.25">
      <c r="A16" s="208" t="s">
        <v>2541</v>
      </c>
    </row>
    <row r="17" spans="1:1" ht="9.75" customHeight="1" x14ac:dyDescent="0.25">
      <c r="A17" s="208"/>
    </row>
    <row r="18" spans="1:1" x14ac:dyDescent="0.25">
      <c r="A18" s="208" t="s">
        <v>2542</v>
      </c>
    </row>
    <row r="19" spans="1:1" ht="15" customHeight="1" x14ac:dyDescent="0.25">
      <c r="A19" s="208"/>
    </row>
    <row r="20" spans="1:1" ht="60.95" customHeight="1" x14ac:dyDescent="0.25">
      <c r="A20" s="207" t="s">
        <v>2543</v>
      </c>
    </row>
    <row r="21" spans="1:1" ht="1.5" customHeight="1" x14ac:dyDescent="0.25">
      <c r="A21" s="207"/>
    </row>
    <row r="22" spans="1:1" ht="130.5" hidden="1" customHeight="1" x14ac:dyDescent="0.25">
      <c r="A22" s="207" t="s">
        <v>2544</v>
      </c>
    </row>
    <row r="23" spans="1:1" ht="10.5" customHeight="1" x14ac:dyDescent="0.25">
      <c r="A23" s="208"/>
    </row>
    <row r="24" spans="1:1" ht="79.5" customHeight="1" x14ac:dyDescent="0.25">
      <c r="A24" s="207" t="s">
        <v>2545</v>
      </c>
    </row>
    <row r="25" spans="1:1" x14ac:dyDescent="0.25">
      <c r="A25" s="208"/>
    </row>
    <row r="26" spans="1:1" ht="72" x14ac:dyDescent="0.25">
      <c r="A26" s="207" t="s">
        <v>2546</v>
      </c>
    </row>
    <row r="27" spans="1:1" x14ac:dyDescent="0.25">
      <c r="A27" s="207"/>
    </row>
    <row r="28" spans="1:1" ht="29.25" x14ac:dyDescent="0.25">
      <c r="A28" s="207" t="s">
        <v>2547</v>
      </c>
    </row>
    <row r="29" spans="1:1" x14ac:dyDescent="0.25">
      <c r="A29" s="207"/>
    </row>
    <row r="30" spans="1:1" ht="86.25" x14ac:dyDescent="0.25">
      <c r="A30" s="207" t="s">
        <v>2548</v>
      </c>
    </row>
    <row r="31" spans="1:1" x14ac:dyDescent="0.25">
      <c r="A31" s="207"/>
    </row>
    <row r="32" spans="1:1" ht="72" x14ac:dyDescent="0.25">
      <c r="A32" s="207" t="s">
        <v>2549</v>
      </c>
    </row>
    <row r="33" spans="1:1" x14ac:dyDescent="0.25">
      <c r="A33" s="207"/>
    </row>
    <row r="34" spans="1:1" ht="45.95" customHeight="1" x14ac:dyDescent="0.25">
      <c r="A34" s="207" t="s">
        <v>2550</v>
      </c>
    </row>
    <row r="35" spans="1:1" x14ac:dyDescent="0.25">
      <c r="A35" s="207"/>
    </row>
    <row r="36" spans="1:1" ht="29.25" x14ac:dyDescent="0.25">
      <c r="A36" s="207" t="s">
        <v>2551</v>
      </c>
    </row>
    <row r="37" spans="1:1" x14ac:dyDescent="0.25">
      <c r="A37" s="207"/>
    </row>
    <row r="38" spans="1:1" ht="72" x14ac:dyDescent="0.25">
      <c r="A38" s="207" t="s">
        <v>2552</v>
      </c>
    </row>
    <row r="39" spans="1:1" x14ac:dyDescent="0.25">
      <c r="A39" s="205"/>
    </row>
    <row r="40" spans="1:1" ht="29.25" x14ac:dyDescent="0.25">
      <c r="A40" s="207" t="s">
        <v>2553</v>
      </c>
    </row>
    <row r="41" spans="1:1" x14ac:dyDescent="0.25">
      <c r="A41" s="208"/>
    </row>
    <row r="42" spans="1:1" ht="129.75" x14ac:dyDescent="0.25">
      <c r="A42" s="207" t="s">
        <v>2554</v>
      </c>
    </row>
    <row r="43" spans="1:1" x14ac:dyDescent="0.25">
      <c r="A43" s="208"/>
    </row>
    <row r="44" spans="1:1" ht="43.5" x14ac:dyDescent="0.25">
      <c r="A44" s="207" t="s">
        <v>2555</v>
      </c>
    </row>
    <row r="45" spans="1:1" x14ac:dyDescent="0.25">
      <c r="A45" s="208"/>
    </row>
    <row r="46" spans="1:1" ht="99.75" customHeight="1" x14ac:dyDescent="0.25">
      <c r="A46" s="207" t="s">
        <v>2556</v>
      </c>
    </row>
    <row r="47" spans="1:1" x14ac:dyDescent="0.25">
      <c r="A47" s="208"/>
    </row>
    <row r="48" spans="1:1" ht="45.75" customHeight="1" x14ac:dyDescent="0.25">
      <c r="A48" s="207" t="s">
        <v>2968</v>
      </c>
    </row>
    <row r="49" spans="1:1" x14ac:dyDescent="0.25">
      <c r="A49" s="208"/>
    </row>
    <row r="50" spans="1:1" ht="48" customHeight="1" x14ac:dyDescent="0.25">
      <c r="A50" s="208" t="s">
        <v>2969</v>
      </c>
    </row>
    <row r="51" spans="1:1" x14ac:dyDescent="0.25">
      <c r="A51" s="208"/>
    </row>
    <row r="52" spans="1:1" ht="60" customHeight="1" x14ac:dyDescent="0.25">
      <c r="A52" s="208" t="s">
        <v>2557</v>
      </c>
    </row>
    <row r="53" spans="1:1" x14ac:dyDescent="0.25">
      <c r="A53" s="208"/>
    </row>
    <row r="54" spans="1:1" ht="85.5" x14ac:dyDescent="0.25">
      <c r="A54" s="208" t="s">
        <v>2558</v>
      </c>
    </row>
    <row r="55" spans="1:1" x14ac:dyDescent="0.25">
      <c r="A55" s="208"/>
    </row>
    <row r="56" spans="1:1" ht="29.25" x14ac:dyDescent="0.25">
      <c r="A56" s="207" t="s">
        <v>2559</v>
      </c>
    </row>
    <row r="57" spans="1:1" x14ac:dyDescent="0.25">
      <c r="A57" s="208"/>
    </row>
    <row r="58" spans="1:1" ht="114.75" x14ac:dyDescent="0.25">
      <c r="A58" s="207" t="s">
        <v>2560</v>
      </c>
    </row>
    <row r="59" spans="1:1" x14ac:dyDescent="0.25">
      <c r="A59" s="207"/>
    </row>
    <row r="60" spans="1:1" ht="157.5" x14ac:dyDescent="0.25">
      <c r="A60" s="207" t="s">
        <v>2561</v>
      </c>
    </row>
    <row r="61" spans="1:1" x14ac:dyDescent="0.25">
      <c r="A61" s="207"/>
    </row>
    <row r="62" spans="1:1" ht="131.25" x14ac:dyDescent="0.25">
      <c r="A62" s="207" t="s">
        <v>2562</v>
      </c>
    </row>
    <row r="63" spans="1:1" x14ac:dyDescent="0.25">
      <c r="A63" s="208"/>
    </row>
    <row r="64" spans="1:1" ht="116.25" x14ac:dyDescent="0.25">
      <c r="A64" s="207" t="s">
        <v>2563</v>
      </c>
    </row>
    <row r="65" spans="1:1" x14ac:dyDescent="0.25">
      <c r="A65" s="208"/>
    </row>
    <row r="66" spans="1:1" ht="117.75" x14ac:dyDescent="0.25">
      <c r="A66" s="208" t="s">
        <v>2564</v>
      </c>
    </row>
    <row r="67" spans="1:1" x14ac:dyDescent="0.25">
      <c r="A67" s="208"/>
    </row>
    <row r="68" spans="1:1" ht="146.25" x14ac:dyDescent="0.25">
      <c r="A68" s="208" t="s">
        <v>2565</v>
      </c>
    </row>
    <row r="69" spans="1:1" x14ac:dyDescent="0.25">
      <c r="A69" s="208"/>
    </row>
    <row r="70" spans="1:1" ht="147" x14ac:dyDescent="0.25">
      <c r="A70" s="207" t="s">
        <v>2566</v>
      </c>
    </row>
    <row r="71" spans="1:1" x14ac:dyDescent="0.25">
      <c r="A71" s="208"/>
    </row>
    <row r="72" spans="1:1" ht="274.5" x14ac:dyDescent="0.25">
      <c r="A72" s="207" t="s">
        <v>2567</v>
      </c>
    </row>
    <row r="73" spans="1:1" x14ac:dyDescent="0.25">
      <c r="A73" s="208"/>
    </row>
    <row r="74" spans="1:1" ht="71.25" x14ac:dyDescent="0.25">
      <c r="A74" s="208" t="s">
        <v>2568</v>
      </c>
    </row>
    <row r="75" spans="1:1" x14ac:dyDescent="0.25">
      <c r="A75" s="208"/>
    </row>
    <row r="76" spans="1:1" ht="142.5" x14ac:dyDescent="0.25">
      <c r="A76" s="208" t="s">
        <v>2569</v>
      </c>
    </row>
    <row r="77" spans="1:1" x14ac:dyDescent="0.25">
      <c r="A77" s="208"/>
    </row>
    <row r="78" spans="1:1" ht="174.75" customHeight="1" x14ac:dyDescent="0.25">
      <c r="A78" s="208" t="s">
        <v>2570</v>
      </c>
    </row>
    <row r="79" spans="1:1" x14ac:dyDescent="0.25">
      <c r="A79" s="207"/>
    </row>
    <row r="80" spans="1:1" ht="258" x14ac:dyDescent="0.25">
      <c r="A80" s="207" t="s">
        <v>2571</v>
      </c>
    </row>
    <row r="81" spans="1:1" x14ac:dyDescent="0.25">
      <c r="A81" s="208"/>
    </row>
    <row r="82" spans="1:1" ht="86.25" x14ac:dyDescent="0.25">
      <c r="A82" s="207" t="s">
        <v>2572</v>
      </c>
    </row>
    <row r="83" spans="1:1" x14ac:dyDescent="0.25">
      <c r="A83" s="208"/>
    </row>
    <row r="84" spans="1:1" ht="42.95" customHeight="1" x14ac:dyDescent="0.25">
      <c r="A84" s="207" t="s">
        <v>2573</v>
      </c>
    </row>
    <row r="85" spans="1:1" x14ac:dyDescent="0.25">
      <c r="A85" s="208"/>
    </row>
    <row r="86" spans="1:1" ht="57.75" x14ac:dyDescent="0.25">
      <c r="A86" s="207" t="s">
        <v>2574</v>
      </c>
    </row>
    <row r="87" spans="1:1" x14ac:dyDescent="0.25">
      <c r="A87" s="208"/>
    </row>
    <row r="88" spans="1:1" ht="57.75" x14ac:dyDescent="0.25">
      <c r="A88" s="207" t="s">
        <v>2575</v>
      </c>
    </row>
    <row r="89" spans="1:1" x14ac:dyDescent="0.25">
      <c r="A89" s="208"/>
    </row>
    <row r="90" spans="1:1" ht="66.75" customHeight="1" x14ac:dyDescent="0.25">
      <c r="A90" s="207" t="s">
        <v>2576</v>
      </c>
    </row>
    <row r="91" spans="1:1" x14ac:dyDescent="0.25">
      <c r="A91" s="208"/>
    </row>
    <row r="92" spans="1:1" ht="42" customHeight="1" x14ac:dyDescent="0.25">
      <c r="A92" s="207" t="s">
        <v>2577</v>
      </c>
    </row>
    <row r="93" spans="1:1" x14ac:dyDescent="0.25">
      <c r="A93" s="208"/>
    </row>
    <row r="94" spans="1:1" ht="171.75" x14ac:dyDescent="0.25">
      <c r="A94" s="208" t="s">
        <v>2578</v>
      </c>
    </row>
    <row r="95" spans="1:1" x14ac:dyDescent="0.25">
      <c r="A95" s="208"/>
    </row>
    <row r="96" spans="1:1" ht="75.95" customHeight="1" x14ac:dyDescent="0.25">
      <c r="A96" s="207" t="s">
        <v>2579</v>
      </c>
    </row>
    <row r="97" spans="1:7" ht="15.75" customHeight="1" x14ac:dyDescent="0.25">
      <c r="A97" s="207"/>
    </row>
    <row r="98" spans="1:7" ht="43.5" x14ac:dyDescent="0.25">
      <c r="A98" s="207" t="s">
        <v>2580</v>
      </c>
    </row>
    <row r="99" spans="1:7" x14ac:dyDescent="0.25">
      <c r="A99" s="208"/>
    </row>
    <row r="100" spans="1:7" ht="44.25" x14ac:dyDescent="0.25">
      <c r="A100" s="207" t="s">
        <v>2581</v>
      </c>
    </row>
    <row r="101" spans="1:7" x14ac:dyDescent="0.25">
      <c r="A101" s="208"/>
    </row>
    <row r="102" spans="1:7" ht="60.75" customHeight="1" x14ac:dyDescent="0.25">
      <c r="A102" s="207" t="s">
        <v>2582</v>
      </c>
    </row>
    <row r="103" spans="1:7" x14ac:dyDescent="0.25">
      <c r="A103" s="208"/>
    </row>
    <row r="104" spans="1:7" ht="57.75" x14ac:dyDescent="0.25">
      <c r="A104" s="207" t="s">
        <v>2583</v>
      </c>
    </row>
    <row r="105" spans="1:7" x14ac:dyDescent="0.25">
      <c r="A105" s="209"/>
    </row>
    <row r="106" spans="1:7" x14ac:dyDescent="0.25">
      <c r="A106" s="152" t="str">
        <f>CONCATENATE("Para constancia se firma en Armenia, Quindío, el ",TEXT(VLOOKUP($C$3,Tabla1[#All],8,FALSE), "dd mmmm yyyy"),".")</f>
        <v>Para constancia se firma en Armenia, Quindío, el 20 mayo 2024.</v>
      </c>
    </row>
    <row r="107" spans="1:7" x14ac:dyDescent="0.25">
      <c r="A107" s="542"/>
      <c r="B107" s="542"/>
      <c r="C107" s="542"/>
      <c r="D107" s="542"/>
      <c r="E107" s="542"/>
      <c r="F107" s="542"/>
      <c r="G107" s="542"/>
    </row>
    <row r="108" spans="1:7" x14ac:dyDescent="0.25">
      <c r="A108" s="210" t="s">
        <v>2584</v>
      </c>
    </row>
    <row r="109" spans="1:7" x14ac:dyDescent="0.25">
      <c r="A109" s="67"/>
    </row>
    <row r="110" spans="1:7" x14ac:dyDescent="0.25">
      <c r="A110" s="203" t="s">
        <v>2512</v>
      </c>
    </row>
    <row r="111" spans="1:7" x14ac:dyDescent="0.25">
      <c r="A111" s="211" t="str">
        <f>VLOOKUP($C$3,Tabla1[#All],31,FALSE)</f>
        <v>Agencia Alquimia S.A.S.</v>
      </c>
      <c r="B111" s="21"/>
    </row>
    <row r="112" spans="1:7" x14ac:dyDescent="0.25">
      <c r="A112" s="212" t="str">
        <f>CONCATENATE(VLOOKUP($D$3,Tabla2[#All],2,FALSE)," ","No. ",VLOOKUP($D$3,Tabla2[#All],3,FALSE))</f>
        <v>NIT. No. 901588861-7</v>
      </c>
      <c r="B112" s="13"/>
    </row>
    <row r="113" spans="1:2" x14ac:dyDescent="0.25">
      <c r="A113" s="203"/>
    </row>
    <row r="114" spans="1:2" x14ac:dyDescent="0.25">
      <c r="A114" s="212" t="s">
        <v>2511</v>
      </c>
    </row>
    <row r="115" spans="1:2" x14ac:dyDescent="0.25">
      <c r="A115" s="203"/>
    </row>
    <row r="116" spans="1:2" x14ac:dyDescent="0.25">
      <c r="A116" s="203" t="s">
        <v>2467</v>
      </c>
    </row>
    <row r="117" spans="1:2" x14ac:dyDescent="0.25">
      <c r="A117" s="209" t="str">
        <f>CONCATENATE(VLOOKUP($C$3,Tabla1[#All],2,FALSE)," ",VLOOKUP($C$3,Tabla1[#All],3,FALSE))</f>
        <v>Diego Ernesto  Guerrero Estupiñan</v>
      </c>
      <c r="B117" s="19"/>
    </row>
    <row r="118" spans="1:2" x14ac:dyDescent="0.25">
      <c r="A118" s="209" t="str">
        <f>CONCATENATE(VLOOKUP($C$3,Tabla1[#All],4,FALSE)," ","No. ",VLOOKUP($C$3,Tabla1[#All],5,FALSE))</f>
        <v>Cédula de ciudadanía No. 1049606533</v>
      </c>
      <c r="B118" s="19"/>
    </row>
    <row r="119" spans="1:2" x14ac:dyDescent="0.25">
      <c r="A119" s="203"/>
    </row>
    <row r="120" spans="1:2" x14ac:dyDescent="0.25">
      <c r="A120" s="203"/>
    </row>
    <row r="121" spans="1:2" x14ac:dyDescent="0.25">
      <c r="A121" s="206" t="s">
        <v>2585</v>
      </c>
    </row>
    <row r="122" spans="1:2" x14ac:dyDescent="0.25">
      <c r="A122" s="210"/>
    </row>
    <row r="123" spans="1:2" ht="44.25" x14ac:dyDescent="0.25">
      <c r="A123" s="67" t="s">
        <v>2586</v>
      </c>
    </row>
    <row r="124" spans="1:2" x14ac:dyDescent="0.25">
      <c r="A124" s="67"/>
    </row>
    <row r="125" spans="1:2" x14ac:dyDescent="0.25">
      <c r="A125" s="206" t="s">
        <v>2587</v>
      </c>
    </row>
    <row r="126" spans="1:2" x14ac:dyDescent="0.25">
      <c r="A126" s="67"/>
    </row>
    <row r="127" spans="1:2" ht="85.5" x14ac:dyDescent="0.25">
      <c r="A127" s="67" t="s">
        <v>2588</v>
      </c>
    </row>
    <row r="128" spans="1:2" x14ac:dyDescent="0.25">
      <c r="A128" s="67"/>
    </row>
    <row r="129" spans="1:1" ht="128.25" x14ac:dyDescent="0.25">
      <c r="A129" s="67" t="s">
        <v>2589</v>
      </c>
    </row>
    <row r="130" spans="1:1" x14ac:dyDescent="0.25">
      <c r="A130" s="67"/>
    </row>
    <row r="131" spans="1:1" ht="42.75" x14ac:dyDescent="0.25">
      <c r="A131" s="67" t="s">
        <v>2590</v>
      </c>
    </row>
    <row r="132" spans="1:1" x14ac:dyDescent="0.25">
      <c r="A132" s="67"/>
    </row>
    <row r="133" spans="1:1" ht="42.75" x14ac:dyDescent="0.25">
      <c r="A133" s="67" t="s">
        <v>2591</v>
      </c>
    </row>
    <row r="134" spans="1:1" x14ac:dyDescent="0.25">
      <c r="A134" s="67"/>
    </row>
    <row r="135" spans="1:1" x14ac:dyDescent="0.25">
      <c r="A135" s="206" t="s">
        <v>2592</v>
      </c>
    </row>
    <row r="136" spans="1:1" x14ac:dyDescent="0.25">
      <c r="A136" s="67"/>
    </row>
    <row r="137" spans="1:1" ht="156.75" x14ac:dyDescent="0.25">
      <c r="A137" s="67" t="s">
        <v>2593</v>
      </c>
    </row>
    <row r="138" spans="1:1" x14ac:dyDescent="0.25">
      <c r="A138" s="67"/>
    </row>
    <row r="139" spans="1:1" ht="28.5" x14ac:dyDescent="0.25">
      <c r="A139" s="67" t="s">
        <v>2594</v>
      </c>
    </row>
    <row r="140" spans="1:1" x14ac:dyDescent="0.25">
      <c r="A140" s="67"/>
    </row>
    <row r="141" spans="1:1" ht="28.5" x14ac:dyDescent="0.25">
      <c r="A141" s="67" t="s">
        <v>2595</v>
      </c>
    </row>
    <row r="142" spans="1:1" x14ac:dyDescent="0.25">
      <c r="A142" s="67"/>
    </row>
    <row r="143" spans="1:1" ht="28.5" x14ac:dyDescent="0.25">
      <c r="A143" s="67" t="s">
        <v>2596</v>
      </c>
    </row>
    <row r="144" spans="1:1" x14ac:dyDescent="0.25">
      <c r="A144" s="67"/>
    </row>
    <row r="145" spans="1:1" ht="42.75" x14ac:dyDescent="0.25">
      <c r="A145" s="67" t="s">
        <v>2597</v>
      </c>
    </row>
    <row r="146" spans="1:1" x14ac:dyDescent="0.25">
      <c r="A146" s="67" t="s">
        <v>2598</v>
      </c>
    </row>
    <row r="147" spans="1:1" x14ac:dyDescent="0.25">
      <c r="A147" s="67" t="s">
        <v>2599</v>
      </c>
    </row>
    <row r="148" spans="1:1" ht="57" x14ac:dyDescent="0.25">
      <c r="A148" s="67" t="s">
        <v>2600</v>
      </c>
    </row>
    <row r="149" spans="1:1" x14ac:dyDescent="0.25">
      <c r="A149" s="67" t="s">
        <v>2601</v>
      </c>
    </row>
    <row r="150" spans="1:1" x14ac:dyDescent="0.25">
      <c r="A150" s="67" t="s">
        <v>2602</v>
      </c>
    </row>
    <row r="151" spans="1:1" x14ac:dyDescent="0.25">
      <c r="A151" s="67" t="s">
        <v>2603</v>
      </c>
    </row>
    <row r="152" spans="1:1" x14ac:dyDescent="0.25">
      <c r="A152" s="203"/>
    </row>
    <row r="153" spans="1:1" x14ac:dyDescent="0.25">
      <c r="A153" s="152" t="str">
        <f>CONCATENATE("Para constancia se firma en Armenia, Quindío, el ",TEXT(VLOOKUP($C$3,Tabla1[#All],8,FALSE), "dd mmmm yyyy"),".")</f>
        <v>Para constancia se firma en Armenia, Quindío, el 20 mayo 2024.</v>
      </c>
    </row>
    <row r="154" spans="1:1" x14ac:dyDescent="0.25">
      <c r="A154" s="67"/>
    </row>
    <row r="155" spans="1:1" x14ac:dyDescent="0.25">
      <c r="A155" s="210" t="s">
        <v>2584</v>
      </c>
    </row>
    <row r="156" spans="1:1" x14ac:dyDescent="0.25">
      <c r="A156" s="67"/>
    </row>
    <row r="157" spans="1:1" x14ac:dyDescent="0.25">
      <c r="A157" s="203" t="s">
        <v>2512</v>
      </c>
    </row>
    <row r="158" spans="1:1" x14ac:dyDescent="0.25">
      <c r="A158" s="211" t="str">
        <f>VLOOKUP($C$3,Tabla1[#All],31,FALSE)</f>
        <v>Agencia Alquimia S.A.S.</v>
      </c>
    </row>
    <row r="159" spans="1:1" x14ac:dyDescent="0.25">
      <c r="A159" s="212" t="str">
        <f>CONCATENATE(VLOOKUP($D$3,Tabla2[#All],2,FALSE)," ","No. ",VLOOKUP($D$3,Tabla2[#All],3,FALSE))</f>
        <v>NIT. No. 901588861-7</v>
      </c>
    </row>
    <row r="160" spans="1:1" x14ac:dyDescent="0.25">
      <c r="A160" s="203"/>
    </row>
    <row r="161" spans="1:1" x14ac:dyDescent="0.25">
      <c r="A161" s="212" t="s">
        <v>2511</v>
      </c>
    </row>
    <row r="162" spans="1:1" x14ac:dyDescent="0.25">
      <c r="A162" s="203"/>
    </row>
    <row r="163" spans="1:1" x14ac:dyDescent="0.25">
      <c r="A163" s="203" t="s">
        <v>2467</v>
      </c>
    </row>
    <row r="164" spans="1:1" x14ac:dyDescent="0.25">
      <c r="A164" s="209" t="str">
        <f>CONCATENATE(VLOOKUP($C$3,Tabla1[#All],2,FALSE)," ",VLOOKUP($C$3,Tabla1[#All],3,FALSE))</f>
        <v>Diego Ernesto  Guerrero Estupiñan</v>
      </c>
    </row>
    <row r="165" spans="1:1" x14ac:dyDescent="0.25">
      <c r="A165" s="209" t="str">
        <f>CONCATENATE(VLOOKUP($C$3,Tabla1[#All],4,FALSE)," ","No. ",VLOOKUP($C$3,Tabla1[#All],5,FALSE))</f>
        <v>Cédula de ciudadanía No. 1049606533</v>
      </c>
    </row>
    <row r="166" spans="1:1" x14ac:dyDescent="0.25">
      <c r="A166" s="55"/>
    </row>
    <row r="167" spans="1:1" x14ac:dyDescent="0.25">
      <c r="A167" s="55"/>
    </row>
    <row r="168" spans="1:1" x14ac:dyDescent="0.25">
      <c r="A168" s="55"/>
    </row>
    <row r="169" spans="1:1" x14ac:dyDescent="0.25">
      <c r="A169" s="55"/>
    </row>
    <row r="170" spans="1:1" x14ac:dyDescent="0.25">
      <c r="A170" s="55"/>
    </row>
    <row r="171" spans="1:1" x14ac:dyDescent="0.25">
      <c r="A171" s="55"/>
    </row>
    <row r="172" spans="1:1" x14ac:dyDescent="0.25">
      <c r="A172" s="55"/>
    </row>
    <row r="173" spans="1:1" x14ac:dyDescent="0.25">
      <c r="A173" s="55"/>
    </row>
    <row r="174" spans="1:1" x14ac:dyDescent="0.25">
      <c r="A174" s="55"/>
    </row>
    <row r="175" spans="1:1" x14ac:dyDescent="0.25">
      <c r="A175" s="55"/>
    </row>
  </sheetData>
  <mergeCells count="1">
    <mergeCell ref="A107:G107"/>
  </mergeCells>
  <pageMargins left="0.25" right="0.25" top="0.75" bottom="0.75" header="0.3" footer="0.3"/>
  <pageSetup paperSize="5" scale="98" fitToHeight="0" orientation="portrait" r:id="rId1"/>
  <rowBreaks count="7" manualBreakCount="7">
    <brk id="31" man="1"/>
    <brk id="54" man="1"/>
    <brk id="69" man="1"/>
    <brk id="79" man="1"/>
    <brk id="95" man="1"/>
    <brk id="119" man="1"/>
    <brk id="147" man="1"/>
  </row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DC1315-AEC3-9041-9DDB-327A213A6717}">
  <sheetPr codeName="Hoja10">
    <pageSetUpPr fitToPage="1"/>
  </sheetPr>
  <dimension ref="B1:I119"/>
  <sheetViews>
    <sheetView showGridLines="0" view="pageBreakPreview" zoomScale="107" zoomScaleNormal="107" zoomScaleSheetLayoutView="107" zoomScalePageLayoutView="10" workbookViewId="0">
      <selection activeCell="B4" sqref="B4:E4"/>
    </sheetView>
  </sheetViews>
  <sheetFormatPr baseColWidth="10" defaultColWidth="11" defaultRowHeight="15.75" x14ac:dyDescent="0.25"/>
  <cols>
    <col min="1" max="1" width="11" style="38"/>
    <col min="2" max="2" width="28.125" style="38" customWidth="1"/>
    <col min="3" max="3" width="13.5" style="38" customWidth="1"/>
    <col min="4" max="4" width="16.25" style="38" customWidth="1"/>
    <col min="5" max="5" width="14.375" style="38" customWidth="1"/>
    <col min="6" max="6" width="8.625" style="38" customWidth="1"/>
    <col min="7" max="7" width="18.125" style="38" customWidth="1"/>
    <col min="8" max="8" width="38.5" style="38" bestFit="1" customWidth="1"/>
    <col min="9" max="9" width="11" style="38" customWidth="1"/>
    <col min="10" max="16384" width="11" style="38"/>
  </cols>
  <sheetData>
    <row r="1" spans="2:8" ht="23.1" customHeight="1" x14ac:dyDescent="0.25"/>
    <row r="2" spans="2:8" x14ac:dyDescent="0.25">
      <c r="B2" s="56"/>
      <c r="C2" s="56"/>
      <c r="D2" s="56"/>
      <c r="E2" s="56"/>
      <c r="F2" s="55"/>
      <c r="G2" s="367" t="s">
        <v>2432</v>
      </c>
      <c r="H2" s="368" t="s">
        <v>0</v>
      </c>
    </row>
    <row r="3" spans="2:8" ht="21" x14ac:dyDescent="0.35">
      <c r="B3" s="586" t="str">
        <f>VLOOKUP($H$3,Tabla2[#All],1,FALSE)</f>
        <v>Valencia Echeverry S.A.S.</v>
      </c>
      <c r="C3" s="586"/>
      <c r="D3" s="586"/>
      <c r="E3" s="586"/>
      <c r="F3" s="55"/>
      <c r="G3" s="369">
        <v>457</v>
      </c>
      <c r="H3" s="370" t="str">
        <f>VLOOKUP($G$3,Tabla1[#All],31,FALSE)</f>
        <v>Valencia Echeverry S.A.S.</v>
      </c>
    </row>
    <row r="4" spans="2:8" ht="21" x14ac:dyDescent="0.35">
      <c r="B4" s="586" t="str">
        <f>CONCATENATE(VLOOKUP($H$3,Tabla2[#All],2,FALSE)," ","No. ",VLOOKUP($H$3,Tabla2[#All],3,FALSE))</f>
        <v>NIT. No. 901252224-2</v>
      </c>
      <c r="C4" s="586"/>
      <c r="D4" s="586"/>
      <c r="E4" s="586"/>
      <c r="F4" s="55"/>
      <c r="G4" s="367" t="s">
        <v>2520</v>
      </c>
      <c r="H4" s="371" t="str">
        <f>IF(ISBLANK(VLOOKUP($G$3,Tabla1[#All],42,FALSE)),"No se ha retirado en la pestaña Aleluya",VLOOKUP($G$3,Tabla1[#All],42,FALSE))</f>
        <v>No se ha retirado en la pestaña Aleluya</v>
      </c>
    </row>
    <row r="5" spans="2:8" x14ac:dyDescent="0.25">
      <c r="B5" s="55"/>
      <c r="C5" s="55"/>
      <c r="D5" s="55"/>
      <c r="E5" s="55"/>
      <c r="F5" s="55"/>
      <c r="G5" s="367" t="s">
        <v>2521</v>
      </c>
      <c r="H5" s="371" t="str">
        <f>IF(ISBLANK(VLOOKUP($G$3,Tabla1[#All],43,FALSE)),"",VLOOKUP($G$3,Tabla1[#All],43,FALSE))</f>
        <v/>
      </c>
    </row>
    <row r="6" spans="2:8" x14ac:dyDescent="0.25">
      <c r="B6" s="587" t="s">
        <v>2473</v>
      </c>
      <c r="C6" s="587"/>
      <c r="D6" s="587"/>
      <c r="E6" s="587"/>
      <c r="F6" s="55"/>
    </row>
    <row r="7" spans="2:8" x14ac:dyDescent="0.25">
      <c r="B7" s="55"/>
      <c r="C7" s="55"/>
      <c r="D7" s="55"/>
      <c r="E7" s="55"/>
      <c r="F7" s="55"/>
    </row>
    <row r="8" spans="2:8" s="70" customFormat="1" ht="72" customHeight="1" x14ac:dyDescent="0.25">
      <c r="B8" s="585" t="str">
        <f>CONCATENATE(VLOOKUP($G$3,Tabla1[#All],2,FALSE)," ",VLOOKUP($G$3,Tabla1[#All],3,FALSE),", identificado(a) con ",CONCATENATE(VLOOKUP($G$3,Tabla1[#All],4,FALSE)," ","No. ",TEXT(VLOOKUP($G$3,Tabla1[#All],5,FALSE),"###.###")," laboró desde el ",TEXT(VLOOKUP($G$3,Tabla1[#All],8,FALSE),"dd mmmm yyyy"),IF(ISBLANK(VLOOKUP($G$3,Tabla1[#All],42,FALSE))," a la fecha ",CONCATENATE(" hasta el ",TEXT(VLOOKUP($G$3,Tabla1[#All],42,FALSE),"dd mmmm yyyy")))," desempeñando el cargo de ",VLOOKUP($G$3,Tabla1[#All],26,FALSE)," mediante contrato de trabajo a ",LOWER(VLOOKUP($G$3,Tabla1[#All],7,FALSE))," y con un salario mensual de $",TEXT(VLOOKUP($G$3,Tabla1[#All],11,FALSE),"###.###")))</f>
        <v>Cristian Camilo Rincón Giraldo, identificado(a) con Cédula de ciudadanía No. 1010085659. laboró desde el 19 abril 2024 a la fecha  desempeñando el cargo de Aprendiz mediante contrato de trabajo a término fijo y con un salario mensual de $975000.</v>
      </c>
      <c r="C8" s="585"/>
      <c r="D8" s="585"/>
      <c r="E8" s="585"/>
      <c r="F8" s="69"/>
    </row>
    <row r="9" spans="2:8" ht="46.9" customHeight="1" x14ac:dyDescent="0.25">
      <c r="B9" s="581"/>
      <c r="C9" s="581"/>
      <c r="D9" s="581"/>
      <c r="E9" s="581"/>
      <c r="F9" s="55"/>
    </row>
    <row r="10" spans="2:8" ht="35.25" customHeight="1" x14ac:dyDescent="0.25">
      <c r="B10" s="581" t="str">
        <f>IF(ISBLANK(VLOOKUP($G$3,Tabla1[#All],35,FALSE))," ",CONCATENATE("Así mismo, ","recibe sumas no constitutivas de salario por la suma de ",TEXT(VLOOKUP($G$3,Tabla1[#All],35,FALSE),"$###.###")," mensuales."))</f>
        <v xml:space="preserve"> </v>
      </c>
      <c r="C10" s="581"/>
      <c r="D10" s="581"/>
      <c r="E10" s="581"/>
      <c r="F10" s="55"/>
    </row>
    <row r="11" spans="2:8" x14ac:dyDescent="0.25">
      <c r="B11" s="63"/>
      <c r="C11" s="63"/>
      <c r="D11" s="63"/>
      <c r="E11" s="63"/>
      <c r="F11" s="55"/>
    </row>
    <row r="12" spans="2:8" ht="15.95" customHeight="1" x14ac:dyDescent="0.25">
      <c r="B12" s="581" t="str">
        <f>CONCATENATE("Para constancia de lo anterior, se firma el ",TEXT(H4,"dd mmmm yyyy"),".")</f>
        <v>Para constancia de lo anterior, se firma el No se ha retirado en la pestaña Aleluya.</v>
      </c>
      <c r="C12" s="581"/>
      <c r="D12" s="581"/>
      <c r="E12" s="581"/>
      <c r="F12" s="55"/>
    </row>
    <row r="13" spans="2:8" ht="15.95" customHeight="1" x14ac:dyDescent="0.25">
      <c r="F13" s="55"/>
    </row>
    <row r="14" spans="2:8" x14ac:dyDescent="0.25">
      <c r="B14" s="63"/>
      <c r="C14" s="63"/>
      <c r="D14" s="63"/>
      <c r="E14" s="63"/>
      <c r="F14" s="55"/>
    </row>
    <row r="15" spans="2:8" x14ac:dyDescent="0.25">
      <c r="B15" s="55"/>
      <c r="C15" s="55"/>
      <c r="D15" s="55"/>
      <c r="E15" s="55"/>
      <c r="F15" s="55"/>
    </row>
    <row r="16" spans="2:8" x14ac:dyDescent="0.25">
      <c r="B16" s="65" t="s">
        <v>2474</v>
      </c>
      <c r="C16" s="65"/>
      <c r="D16" s="65"/>
      <c r="E16" s="65"/>
      <c r="F16" s="55"/>
    </row>
    <row r="17" spans="2:6" x14ac:dyDescent="0.25">
      <c r="B17" s="55"/>
      <c r="C17" s="55"/>
      <c r="D17" s="55"/>
      <c r="E17" s="55"/>
      <c r="F17" s="55"/>
    </row>
    <row r="18" spans="2:6" x14ac:dyDescent="0.25">
      <c r="B18" s="55"/>
      <c r="C18" s="55"/>
      <c r="D18" s="55"/>
      <c r="E18" s="55"/>
      <c r="F18" s="55"/>
    </row>
    <row r="19" spans="2:6" x14ac:dyDescent="0.25">
      <c r="B19" s="65" t="s">
        <v>2475</v>
      </c>
      <c r="C19" s="65"/>
      <c r="D19" s="65"/>
      <c r="E19" s="65"/>
      <c r="F19" s="55"/>
    </row>
    <row r="20" spans="2:6" x14ac:dyDescent="0.25">
      <c r="B20" s="66" t="str">
        <f>VLOOKUP($H$3,Tabla2[#All],1,FALSE)</f>
        <v>Valencia Echeverry S.A.S.</v>
      </c>
      <c r="C20" s="66"/>
      <c r="D20" s="66"/>
      <c r="E20" s="66"/>
      <c r="F20" s="55"/>
    </row>
    <row r="21" spans="2:6" x14ac:dyDescent="0.25">
      <c r="B21" s="65" t="str">
        <f>CONCATENATE(VLOOKUP($H$3,Tabla2[#All],2,FALSE)," ","No. ",VLOOKUP($H$3,Tabla2[#All],3,FALSE))</f>
        <v>NIT. No. 901252224-2</v>
      </c>
      <c r="C21" s="65"/>
      <c r="D21" s="65"/>
      <c r="E21" s="65"/>
      <c r="F21" s="55"/>
    </row>
    <row r="22" spans="2:6" ht="45.6" customHeight="1" x14ac:dyDescent="0.25">
      <c r="B22" s="65"/>
      <c r="C22" s="65"/>
      <c r="D22" s="65"/>
      <c r="E22" s="65"/>
      <c r="F22" s="55"/>
    </row>
    <row r="23" spans="2:6" ht="57" customHeight="1" x14ac:dyDescent="0.25">
      <c r="B23" s="55"/>
      <c r="C23" s="55"/>
      <c r="D23" s="576" t="str">
        <f>CONCATENATE("Armenia, ",TEXT(H4,"dd mmmm yyyy"))</f>
        <v>Armenia, No se ha retirado en la pestaña Aleluya</v>
      </c>
      <c r="E23" s="576"/>
      <c r="F23" s="55"/>
    </row>
    <row r="24" spans="2:6" x14ac:dyDescent="0.25">
      <c r="B24" s="55"/>
      <c r="C24" s="55"/>
      <c r="D24" s="55"/>
      <c r="E24" s="55"/>
      <c r="F24" s="55"/>
    </row>
    <row r="25" spans="2:6" x14ac:dyDescent="0.25">
      <c r="B25" s="55" t="s">
        <v>2522</v>
      </c>
      <c r="C25" s="55"/>
      <c r="D25" s="55"/>
      <c r="E25" s="55"/>
      <c r="F25" s="55"/>
    </row>
    <row r="26" spans="2:6" x14ac:dyDescent="0.25">
      <c r="B26" s="71" t="s">
        <v>2523</v>
      </c>
      <c r="C26" s="55"/>
      <c r="D26" s="55"/>
      <c r="E26" s="55"/>
      <c r="F26" s="55"/>
    </row>
    <row r="27" spans="2:6" x14ac:dyDescent="0.25">
      <c r="B27" s="55"/>
      <c r="C27" s="55"/>
      <c r="D27" s="55"/>
      <c r="E27" s="55"/>
      <c r="F27" s="55"/>
    </row>
    <row r="28" spans="2:6" x14ac:dyDescent="0.25">
      <c r="B28" s="55"/>
      <c r="C28" s="55"/>
      <c r="D28" s="575"/>
      <c r="E28" s="575"/>
      <c r="F28" s="55"/>
    </row>
    <row r="29" spans="2:6" x14ac:dyDescent="0.25">
      <c r="B29" s="55"/>
      <c r="C29" s="576" t="s">
        <v>2524</v>
      </c>
      <c r="D29" s="576"/>
      <c r="E29" s="576"/>
      <c r="F29" s="55"/>
    </row>
    <row r="30" spans="2:6" x14ac:dyDescent="0.25">
      <c r="B30" s="55"/>
      <c r="C30" s="55"/>
      <c r="D30" s="55"/>
      <c r="E30" s="55"/>
      <c r="F30" s="55"/>
    </row>
    <row r="31" spans="2:6" x14ac:dyDescent="0.25">
      <c r="B31" s="55"/>
      <c r="C31" s="55"/>
      <c r="D31" s="55"/>
      <c r="E31" s="55"/>
      <c r="F31" s="55"/>
    </row>
    <row r="32" spans="2:6" ht="60" customHeight="1" x14ac:dyDescent="0.25">
      <c r="B32" s="542" t="str">
        <f>CONCATENATE("Por medio de la presente, ",H3, ", se permite autorizar a la siguiente persona a una valoración médica para que se le practique el respetivo examen de retiro:")</f>
        <v>Por medio de la presente, Valencia Echeverry S.A.S., se permite autorizar a la siguiente persona a una valoración médica para que se le practique el respetivo examen de retiro:</v>
      </c>
      <c r="C32" s="542"/>
      <c r="D32" s="542"/>
      <c r="E32" s="542"/>
      <c r="F32" s="55"/>
    </row>
    <row r="33" spans="2:6" ht="12" customHeight="1" x14ac:dyDescent="0.25">
      <c r="B33" s="55"/>
      <c r="C33" s="55"/>
      <c r="D33" s="55"/>
      <c r="E33" s="55"/>
      <c r="F33" s="55"/>
    </row>
    <row r="34" spans="2:6" ht="31.5" x14ac:dyDescent="0.25">
      <c r="B34" s="578" t="s">
        <v>2454</v>
      </c>
      <c r="C34" s="578"/>
      <c r="D34" s="72" t="s">
        <v>2525</v>
      </c>
      <c r="E34" s="72" t="s">
        <v>2526</v>
      </c>
      <c r="F34" s="55"/>
    </row>
    <row r="35" spans="2:6" ht="54.95" customHeight="1" x14ac:dyDescent="0.25">
      <c r="B35" s="579" t="str">
        <f>CONCATENATE(VLOOKUP($G$3,Tabla1[#All],2,FALSE)," ",VLOOKUP($G$3,Tabla1[#All],3,FALSE))</f>
        <v>Cristian Camilo Rincón Giraldo</v>
      </c>
      <c r="C35" s="579"/>
      <c r="D35" s="73" t="str">
        <f>VLOOKUP($G$3,Tabla1[#All],4,FALSE)</f>
        <v>Cédula de ciudadanía</v>
      </c>
      <c r="E35" s="74">
        <f>VLOOKUP($G$3,Tabla1[#All],5,FALSE)</f>
        <v>1010085659</v>
      </c>
      <c r="F35" s="55"/>
    </row>
    <row r="36" spans="2:6" ht="12.95" customHeight="1" x14ac:dyDescent="0.25">
      <c r="B36" s="55"/>
      <c r="C36" s="55"/>
      <c r="D36" s="55"/>
      <c r="E36" s="55"/>
      <c r="F36" s="55"/>
    </row>
    <row r="37" spans="2:6" ht="79.5" customHeight="1" x14ac:dyDescent="0.25">
      <c r="B37" s="577" t="s">
        <v>2527</v>
      </c>
      <c r="C37" s="573"/>
      <c r="D37" s="573"/>
      <c r="E37" s="573"/>
      <c r="F37" s="55"/>
    </row>
    <row r="38" spans="2:6" x14ac:dyDescent="0.25">
      <c r="B38" s="55"/>
      <c r="C38" s="55"/>
      <c r="D38" s="55"/>
      <c r="E38" s="55"/>
      <c r="F38" s="55"/>
    </row>
    <row r="39" spans="2:6" x14ac:dyDescent="0.25">
      <c r="B39" s="55" t="s">
        <v>2474</v>
      </c>
      <c r="C39" s="55"/>
      <c r="D39" s="55"/>
      <c r="E39" s="55"/>
      <c r="F39" s="55"/>
    </row>
    <row r="40" spans="2:6" x14ac:dyDescent="0.25">
      <c r="B40" s="55"/>
      <c r="C40" s="55"/>
      <c r="D40" s="55"/>
      <c r="E40" s="55"/>
      <c r="F40" s="55"/>
    </row>
    <row r="41" spans="2:6" x14ac:dyDescent="0.25">
      <c r="B41" s="55"/>
      <c r="C41" s="55"/>
      <c r="D41" s="55"/>
      <c r="E41" s="55"/>
      <c r="F41" s="55"/>
    </row>
    <row r="42" spans="2:6" x14ac:dyDescent="0.25">
      <c r="B42" s="55"/>
      <c r="C42" s="55"/>
      <c r="D42" s="55"/>
      <c r="E42" s="55"/>
      <c r="F42" s="55"/>
    </row>
    <row r="43" spans="2:6" x14ac:dyDescent="0.25">
      <c r="B43" s="573" t="s">
        <v>2475</v>
      </c>
      <c r="C43" s="573"/>
      <c r="D43" s="573"/>
      <c r="E43" s="573"/>
      <c r="F43" s="55"/>
    </row>
    <row r="44" spans="2:6" x14ac:dyDescent="0.25">
      <c r="B44" s="574" t="str">
        <f>VLOOKUP($H$3,Tabla2[#All],1,FALSE)</f>
        <v>Valencia Echeverry S.A.S.</v>
      </c>
      <c r="C44" s="574"/>
      <c r="D44" s="574"/>
      <c r="E44" s="574"/>
      <c r="F44" s="55"/>
    </row>
    <row r="45" spans="2:6" x14ac:dyDescent="0.25">
      <c r="B45" s="65" t="str">
        <f>CONCATENATE(VLOOKUP($H$3,Tabla2[#All],2,FALSE)," ","No. ",VLOOKUP($H$3,Tabla2[#All],3,FALSE))</f>
        <v>NIT. No. 901252224-2</v>
      </c>
      <c r="C45" s="65"/>
      <c r="D45" s="65"/>
      <c r="E45" s="65"/>
      <c r="F45" s="55"/>
    </row>
    <row r="46" spans="2:6" ht="12" customHeight="1" x14ac:dyDescent="0.25">
      <c r="B46" s="55"/>
      <c r="C46" s="55"/>
      <c r="D46" s="55"/>
      <c r="E46" s="55"/>
      <c r="F46" s="55"/>
    </row>
    <row r="47" spans="2:6" ht="13.5" customHeight="1" x14ac:dyDescent="0.25">
      <c r="F47" s="55"/>
    </row>
    <row r="48" spans="2:6" ht="13.5" hidden="1" customHeight="1" x14ac:dyDescent="0.25">
      <c r="F48" s="55"/>
    </row>
    <row r="49" spans="6:9" ht="13.5" hidden="1" customHeight="1" x14ac:dyDescent="0.25">
      <c r="F49" s="55"/>
    </row>
    <row r="50" spans="6:9" ht="13.5" hidden="1" customHeight="1" x14ac:dyDescent="0.25">
      <c r="F50" s="55"/>
    </row>
    <row r="51" spans="6:9" ht="13.5" hidden="1" customHeight="1" x14ac:dyDescent="0.25">
      <c r="F51" s="55"/>
    </row>
    <row r="52" spans="6:9" ht="13.5" hidden="1" customHeight="1" x14ac:dyDescent="0.25">
      <c r="F52" s="55"/>
    </row>
    <row r="53" spans="6:9" ht="13.5" hidden="1" customHeight="1" x14ac:dyDescent="0.25">
      <c r="F53" s="55"/>
    </row>
    <row r="54" spans="6:9" ht="13.5" hidden="1" customHeight="1" x14ac:dyDescent="0.25">
      <c r="F54" s="55"/>
    </row>
    <row r="55" spans="6:9" ht="13.5" hidden="1" customHeight="1" x14ac:dyDescent="0.25">
      <c r="F55" s="55"/>
      <c r="I55" s="76"/>
    </row>
    <row r="56" spans="6:9" ht="13.5" hidden="1" customHeight="1" x14ac:dyDescent="0.25">
      <c r="F56" s="55"/>
    </row>
    <row r="57" spans="6:9" ht="13.5" hidden="1" customHeight="1" x14ac:dyDescent="0.25">
      <c r="F57" s="55"/>
    </row>
    <row r="58" spans="6:9" ht="13.5" hidden="1" customHeight="1" x14ac:dyDescent="0.25">
      <c r="F58" s="55"/>
    </row>
    <row r="59" spans="6:9" ht="13.5" hidden="1" customHeight="1" x14ac:dyDescent="0.25">
      <c r="F59" s="55"/>
    </row>
    <row r="60" spans="6:9" ht="13.5" hidden="1" customHeight="1" x14ac:dyDescent="0.25">
      <c r="F60" s="55"/>
    </row>
    <row r="61" spans="6:9" ht="13.5" hidden="1" customHeight="1" x14ac:dyDescent="0.25">
      <c r="F61" s="55"/>
    </row>
    <row r="62" spans="6:9" ht="13.5" hidden="1" customHeight="1" x14ac:dyDescent="0.25">
      <c r="F62" s="55"/>
    </row>
    <row r="63" spans="6:9" ht="13.5" hidden="1" customHeight="1" x14ac:dyDescent="0.25">
      <c r="F63" s="55"/>
    </row>
    <row r="64" spans="6:9" ht="13.5" hidden="1" customHeight="1" x14ac:dyDescent="0.25">
      <c r="F64" s="55"/>
    </row>
    <row r="65" spans="2:6" ht="13.5" hidden="1" customHeight="1" x14ac:dyDescent="0.25">
      <c r="F65" s="55"/>
    </row>
    <row r="66" spans="2:6" ht="13.5" hidden="1" customHeight="1" x14ac:dyDescent="0.25">
      <c r="F66" s="55"/>
    </row>
    <row r="67" spans="2:6" ht="13.5" hidden="1" customHeight="1" x14ac:dyDescent="0.25">
      <c r="F67" s="55"/>
    </row>
    <row r="68" spans="2:6" ht="13.5" hidden="1" customHeight="1" x14ac:dyDescent="0.25">
      <c r="F68" s="55"/>
    </row>
    <row r="69" spans="2:6" ht="13.5" hidden="1" customHeight="1" x14ac:dyDescent="0.25">
      <c r="F69" s="55"/>
    </row>
    <row r="70" spans="2:6" ht="17.25" customHeight="1" x14ac:dyDescent="0.25"/>
    <row r="71" spans="2:6" ht="45" customHeight="1" x14ac:dyDescent="0.25">
      <c r="B71" s="55"/>
      <c r="C71" s="55"/>
      <c r="D71" s="572" t="str">
        <f>CONCATENATE("Armenia, ",TEXT(H4,"dd mmmm yyyy"))</f>
        <v>Armenia, No se ha retirado en la pestaña Aleluya</v>
      </c>
      <c r="E71" s="572"/>
      <c r="F71" s="55"/>
    </row>
    <row r="72" spans="2:6" ht="28.15" customHeight="1" x14ac:dyDescent="0.25">
      <c r="B72" s="55"/>
      <c r="C72" s="55"/>
      <c r="D72" s="55"/>
      <c r="E72" s="55"/>
      <c r="F72" s="55"/>
    </row>
    <row r="73" spans="2:6" x14ac:dyDescent="0.25">
      <c r="B73" s="55" t="s">
        <v>2528</v>
      </c>
      <c r="C73" s="55"/>
      <c r="D73" s="55"/>
      <c r="E73" s="55"/>
      <c r="F73" s="55"/>
    </row>
    <row r="74" spans="2:6" x14ac:dyDescent="0.25">
      <c r="B74" s="71" t="str">
        <f>CONCATENATE(VLOOKUP($G$3,Tabla1[#All],2,FALSE)," ",VLOOKUP($G$3,Tabla1[#All],3,FALSE))</f>
        <v>Cristian Camilo Rincón Giraldo</v>
      </c>
      <c r="C74" s="55"/>
      <c r="D74" s="55"/>
      <c r="E74" s="55"/>
      <c r="F74" s="55"/>
    </row>
    <row r="75" spans="2:6" x14ac:dyDescent="0.25">
      <c r="B75" s="55" t="str">
        <f>CONCATENATE(VLOOKUP($G$3,Tabla1[#All],4,FALSE)," No. ",VLOOKUP($G$3,Tabla1[#All],5,FALSE))</f>
        <v>Cédula de ciudadanía No. 1010085659</v>
      </c>
      <c r="C75" s="55"/>
      <c r="D75" s="55"/>
      <c r="E75" s="55"/>
      <c r="F75" s="55"/>
    </row>
    <row r="76" spans="2:6" x14ac:dyDescent="0.25">
      <c r="B76" s="55" t="s">
        <v>2529</v>
      </c>
      <c r="C76" s="55"/>
      <c r="D76" s="575"/>
      <c r="E76" s="575"/>
      <c r="F76" s="55"/>
    </row>
    <row r="77" spans="2:6" x14ac:dyDescent="0.25">
      <c r="B77" s="55"/>
      <c r="F77" s="55"/>
    </row>
    <row r="78" spans="2:6" x14ac:dyDescent="0.25">
      <c r="B78" s="576" t="str">
        <f>CONCATENATE("REF.: ",IF(H5="Renuncia voluntaria","Aceptación renuncia voluntaria",IF(H5="Terminación sin justa causa","Terminación unilateral y sin justa causa del contrato de trabajo ",IF(H5="Periodo de prueba","Terminación del contrato de trabajo en periodo de prueba"))))</f>
        <v>REF.: FALSO</v>
      </c>
      <c r="C78" s="576"/>
      <c r="D78" s="576"/>
      <c r="E78" s="576"/>
      <c r="F78" s="55"/>
    </row>
    <row r="79" spans="2:6" x14ac:dyDescent="0.25">
      <c r="B79" s="55"/>
      <c r="C79" s="55"/>
      <c r="D79" s="55"/>
      <c r="E79" s="55"/>
      <c r="F79" s="55"/>
    </row>
    <row r="80" spans="2:6" ht="84" customHeight="1" x14ac:dyDescent="0.25">
      <c r="B80" s="580" t="str">
        <f>IF(
    H5="Renuncia voluntaria",
    CONCATENATE(
        "En respuesta a su comunicación, nos permitimos manifestarle que ",
        VLOOKUP($H$3, Tabla2[#All], 1, FALSE),
        " (la “Compañía”) acepta la renuncia por usted presentada del cargo que ha venido desempeñando, siendo efectiva la misma a partir de la finalización de la jornada de trabajo del día ",
        TEXT(H4, "dd mmmm yyyy"),
        " , como fue anunciado en la comunicación."
    ),
    IF(
        H5="Terminación sin justa causa",
        CONCATENATE(
            "Por medio de la presente nos permitimos informarle que la Compañía ha decidido terminar de manera unilateral y sin justa causa su contrato individual de trabajo partir de la finalización del día ",
            TEXT(H4, "dd mmmm yyyy"),
            ", por lo tanto, se le reconocerá la indemnización correspondiente. ",
            "Adicionalmente, se entrega una copia de las cotizaciones al Sistema de la Protección Social de los últimos 3 meses. Las cotizaciones del mes en curso, se efectuarán iniciando el mes siguiente."
        ),
        IF(
            H5="Periodo de prueba",
            CONCATENATE(
                "Por medio de la presente, le informo la decision de dar por terminado su contrato individual de trabajo a partir de la finalización de la jornada laboral del día ",
                TEXT($H$4, "dd mmmm yyyy"),
                ", fecha para la cual usted se encuentra en periodo de prueba. La anterior, por cuanto se ha evidenciado que sus aptitudes y desempeño no se enmarcan dentro las habilidades y cualidades por las cuales fue contratado."
            ),
            "Otra condición"
        )
    )
)</f>
        <v>Otra condición</v>
      </c>
      <c r="C80" s="580"/>
      <c r="D80" s="580"/>
      <c r="E80" s="580"/>
      <c r="F80" s="55"/>
    </row>
    <row r="81" spans="2:6" x14ac:dyDescent="0.25">
      <c r="B81" s="64"/>
      <c r="C81" s="64"/>
      <c r="D81" s="64"/>
      <c r="E81" s="64"/>
      <c r="F81" s="55"/>
    </row>
    <row r="82" spans="2:6" ht="34.5" customHeight="1" x14ac:dyDescent="0.25">
      <c r="B82" s="580" t="s">
        <v>2530</v>
      </c>
      <c r="C82" s="580"/>
      <c r="D82" s="580"/>
      <c r="E82" s="580"/>
      <c r="F82" s="55"/>
    </row>
    <row r="83" spans="2:6" x14ac:dyDescent="0.25">
      <c r="B83" s="64"/>
      <c r="C83" s="64"/>
      <c r="D83" s="64"/>
      <c r="E83" s="64"/>
      <c r="F83" s="55"/>
    </row>
    <row r="84" spans="2:6" ht="30" customHeight="1" x14ac:dyDescent="0.25">
      <c r="B84" s="583" t="s">
        <v>3016</v>
      </c>
      <c r="C84" s="584"/>
      <c r="D84" s="584"/>
      <c r="E84" s="584"/>
      <c r="F84" s="55"/>
    </row>
    <row r="85" spans="2:6" x14ac:dyDescent="0.25">
      <c r="B85" s="78"/>
      <c r="C85" s="78"/>
      <c r="D85" s="78"/>
      <c r="E85" s="78"/>
      <c r="F85" s="55"/>
    </row>
    <row r="86" spans="2:6" ht="45.75" customHeight="1" x14ac:dyDescent="0.25">
      <c r="B86" s="580" t="s">
        <v>2993</v>
      </c>
      <c r="C86" s="580"/>
      <c r="D86" s="580"/>
      <c r="E86" s="580"/>
      <c r="F86" s="55"/>
    </row>
    <row r="87" spans="2:6" x14ac:dyDescent="0.25">
      <c r="B87" s="580"/>
      <c r="C87" s="580"/>
      <c r="D87" s="580"/>
      <c r="E87" s="580"/>
      <c r="F87" s="55"/>
    </row>
    <row r="88" spans="2:6" ht="32.1" customHeight="1" x14ac:dyDescent="0.25">
      <c r="B88" s="580" t="s">
        <v>2531</v>
      </c>
      <c r="C88" s="580"/>
      <c r="D88" s="580"/>
      <c r="E88" s="580"/>
      <c r="F88" s="55"/>
    </row>
    <row r="89" spans="2:6" x14ac:dyDescent="0.25">
      <c r="B89" s="55"/>
      <c r="C89" s="55"/>
      <c r="D89" s="55"/>
      <c r="E89" s="55"/>
      <c r="F89" s="55"/>
    </row>
    <row r="90" spans="2:6" x14ac:dyDescent="0.25">
      <c r="B90" s="55" t="s">
        <v>2474</v>
      </c>
      <c r="C90" s="55"/>
      <c r="D90" s="55"/>
      <c r="E90" s="55"/>
      <c r="F90" s="55"/>
    </row>
    <row r="91" spans="2:6" x14ac:dyDescent="0.25">
      <c r="B91" s="55"/>
      <c r="C91" s="55"/>
      <c r="D91" s="55"/>
      <c r="E91" s="55"/>
      <c r="F91" s="55"/>
    </row>
    <row r="92" spans="2:6" x14ac:dyDescent="0.25">
      <c r="B92" s="55"/>
      <c r="C92" s="55"/>
      <c r="D92" s="55"/>
      <c r="E92" s="55"/>
      <c r="F92" s="55"/>
    </row>
    <row r="93" spans="2:6" x14ac:dyDescent="0.25">
      <c r="B93" s="55"/>
      <c r="C93" s="55"/>
      <c r="D93" s="55"/>
      <c r="E93" s="55"/>
      <c r="F93" s="55"/>
    </row>
    <row r="94" spans="2:6" x14ac:dyDescent="0.25">
      <c r="B94" s="573" t="s">
        <v>2475</v>
      </c>
      <c r="C94" s="573"/>
      <c r="D94" s="573"/>
      <c r="E94" s="573"/>
      <c r="F94" s="55"/>
    </row>
    <row r="95" spans="2:6" x14ac:dyDescent="0.25">
      <c r="B95" s="574" t="str">
        <f>VLOOKUP($H$3,Tabla2[#All],1,FALSE)</f>
        <v>Valencia Echeverry S.A.S.</v>
      </c>
      <c r="C95" s="574"/>
      <c r="D95" s="574"/>
      <c r="E95" s="574"/>
      <c r="F95" s="55"/>
    </row>
    <row r="96" spans="2:6" x14ac:dyDescent="0.25">
      <c r="B96" s="65" t="str">
        <f>CONCATENATE(VLOOKUP($H$3,Tabla2[#All],2,FALSE)," ","No. ",VLOOKUP($H$3,Tabla2[#All],3,FALSE))</f>
        <v>NIT. No. 901252224-2</v>
      </c>
      <c r="C96" s="65"/>
      <c r="D96" s="65"/>
      <c r="E96" s="65"/>
      <c r="F96" s="55"/>
    </row>
    <row r="97" spans="2:6" x14ac:dyDescent="0.25">
      <c r="B97" s="55"/>
      <c r="C97" s="55"/>
      <c r="D97" s="55"/>
      <c r="E97" s="55"/>
      <c r="F97" s="55"/>
    </row>
    <row r="98" spans="2:6" ht="27.6" customHeight="1" x14ac:dyDescent="0.25">
      <c r="B98" s="55"/>
      <c r="C98" s="55"/>
      <c r="D98" s="55"/>
      <c r="E98" s="55"/>
    </row>
    <row r="99" spans="2:6" ht="81" customHeight="1" x14ac:dyDescent="0.25">
      <c r="B99" s="55"/>
      <c r="C99" s="55"/>
      <c r="D99" s="582" t="str">
        <f>CONCATENATE("Armenia, ",TEXT(H4,"dd mmmm yyyy"))</f>
        <v>Armenia, No se ha retirado en la pestaña Aleluya</v>
      </c>
      <c r="E99" s="582"/>
    </row>
    <row r="100" spans="2:6" ht="33" customHeight="1" x14ac:dyDescent="0.25">
      <c r="B100" s="55"/>
      <c r="C100" s="55"/>
      <c r="D100" s="55"/>
      <c r="E100" s="55"/>
    </row>
    <row r="101" spans="2:6" x14ac:dyDescent="0.25">
      <c r="B101" s="75" t="s">
        <v>2522</v>
      </c>
      <c r="C101" s="55"/>
      <c r="D101" s="55"/>
      <c r="E101" s="55"/>
    </row>
    <row r="102" spans="2:6" x14ac:dyDescent="0.25">
      <c r="B102" s="577" t="str">
        <f>CONCATENATE("Fondo de Cesantías ",VLOOKUP($G$3,Tabla1[#All],30,FALSE))</f>
        <v xml:space="preserve">Fondo de Cesantías </v>
      </c>
      <c r="C102" s="577"/>
      <c r="D102" s="577"/>
      <c r="E102" s="55"/>
    </row>
    <row r="103" spans="2:6" x14ac:dyDescent="0.25">
      <c r="B103" s="68" t="s">
        <v>2459</v>
      </c>
      <c r="C103" s="68"/>
      <c r="D103" s="68"/>
      <c r="E103" s="55"/>
    </row>
    <row r="104" spans="2:6" x14ac:dyDescent="0.25">
      <c r="B104" s="75"/>
      <c r="C104" s="55"/>
      <c r="D104" s="55"/>
      <c r="E104" s="55"/>
    </row>
    <row r="105" spans="2:6" ht="67.5" customHeight="1" x14ac:dyDescent="0.25">
      <c r="B105" s="55"/>
      <c r="C105" s="576" t="s">
        <v>2532</v>
      </c>
      <c r="D105" s="576"/>
      <c r="E105" s="576"/>
    </row>
    <row r="106" spans="2:6" ht="26.25" customHeight="1" x14ac:dyDescent="0.25">
      <c r="B106" s="55"/>
      <c r="C106" s="55"/>
      <c r="D106" s="55"/>
      <c r="E106" s="55"/>
    </row>
    <row r="107" spans="2:6" ht="74.25" customHeight="1" x14ac:dyDescent="0.25">
      <c r="B107" s="580" t="str">
        <f>CONCATENATE("Por medio de la presente, ",H3," ",VLOOKUP($H$3,Tabla2[#All],2,FALSE)," ","No. ",TEXT(VLOOKUP($H$3,Tabla2[#All],3,FALSE),"###.###"),", solicita la entrega de las cesantías consignadas a nombre de la persona que se identifica a continuación con ocasión a la terminación de su contrato de trabajo:")</f>
        <v>Por medio de la presente, Valencia Echeverry S.A.S. NIT. No. 901252224-2, solicita la entrega de las cesantías consignadas a nombre de la persona que se identifica a continuación con ocasión a la terminación de su contrato de trabajo:</v>
      </c>
      <c r="C107" s="580"/>
      <c r="D107" s="580"/>
      <c r="E107" s="580"/>
    </row>
    <row r="108" spans="2:6" ht="24.75" customHeight="1" x14ac:dyDescent="0.25">
      <c r="B108" s="55"/>
      <c r="C108" s="55"/>
      <c r="D108" s="55"/>
      <c r="E108" s="55"/>
    </row>
    <row r="109" spans="2:6" ht="31.5" x14ac:dyDescent="0.25">
      <c r="B109" s="77" t="s">
        <v>2454</v>
      </c>
      <c r="C109" s="72" t="s">
        <v>2525</v>
      </c>
      <c r="D109" s="72" t="s">
        <v>2526</v>
      </c>
      <c r="E109" s="72" t="s">
        <v>133</v>
      </c>
    </row>
    <row r="110" spans="2:6" ht="48.75" customHeight="1" x14ac:dyDescent="0.25">
      <c r="B110" s="73" t="str">
        <f>CONCATENATE(VLOOKUP($G$3,Tabla1[#All],2,FALSE)," ",VLOOKUP($G$3,Tabla1[#All],3,FALSE))</f>
        <v>Cristian Camilo Rincón Giraldo</v>
      </c>
      <c r="C110" s="73" t="str">
        <f>VLOOKUP($G$3,Tabla1[#All],4,FALSE)</f>
        <v>Cédula de ciudadanía</v>
      </c>
      <c r="D110" s="74">
        <f>VLOOKUP($G$3,Tabla1[#All],5,FALSE)</f>
        <v>1010085659</v>
      </c>
      <c r="E110" s="372" t="str">
        <f>TEXT(VLOOKUP($G$3,Tabla1[#All],42,FALSE),"dd mmmm yyyy")</f>
        <v>00 enero 1900</v>
      </c>
    </row>
    <row r="111" spans="2:6" x14ac:dyDescent="0.25">
      <c r="B111" s="55"/>
      <c r="C111" s="55"/>
      <c r="D111" s="55"/>
      <c r="E111" s="55"/>
    </row>
    <row r="112" spans="2:6" ht="69" customHeight="1" x14ac:dyDescent="0.25">
      <c r="B112" s="55" t="s">
        <v>2474</v>
      </c>
      <c r="C112" s="55"/>
      <c r="D112" s="55"/>
      <c r="E112" s="55"/>
    </row>
    <row r="113" spans="2:5" x14ac:dyDescent="0.25">
      <c r="B113" s="55"/>
      <c r="C113" s="55"/>
      <c r="D113" s="55"/>
      <c r="E113" s="55"/>
    </row>
    <row r="114" spans="2:5" x14ac:dyDescent="0.25">
      <c r="B114" s="55"/>
      <c r="C114" s="55"/>
      <c r="D114" s="55"/>
      <c r="E114" s="55"/>
    </row>
    <row r="115" spans="2:5" x14ac:dyDescent="0.25">
      <c r="B115" s="573" t="s">
        <v>2475</v>
      </c>
      <c r="C115" s="573"/>
      <c r="D115" s="573"/>
      <c r="E115" s="573"/>
    </row>
    <row r="116" spans="2:5" x14ac:dyDescent="0.25">
      <c r="B116" s="66" t="str">
        <f>VLOOKUP($H$3,Tabla2[#All],1,FALSE)</f>
        <v>Valencia Echeverry S.A.S.</v>
      </c>
      <c r="C116" s="66"/>
      <c r="D116" s="66"/>
      <c r="E116" s="66"/>
    </row>
    <row r="117" spans="2:5" x14ac:dyDescent="0.25">
      <c r="B117" s="65" t="str">
        <f>CONCATENATE(VLOOKUP($H$3,Tabla2[#All],2,FALSE)," ","No. ",VLOOKUP($H$3,Tabla2[#All],3,FALSE))</f>
        <v>NIT. No. 901252224-2</v>
      </c>
      <c r="C117" s="65"/>
      <c r="D117" s="65"/>
      <c r="E117" s="65"/>
    </row>
    <row r="118" spans="2:5" x14ac:dyDescent="0.25">
      <c r="B118" s="65"/>
      <c r="C118" s="55"/>
      <c r="D118" s="55"/>
      <c r="E118" s="55"/>
    </row>
    <row r="119" spans="2:5" x14ac:dyDescent="0.25">
      <c r="B119" s="65"/>
    </row>
  </sheetData>
  <mergeCells count="32">
    <mergeCell ref="B8:E8"/>
    <mergeCell ref="B10:E10"/>
    <mergeCell ref="B3:E3"/>
    <mergeCell ref="B4:E4"/>
    <mergeCell ref="B6:E6"/>
    <mergeCell ref="B9:E9"/>
    <mergeCell ref="B115:E115"/>
    <mergeCell ref="B107:E107"/>
    <mergeCell ref="C105:E105"/>
    <mergeCell ref="B102:D102"/>
    <mergeCell ref="B12:E12"/>
    <mergeCell ref="B82:E82"/>
    <mergeCell ref="D76:E76"/>
    <mergeCell ref="B80:E80"/>
    <mergeCell ref="D99:E99"/>
    <mergeCell ref="B87:E87"/>
    <mergeCell ref="B94:E94"/>
    <mergeCell ref="B95:E95"/>
    <mergeCell ref="B84:E84"/>
    <mergeCell ref="B86:E86"/>
    <mergeCell ref="B88:E88"/>
    <mergeCell ref="B78:E78"/>
    <mergeCell ref="D71:E71"/>
    <mergeCell ref="B43:E43"/>
    <mergeCell ref="B44:E44"/>
    <mergeCell ref="D28:E28"/>
    <mergeCell ref="D23:E23"/>
    <mergeCell ref="C29:E29"/>
    <mergeCell ref="B32:E32"/>
    <mergeCell ref="B37:E37"/>
    <mergeCell ref="B34:C34"/>
    <mergeCell ref="B35:C35"/>
  </mergeCells>
  <pageMargins left="0.98425196850393704" right="0.98425196850393704" top="0.98425196850393704" bottom="0.98425196850393704" header="0.51181102362204722" footer="0.51181102362204722"/>
  <pageSetup fitToHeight="0" orientation="portrait" r:id="rId1"/>
  <rowBreaks count="2" manualBreakCount="2">
    <brk id="22" min="1" max="4" man="1"/>
    <brk id="70" min="1" max="4" man="1"/>
  </rowBreaks>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4D9F0-86D2-45D8-B51C-A274F28E0C15}">
  <sheetPr codeName="Hoja18">
    <pageSetUpPr fitToPage="1"/>
  </sheetPr>
  <dimension ref="A1:XFD183"/>
  <sheetViews>
    <sheetView showGridLines="0" view="pageBreakPreview" zoomScale="80" zoomScaleNormal="90" zoomScaleSheetLayoutView="80" workbookViewId="0"/>
  </sheetViews>
  <sheetFormatPr baseColWidth="10" defaultColWidth="11" defaultRowHeight="15.75" x14ac:dyDescent="0.25"/>
  <cols>
    <col min="1" max="1" width="13.125" customWidth="1"/>
    <col min="2" max="2" width="16.375" customWidth="1"/>
    <col min="3" max="3" width="24.75" customWidth="1"/>
    <col min="4" max="4" width="5.125" customWidth="1"/>
    <col min="5" max="5" width="1.375" customWidth="1"/>
    <col min="6" max="6" width="27.875" customWidth="1"/>
    <col min="7" max="7" width="1.125" customWidth="1"/>
    <col min="8" max="8" width="22.875" customWidth="1"/>
    <col min="9" max="9" width="1.125" customWidth="1"/>
    <col min="10" max="10" width="19.125" customWidth="1"/>
    <col min="11" max="11" width="1.125" customWidth="1"/>
    <col min="12" max="12" width="26.875" customWidth="1"/>
    <col min="13" max="13" width="2.375" customWidth="1"/>
    <col min="14" max="14" width="28.125" customWidth="1"/>
    <col min="15" max="19" width="16.5" customWidth="1"/>
  </cols>
  <sheetData>
    <row r="1" spans="2:19" ht="16.5" thickBot="1" x14ac:dyDescent="0.3"/>
    <row r="2" spans="2:19" x14ac:dyDescent="0.25">
      <c r="B2" s="255" t="s">
        <v>2432</v>
      </c>
      <c r="C2" s="256" t="s">
        <v>0</v>
      </c>
      <c r="E2" s="569"/>
      <c r="F2" s="569"/>
      <c r="G2" s="381"/>
      <c r="H2" s="381"/>
      <c r="I2" s="381"/>
      <c r="J2" s="381"/>
      <c r="K2" s="381"/>
      <c r="L2" s="381"/>
      <c r="M2" s="382"/>
    </row>
    <row r="3" spans="2:19" ht="24" thickBot="1" x14ac:dyDescent="0.3">
      <c r="B3" s="254">
        <v>457</v>
      </c>
      <c r="C3" s="366" t="str">
        <f>VLOOKUP($B$3,Tabla1[#All],31,FALSE)</f>
        <v>Valencia Echeverry S.A.S.</v>
      </c>
      <c r="D3" s="218"/>
      <c r="E3" s="377"/>
      <c r="F3" s="571" t="s">
        <v>2604</v>
      </c>
      <c r="G3" s="571"/>
      <c r="H3" s="571"/>
      <c r="I3" s="571"/>
      <c r="J3" s="571"/>
      <c r="K3" s="571"/>
      <c r="L3" s="571"/>
      <c r="M3" s="378"/>
    </row>
    <row r="4" spans="2:19" ht="9.9499999999999993" customHeight="1" x14ac:dyDescent="0.25">
      <c r="E4" s="377"/>
      <c r="F4" s="330"/>
      <c r="G4" s="330"/>
      <c r="H4" s="330"/>
      <c r="I4" s="330"/>
      <c r="J4" s="330"/>
      <c r="K4" s="330"/>
      <c r="L4" s="330"/>
      <c r="M4" s="378"/>
    </row>
    <row r="5" spans="2:19" ht="15" customHeight="1" x14ac:dyDescent="0.25">
      <c r="E5" s="377"/>
      <c r="F5" s="597" t="s">
        <v>2921</v>
      </c>
      <c r="G5" s="597"/>
      <c r="H5" s="597"/>
      <c r="I5" s="221"/>
      <c r="J5" s="221"/>
      <c r="K5" s="221"/>
      <c r="L5" s="221"/>
      <c r="M5" s="378"/>
      <c r="R5" s="10"/>
      <c r="S5" s="10"/>
    </row>
    <row r="6" spans="2:19" ht="9.9499999999999993" customHeight="1" x14ac:dyDescent="0.25">
      <c r="E6" s="377"/>
      <c r="F6" s="330"/>
      <c r="G6" s="330"/>
      <c r="H6" s="330"/>
      <c r="I6" s="330"/>
      <c r="J6" s="330"/>
      <c r="K6" s="330"/>
      <c r="L6" s="330"/>
      <c r="M6" s="378"/>
    </row>
    <row r="7" spans="2:19" ht="15" customHeight="1" x14ac:dyDescent="0.25">
      <c r="E7" s="377"/>
      <c r="F7" s="224" t="s">
        <v>2478</v>
      </c>
      <c r="G7" s="332"/>
      <c r="H7" s="543" t="s">
        <v>2605</v>
      </c>
      <c r="I7" s="544"/>
      <c r="J7" s="544"/>
      <c r="K7" s="544"/>
      <c r="L7" s="545"/>
      <c r="M7" s="378"/>
      <c r="R7" s="10"/>
      <c r="S7" s="10"/>
    </row>
    <row r="8" spans="2:19" ht="2.25" customHeight="1" x14ac:dyDescent="0.25">
      <c r="E8" s="379"/>
      <c r="F8" s="222"/>
      <c r="G8" s="332"/>
      <c r="H8" s="221"/>
      <c r="I8" s="221"/>
      <c r="J8" s="221"/>
      <c r="K8" s="221"/>
      <c r="L8" s="221"/>
      <c r="M8" s="378"/>
      <c r="R8" s="10"/>
      <c r="S8" s="10"/>
    </row>
    <row r="9" spans="2:19" ht="15" customHeight="1" x14ac:dyDescent="0.25">
      <c r="E9" s="377"/>
      <c r="F9" s="224" t="s">
        <v>2457</v>
      </c>
      <c r="G9" s="332"/>
      <c r="H9" s="236" t="str">
        <f>VLOOKUP($C$3,Tabla2[#All],2,FALSE)</f>
        <v>NIT.</v>
      </c>
      <c r="I9" s="223"/>
      <c r="J9" s="235" t="s">
        <v>2458</v>
      </c>
      <c r="K9" s="223"/>
      <c r="L9" s="237" t="s">
        <v>2606</v>
      </c>
      <c r="M9" s="378"/>
      <c r="R9" s="10"/>
      <c r="S9" s="10"/>
    </row>
    <row r="10" spans="2:19" ht="2.25" customHeight="1" x14ac:dyDescent="0.25">
      <c r="E10" s="379"/>
      <c r="F10" s="222"/>
      <c r="G10" s="332"/>
      <c r="H10" s="221"/>
      <c r="I10" s="221"/>
      <c r="J10" s="221"/>
      <c r="K10" s="221"/>
      <c r="L10" s="221"/>
      <c r="M10" s="378"/>
      <c r="R10" s="10"/>
      <c r="S10" s="10"/>
    </row>
    <row r="11" spans="2:19" ht="15" customHeight="1" x14ac:dyDescent="0.25">
      <c r="E11" s="377"/>
      <c r="F11" s="224" t="s">
        <v>2481</v>
      </c>
      <c r="G11" s="332"/>
      <c r="H11" s="563">
        <v>7461417</v>
      </c>
      <c r="I11" s="563"/>
      <c r="J11" s="563"/>
      <c r="K11" s="563"/>
      <c r="L11" s="593"/>
      <c r="M11" s="378"/>
      <c r="R11" s="10"/>
      <c r="S11" s="10"/>
    </row>
    <row r="12" spans="2:19" ht="2.25" customHeight="1" x14ac:dyDescent="0.25">
      <c r="E12" s="379"/>
      <c r="F12" s="222"/>
      <c r="G12" s="332"/>
      <c r="H12" s="221"/>
      <c r="I12" s="221"/>
      <c r="J12" s="221"/>
      <c r="K12" s="221"/>
      <c r="L12" s="221"/>
      <c r="M12" s="378"/>
      <c r="R12" s="10"/>
      <c r="S12" s="10"/>
    </row>
    <row r="13" spans="2:19" ht="15" customHeight="1" x14ac:dyDescent="0.25">
      <c r="E13" s="377"/>
      <c r="F13" s="224" t="s">
        <v>107</v>
      </c>
      <c r="G13" s="332"/>
      <c r="H13" s="563" t="s">
        <v>2607</v>
      </c>
      <c r="I13" s="564"/>
      <c r="J13" s="564"/>
      <c r="K13" s="564"/>
      <c r="L13" s="565"/>
      <c r="M13" s="378"/>
      <c r="R13" s="10"/>
      <c r="S13" s="10"/>
    </row>
    <row r="14" spans="2:19" ht="2.25" customHeight="1" x14ac:dyDescent="0.25">
      <c r="E14" s="379"/>
      <c r="F14" s="222"/>
      <c r="G14" s="332"/>
      <c r="H14" s="221"/>
      <c r="I14" s="221"/>
      <c r="J14" s="221"/>
      <c r="K14" s="221"/>
      <c r="L14" s="221"/>
      <c r="M14" s="378"/>
      <c r="R14" s="10"/>
      <c r="S14" s="10"/>
    </row>
    <row r="15" spans="2:19" ht="15" customHeight="1" x14ac:dyDescent="0.25">
      <c r="E15" s="377"/>
      <c r="F15" s="224" t="s">
        <v>114</v>
      </c>
      <c r="G15" s="332"/>
      <c r="H15" s="563" t="s">
        <v>2608</v>
      </c>
      <c r="I15" s="563"/>
      <c r="J15" s="563"/>
      <c r="K15" s="563"/>
      <c r="L15" s="593"/>
      <c r="M15" s="378"/>
      <c r="R15" s="10"/>
      <c r="S15" s="10"/>
    </row>
    <row r="16" spans="2:19" ht="9.9499999999999993" customHeight="1" x14ac:dyDescent="0.25">
      <c r="E16" s="377"/>
      <c r="F16" s="330"/>
      <c r="G16" s="330"/>
      <c r="H16" s="330"/>
      <c r="I16" s="330"/>
      <c r="J16" s="330"/>
      <c r="K16" s="330"/>
      <c r="L16" s="330"/>
      <c r="M16" s="378"/>
    </row>
    <row r="17" spans="2:19" ht="16.5" customHeight="1" x14ac:dyDescent="0.25">
      <c r="E17" s="377"/>
      <c r="F17" s="597" t="s">
        <v>2609</v>
      </c>
      <c r="G17" s="597"/>
      <c r="H17" s="597"/>
      <c r="I17" s="330"/>
      <c r="J17" s="330"/>
      <c r="K17" s="330"/>
      <c r="L17" s="330"/>
      <c r="M17" s="378"/>
    </row>
    <row r="18" spans="2:19" ht="9.9499999999999993" customHeight="1" x14ac:dyDescent="0.25">
      <c r="E18" s="377"/>
      <c r="F18" s="330"/>
      <c r="G18" s="330"/>
      <c r="H18" s="330"/>
      <c r="I18" s="330"/>
      <c r="J18" s="330"/>
      <c r="K18" s="330"/>
      <c r="L18" s="330"/>
      <c r="M18" s="378"/>
    </row>
    <row r="19" spans="2:19" ht="16.5" customHeight="1" x14ac:dyDescent="0.25">
      <c r="E19" s="377"/>
      <c r="F19" s="224" t="s">
        <v>2478</v>
      </c>
      <c r="G19" s="332"/>
      <c r="H19" s="543" t="str">
        <f>VLOOKUP($C$3,Tabla2[#All],1,FALSE)</f>
        <v>Valencia Echeverry S.A.S.</v>
      </c>
      <c r="I19" s="544"/>
      <c r="J19" s="544"/>
      <c r="K19" s="544"/>
      <c r="L19" s="545"/>
      <c r="M19" s="378"/>
      <c r="R19" s="10"/>
      <c r="S19" s="10"/>
    </row>
    <row r="20" spans="2:19" ht="2.85" customHeight="1" x14ac:dyDescent="0.25">
      <c r="E20" s="318"/>
      <c r="F20" s="222"/>
      <c r="G20" s="332"/>
      <c r="H20" s="221"/>
      <c r="I20" s="221"/>
      <c r="J20" s="221"/>
      <c r="K20" s="221"/>
      <c r="L20" s="221"/>
      <c r="M20" s="378"/>
      <c r="R20" s="10"/>
      <c r="S20" s="10"/>
    </row>
    <row r="21" spans="2:19" ht="15" customHeight="1" x14ac:dyDescent="0.25">
      <c r="E21" s="379"/>
      <c r="F21" s="224" t="s">
        <v>2457</v>
      </c>
      <c r="G21" s="332"/>
      <c r="H21" s="236" t="str">
        <f>VLOOKUP($C$3,Tabla2[#All],2,FALSE)</f>
        <v>NIT.</v>
      </c>
      <c r="I21" s="223"/>
      <c r="J21" s="235" t="s">
        <v>2458</v>
      </c>
      <c r="K21" s="223"/>
      <c r="L21" s="237" t="str">
        <f>VLOOKUP($C$3,Tabla2[#All],3,FALSE)</f>
        <v>901252224-2</v>
      </c>
      <c r="M21" s="378"/>
      <c r="R21" s="10"/>
      <c r="S21" s="10"/>
    </row>
    <row r="22" spans="2:19" ht="2.85" customHeight="1" x14ac:dyDescent="0.25">
      <c r="E22" s="379"/>
      <c r="F22" s="222"/>
      <c r="G22" s="332"/>
      <c r="H22" s="221"/>
      <c r="I22" s="221"/>
      <c r="J22" s="221"/>
      <c r="K22" s="221"/>
      <c r="L22" s="221"/>
      <c r="M22" s="378"/>
      <c r="R22" s="10"/>
      <c r="S22" s="10"/>
    </row>
    <row r="23" spans="2:19" x14ac:dyDescent="0.25">
      <c r="E23" s="377"/>
      <c r="F23" s="224" t="s">
        <v>2479</v>
      </c>
      <c r="G23" s="332"/>
      <c r="H23" s="563" t="str">
        <f>IF(ISBLANK(VLOOKUP($C$3, Tabla2[#All], 4, FALSE)), "No aplica", VLOOKUP($C$3, Tabla2[#All], 4, FALSE))</f>
        <v>Marcela Echeverry P</v>
      </c>
      <c r="I23" s="563"/>
      <c r="J23" s="563"/>
      <c r="K23" s="563"/>
      <c r="L23" s="593"/>
      <c r="M23" s="378"/>
      <c r="R23" s="10"/>
      <c r="S23" s="10"/>
    </row>
    <row r="24" spans="2:19" ht="2.85" customHeight="1" x14ac:dyDescent="0.25">
      <c r="E24" s="377"/>
      <c r="F24" s="222"/>
      <c r="G24" s="332"/>
      <c r="H24" s="225"/>
      <c r="I24" s="221"/>
      <c r="J24" s="221"/>
      <c r="K24" s="221"/>
      <c r="L24" s="221"/>
      <c r="M24" s="378"/>
      <c r="R24" s="10"/>
      <c r="S24" s="10"/>
    </row>
    <row r="25" spans="2:19" ht="15" customHeight="1" x14ac:dyDescent="0.25">
      <c r="E25" s="377"/>
      <c r="F25" s="224" t="s">
        <v>2480</v>
      </c>
      <c r="G25" s="332"/>
      <c r="H25" s="236" t="str">
        <f>IF(ISBLANK(VLOOKUP($C$3, Tabla2[#All], 6, FALSE)), "No aplica",CONCATENATE(VLOOKUP($C$3,Tabla2[#All],5,FALSE)))</f>
        <v>Cédula de ciudadanía</v>
      </c>
      <c r="I25" s="223"/>
      <c r="J25" s="235" t="s">
        <v>2458</v>
      </c>
      <c r="K25" s="223"/>
      <c r="L25" s="237" t="str">
        <f>TEXT(VLOOKUP($C$3,Tabla2[#All],6,FALSE),"###.##")</f>
        <v>41915946.</v>
      </c>
      <c r="M25" s="378"/>
      <c r="R25" s="10"/>
      <c r="S25" s="10"/>
    </row>
    <row r="26" spans="2:19" ht="2.85" customHeight="1" x14ac:dyDescent="0.25">
      <c r="E26" s="377"/>
      <c r="F26" s="222"/>
      <c r="G26" s="332"/>
      <c r="H26" s="221"/>
      <c r="I26" s="221"/>
      <c r="J26" s="221"/>
      <c r="K26" s="221"/>
      <c r="L26" s="221"/>
      <c r="M26" s="378"/>
      <c r="R26" s="10"/>
      <c r="S26" s="10"/>
    </row>
    <row r="27" spans="2:19" x14ac:dyDescent="0.25">
      <c r="B27" s="20"/>
      <c r="E27" s="377"/>
      <c r="F27" s="224" t="s">
        <v>2481</v>
      </c>
      <c r="G27" s="332"/>
      <c r="H27" s="566">
        <f>VLOOKUP($C$3,Tabla2[#All],7,FALSE)</f>
        <v>3178875241</v>
      </c>
      <c r="I27" s="566"/>
      <c r="J27" s="566"/>
      <c r="K27" s="566"/>
      <c r="L27" s="594"/>
      <c r="M27" s="378"/>
      <c r="R27" s="10"/>
      <c r="S27" s="10"/>
    </row>
    <row r="28" spans="2:19" ht="2.85" customHeight="1" x14ac:dyDescent="0.25">
      <c r="B28" s="20"/>
      <c r="E28" s="377"/>
      <c r="F28" s="222"/>
      <c r="G28" s="332"/>
      <c r="H28" s="333"/>
      <c r="I28" s="333"/>
      <c r="J28" s="333"/>
      <c r="K28" s="333"/>
      <c r="L28" s="333"/>
      <c r="M28" s="378"/>
      <c r="R28" s="10"/>
      <c r="S28" s="10"/>
    </row>
    <row r="29" spans="2:19" x14ac:dyDescent="0.25">
      <c r="E29" s="377"/>
      <c r="F29" s="224" t="s">
        <v>107</v>
      </c>
      <c r="G29" s="332"/>
      <c r="H29" s="563" t="str">
        <f>VLOOKUP($C$3,Tabla2[#All],8,FALSE)</f>
        <v>restaurante-elsolar@hotmail.com</v>
      </c>
      <c r="I29" s="563"/>
      <c r="J29" s="563"/>
      <c r="K29" s="563"/>
      <c r="L29" s="593"/>
      <c r="M29" s="378"/>
      <c r="R29" s="10"/>
      <c r="S29" s="10"/>
    </row>
    <row r="30" spans="2:19" ht="2.85" customHeight="1" x14ac:dyDescent="0.25">
      <c r="E30" s="377"/>
      <c r="F30" s="222"/>
      <c r="G30" s="332"/>
      <c r="H30" s="221"/>
      <c r="I30" s="221"/>
      <c r="J30" s="221"/>
      <c r="K30" s="221"/>
      <c r="L30" s="221"/>
      <c r="M30" s="378"/>
      <c r="R30" s="10"/>
      <c r="S30" s="10"/>
    </row>
    <row r="31" spans="2:19" x14ac:dyDescent="0.25">
      <c r="E31" s="377"/>
      <c r="F31" s="224" t="s">
        <v>114</v>
      </c>
      <c r="G31" s="332"/>
      <c r="H31" s="563" t="str">
        <f>VLOOKUP($C$3,Tabla2[#All],9,FALSE)</f>
        <v>Km 2 Vía Armenia Circasia</v>
      </c>
      <c r="I31" s="563"/>
      <c r="J31" s="563"/>
      <c r="K31" s="563"/>
      <c r="L31" s="593"/>
      <c r="M31" s="378"/>
      <c r="R31" s="10"/>
      <c r="S31" s="10"/>
    </row>
    <row r="32" spans="2:19" ht="9.9499999999999993" customHeight="1" x14ac:dyDescent="0.25">
      <c r="E32" s="377"/>
      <c r="F32" s="330"/>
      <c r="G32" s="330"/>
      <c r="H32" s="330"/>
      <c r="I32" s="330"/>
      <c r="J32" s="330"/>
      <c r="K32" s="330"/>
      <c r="L32" s="330"/>
      <c r="M32" s="378"/>
    </row>
    <row r="33" spans="5:19" ht="15.75" customHeight="1" x14ac:dyDescent="0.25">
      <c r="E33" s="377"/>
      <c r="F33" s="334" t="s">
        <v>2610</v>
      </c>
      <c r="G33" s="332"/>
      <c r="H33" s="221"/>
      <c r="I33" s="221"/>
      <c r="J33" s="221"/>
      <c r="K33" s="221"/>
      <c r="L33" s="221"/>
      <c r="M33" s="378"/>
      <c r="R33" s="10"/>
      <c r="S33" s="10"/>
    </row>
    <row r="34" spans="5:19" ht="9.9499999999999993" customHeight="1" x14ac:dyDescent="0.25">
      <c r="E34" s="377"/>
      <c r="F34" s="330"/>
      <c r="G34" s="330"/>
      <c r="H34" s="330"/>
      <c r="I34" s="330"/>
      <c r="J34" s="330"/>
      <c r="K34" s="330"/>
      <c r="L34" s="330"/>
      <c r="M34" s="378"/>
    </row>
    <row r="35" spans="5:19" ht="2.85" customHeight="1" x14ac:dyDescent="0.25">
      <c r="E35" s="377"/>
      <c r="F35" s="221"/>
      <c r="G35" s="221"/>
      <c r="H35" s="221"/>
      <c r="I35" s="221"/>
      <c r="J35" s="221"/>
      <c r="K35" s="221"/>
      <c r="L35" s="221"/>
      <c r="M35" s="378"/>
      <c r="R35" s="10"/>
      <c r="S35" s="10"/>
    </row>
    <row r="36" spans="5:19" x14ac:dyDescent="0.25">
      <c r="E36" s="377"/>
      <c r="F36" s="224" t="s">
        <v>2483</v>
      </c>
      <c r="G36" s="332"/>
      <c r="H36" s="543" t="str">
        <f>CONCATENATE(VLOOKUP($B$3,Tabla1[#All],2,FALSE)," ",VLOOKUP($B$3,Tabla1[#All],3,FALSE))</f>
        <v>Cristian Camilo Rincón Giraldo</v>
      </c>
      <c r="I36" s="544"/>
      <c r="J36" s="544"/>
      <c r="K36" s="544"/>
      <c r="L36" s="545"/>
      <c r="M36" s="378"/>
      <c r="R36" s="10"/>
      <c r="S36" s="10"/>
    </row>
    <row r="37" spans="5:19" ht="2.85" customHeight="1" x14ac:dyDescent="0.25">
      <c r="E37" s="377"/>
      <c r="F37" s="222"/>
      <c r="G37" s="332"/>
      <c r="H37" s="220"/>
      <c r="I37" s="220"/>
      <c r="J37" s="220"/>
      <c r="K37" s="220"/>
      <c r="L37" s="220"/>
      <c r="M37" s="378"/>
      <c r="R37" s="10"/>
      <c r="S37" s="10"/>
    </row>
    <row r="38" spans="5:19" x14ac:dyDescent="0.25">
      <c r="E38" s="377"/>
      <c r="F38" s="224" t="s">
        <v>2484</v>
      </c>
      <c r="G38" s="332"/>
      <c r="H38" s="229" t="str">
        <f>VLOOKUP($B$3,Tabla1[#All],4,FALSE)</f>
        <v>Cédula de ciudadanía</v>
      </c>
      <c r="I38" s="222"/>
      <c r="J38" s="235" t="s">
        <v>2458</v>
      </c>
      <c r="K38" s="222"/>
      <c r="L38" s="229" t="str">
        <f>TEXT(VLOOKUP($B$3,Tabla1[#All],5,FALSE),"###.##")</f>
        <v>1010085659.</v>
      </c>
      <c r="M38" s="378"/>
      <c r="R38" s="10"/>
      <c r="S38" s="10"/>
    </row>
    <row r="39" spans="5:19" ht="2.85" customHeight="1" x14ac:dyDescent="0.25">
      <c r="E39" s="377"/>
      <c r="F39" s="222"/>
      <c r="G39" s="332"/>
      <c r="H39" s="220"/>
      <c r="I39" s="220"/>
      <c r="J39" s="220"/>
      <c r="K39" s="220"/>
      <c r="L39" s="220"/>
      <c r="M39" s="378"/>
      <c r="R39" s="10"/>
      <c r="S39" s="10"/>
    </row>
    <row r="40" spans="5:19" x14ac:dyDescent="0.25">
      <c r="E40" s="377"/>
      <c r="F40" s="224" t="s">
        <v>2485</v>
      </c>
      <c r="G40" s="332"/>
      <c r="H40" s="543" t="str">
        <f>VLOOKUP($B$3,Tabla1[#All],22,FALSE)</f>
        <v>Barrio Cooperativo Manzana H Casa 6</v>
      </c>
      <c r="I40" s="544"/>
      <c r="J40" s="544"/>
      <c r="K40" s="544"/>
      <c r="L40" s="545"/>
      <c r="M40" s="378"/>
      <c r="R40" s="10"/>
      <c r="S40" s="10"/>
    </row>
    <row r="41" spans="5:19" ht="2.85" customHeight="1" x14ac:dyDescent="0.25">
      <c r="E41" s="377"/>
      <c r="F41" s="222"/>
      <c r="G41" s="332"/>
      <c r="H41" s="220"/>
      <c r="I41" s="220"/>
      <c r="J41" s="220"/>
      <c r="K41" s="220"/>
      <c r="L41" s="220"/>
      <c r="M41" s="378"/>
      <c r="R41" s="10"/>
      <c r="S41" s="10"/>
    </row>
    <row r="42" spans="5:19" x14ac:dyDescent="0.25">
      <c r="E42" s="377"/>
      <c r="F42" s="224" t="s">
        <v>2486</v>
      </c>
      <c r="G42" s="332"/>
      <c r="H42" s="546">
        <f>VLOOKUP($B$3,Tabla1[#All],23,FALSE)</f>
        <v>3234816480</v>
      </c>
      <c r="I42" s="547"/>
      <c r="J42" s="547"/>
      <c r="K42" s="547"/>
      <c r="L42" s="548"/>
      <c r="M42" s="378"/>
      <c r="R42" s="10"/>
      <c r="S42" s="10"/>
    </row>
    <row r="43" spans="5:19" ht="2.85" customHeight="1" x14ac:dyDescent="0.25">
      <c r="E43" s="377"/>
      <c r="F43" s="222"/>
      <c r="G43" s="332"/>
      <c r="H43" s="336"/>
      <c r="I43" s="336"/>
      <c r="J43" s="336"/>
      <c r="K43" s="336"/>
      <c r="L43" s="336"/>
      <c r="M43" s="378"/>
      <c r="R43" s="10"/>
      <c r="S43" s="10"/>
    </row>
    <row r="44" spans="5:19" x14ac:dyDescent="0.25">
      <c r="E44" s="377"/>
      <c r="F44" s="224" t="s">
        <v>107</v>
      </c>
      <c r="G44" s="332"/>
      <c r="H44" s="543" t="str">
        <f>VLOOKUP($B$3,Tabla1[#All],15,FALSE)</f>
        <v>cristianrincongiraldo@gmail.com</v>
      </c>
      <c r="I44" s="544"/>
      <c r="J44" s="544"/>
      <c r="K44" s="544"/>
      <c r="L44" s="545"/>
      <c r="M44" s="378"/>
      <c r="R44" s="10"/>
      <c r="S44" s="10"/>
    </row>
    <row r="45" spans="5:19" ht="2.85" customHeight="1" x14ac:dyDescent="0.25">
      <c r="E45" s="377"/>
      <c r="F45" s="222"/>
      <c r="G45" s="332"/>
      <c r="H45" s="220"/>
      <c r="I45" s="220"/>
      <c r="J45" s="220"/>
      <c r="K45" s="220"/>
      <c r="L45" s="220"/>
      <c r="M45" s="378"/>
      <c r="R45" s="10"/>
      <c r="S45" s="10"/>
    </row>
    <row r="46" spans="5:19" x14ac:dyDescent="0.25">
      <c r="E46" s="377"/>
      <c r="F46" s="224" t="s">
        <v>2487</v>
      </c>
      <c r="G46" s="332"/>
      <c r="H46" s="551">
        <f>VLOOKUP($B$3,Tabla1[#All],21,FALSE)</f>
        <v>37513</v>
      </c>
      <c r="I46" s="552"/>
      <c r="J46" s="552"/>
      <c r="K46" s="552"/>
      <c r="L46" s="553"/>
      <c r="M46" s="378"/>
      <c r="R46" s="10"/>
      <c r="S46" s="10"/>
    </row>
    <row r="47" spans="5:19" ht="2.85" customHeight="1" x14ac:dyDescent="0.25">
      <c r="E47" s="377"/>
      <c r="F47" s="222"/>
      <c r="G47" s="332"/>
      <c r="H47" s="337"/>
      <c r="I47" s="337"/>
      <c r="J47" s="337"/>
      <c r="K47" s="337"/>
      <c r="L47" s="337"/>
      <c r="M47" s="378"/>
      <c r="R47" s="10"/>
      <c r="S47" s="10"/>
    </row>
    <row r="48" spans="5:19" x14ac:dyDescent="0.25">
      <c r="E48" s="377"/>
      <c r="F48" s="549" t="s">
        <v>2488</v>
      </c>
      <c r="G48" s="335"/>
      <c r="H48" s="226" t="s">
        <v>2489</v>
      </c>
      <c r="I48" s="338"/>
      <c r="J48" s="226" t="s">
        <v>2490</v>
      </c>
      <c r="K48" s="338"/>
      <c r="L48" s="226" t="s">
        <v>2491</v>
      </c>
      <c r="M48" s="378"/>
      <c r="R48" s="10"/>
      <c r="S48" s="10"/>
    </row>
    <row r="49" spans="5:19" ht="15.75" customHeight="1" x14ac:dyDescent="0.25">
      <c r="E49" s="377"/>
      <c r="F49" s="550"/>
      <c r="G49" s="335"/>
      <c r="H49" s="227" t="str">
        <f>VLOOKUP($B$3,Tabla1[#All],28,FALSE)</f>
        <v>EPS Sura</v>
      </c>
      <c r="I49" s="338"/>
      <c r="J49" s="227" t="s">
        <v>214</v>
      </c>
      <c r="K49" s="338"/>
      <c r="L49" s="227" t="s">
        <v>214</v>
      </c>
      <c r="M49" s="378"/>
      <c r="R49" s="10"/>
      <c r="S49" s="10"/>
    </row>
    <row r="50" spans="5:19" ht="2.85" customHeight="1" x14ac:dyDescent="0.25">
      <c r="E50" s="377"/>
      <c r="F50" s="220"/>
      <c r="G50" s="335"/>
      <c r="H50" s="338"/>
      <c r="I50" s="338"/>
      <c r="J50" s="338"/>
      <c r="K50" s="338"/>
      <c r="L50" s="338"/>
      <c r="M50" s="378"/>
      <c r="R50" s="10"/>
      <c r="S50" s="10"/>
    </row>
    <row r="51" spans="5:19" x14ac:dyDescent="0.25">
      <c r="E51" s="377"/>
      <c r="F51" s="549" t="s">
        <v>2611</v>
      </c>
      <c r="G51" s="335"/>
      <c r="H51" s="226" t="s">
        <v>110</v>
      </c>
      <c r="I51" s="338"/>
      <c r="J51" s="226" t="s">
        <v>2493</v>
      </c>
      <c r="K51" s="338"/>
      <c r="L51" s="226" t="s">
        <v>2494</v>
      </c>
      <c r="M51" s="378"/>
      <c r="R51" s="10"/>
      <c r="S51" s="10"/>
    </row>
    <row r="52" spans="5:19" ht="16.5" customHeight="1" x14ac:dyDescent="0.25">
      <c r="E52" s="377"/>
      <c r="F52" s="550"/>
      <c r="G52" s="335"/>
      <c r="H52" s="227" t="str">
        <f>IF(L68="Transferencia Bancaria",VLOOKUP($B$3, Tabla1[#All], 18, FALSE),"No aplica")</f>
        <v>Nequi</v>
      </c>
      <c r="I52" s="338"/>
      <c r="J52" s="227" t="str">
        <f>IF(L68="Transferencia Bancaria",VLOOKUP($B$3, Tabla1[#All], 19, FALSE),"No aplica")</f>
        <v>Cuenta de Ahorros</v>
      </c>
      <c r="K52" s="338"/>
      <c r="L52" s="228">
        <f>IF(L68="Transferencia Bancaria",VLOOKUP($B$3, Tabla1[#All], 20, FALSE),"No aplica")</f>
        <v>3106427643</v>
      </c>
      <c r="M52" s="378"/>
      <c r="R52" s="10"/>
      <c r="S52" s="10"/>
    </row>
    <row r="53" spans="5:19" ht="9.9499999999999993" customHeight="1" x14ac:dyDescent="0.25">
      <c r="E53" s="377"/>
      <c r="F53" s="330"/>
      <c r="G53" s="330"/>
      <c r="H53" s="330"/>
      <c r="I53" s="330"/>
      <c r="J53" s="330"/>
      <c r="K53" s="330"/>
      <c r="L53" s="330"/>
      <c r="M53" s="378"/>
    </row>
    <row r="54" spans="5:19" ht="16.5" customHeight="1" x14ac:dyDescent="0.25">
      <c r="E54" s="377"/>
      <c r="F54" s="331" t="s">
        <v>2495</v>
      </c>
      <c r="G54" s="330"/>
      <c r="H54" s="330"/>
      <c r="I54" s="330"/>
      <c r="J54" s="330"/>
      <c r="K54" s="330"/>
      <c r="L54" s="330"/>
      <c r="M54" s="378"/>
      <c r="R54" s="10"/>
      <c r="S54" s="10"/>
    </row>
    <row r="55" spans="5:19" ht="9.9499999999999993" customHeight="1" x14ac:dyDescent="0.25">
      <c r="E55" s="377"/>
      <c r="F55" s="330"/>
      <c r="G55" s="330"/>
      <c r="H55" s="330"/>
      <c r="I55" s="330"/>
      <c r="J55" s="330"/>
      <c r="K55" s="330"/>
      <c r="L55" s="330"/>
      <c r="M55" s="378"/>
    </row>
    <row r="56" spans="5:19" ht="15.75" customHeight="1" x14ac:dyDescent="0.25">
      <c r="E56" s="377"/>
      <c r="F56" s="224" t="s">
        <v>2496</v>
      </c>
      <c r="G56" s="332"/>
      <c r="H56" s="230" t="s">
        <v>2612</v>
      </c>
      <c r="I56" s="341"/>
      <c r="J56" s="231" t="s">
        <v>2497</v>
      </c>
      <c r="K56" s="342"/>
      <c r="L56" s="374" t="str">
        <f>_xlfn.CONCAT("Personal ",VLOOKUP($B$3,Tabla1[#All],33,FALSE))</f>
        <v>Personal ordinario</v>
      </c>
      <c r="M56" s="378"/>
      <c r="R56" s="10"/>
      <c r="S56" s="10"/>
    </row>
    <row r="57" spans="5:19" ht="2.25" customHeight="1" x14ac:dyDescent="0.25">
      <c r="E57" s="377"/>
      <c r="F57" s="222"/>
      <c r="G57" s="332"/>
      <c r="H57" s="220"/>
      <c r="I57" s="220"/>
      <c r="J57" s="220"/>
      <c r="K57" s="220"/>
      <c r="L57" s="220"/>
      <c r="M57" s="378"/>
      <c r="R57" s="10"/>
      <c r="S57" s="10"/>
    </row>
    <row r="58" spans="5:19" ht="15.75" customHeight="1" x14ac:dyDescent="0.25">
      <c r="E58" s="377"/>
      <c r="F58" s="224" t="s">
        <v>2919</v>
      </c>
      <c r="G58" s="332"/>
      <c r="H58" s="230" t="str">
        <f>TEXT(VLOOKUP($B$3,Tabla1[#All],8,FALSE),"dddd, dd mmmm yyyy")</f>
        <v>viernes, 19 abril 2024</v>
      </c>
      <c r="I58" s="341"/>
      <c r="J58" s="231" t="s">
        <v>2499</v>
      </c>
      <c r="K58" s="342"/>
      <c r="L58" s="374">
        <f>IF(ISBLANK(VLOOKUP($B$3, Tabla1[#All], 9, FALSE)), "No aplica", VLOOKUP($B$3, Tabla1[#All], 9, FALSE))</f>
        <v>45583</v>
      </c>
      <c r="M58" s="378"/>
      <c r="R58" s="10"/>
      <c r="S58" s="10"/>
    </row>
    <row r="59" spans="5:19" ht="2.85" customHeight="1" x14ac:dyDescent="0.25">
      <c r="E59" s="377"/>
      <c r="F59" s="222"/>
      <c r="G59" s="332"/>
      <c r="H59" s="341"/>
      <c r="I59" s="341"/>
      <c r="J59" s="342"/>
      <c r="K59" s="342"/>
      <c r="L59" s="341"/>
      <c r="M59" s="378"/>
      <c r="R59" s="10"/>
      <c r="S59" s="10"/>
    </row>
    <row r="60" spans="5:19" x14ac:dyDescent="0.25">
      <c r="E60" s="377"/>
      <c r="F60" s="224" t="s">
        <v>2500</v>
      </c>
      <c r="G60" s="332"/>
      <c r="H60" s="543" t="str">
        <f>VLOOKUP($B$3,Tabla1[#All],24,FALSE)</f>
        <v>Restaurante El Solar</v>
      </c>
      <c r="I60" s="544"/>
      <c r="J60" s="544"/>
      <c r="K60" s="544"/>
      <c r="L60" s="545"/>
      <c r="M60" s="378"/>
      <c r="R60" s="10"/>
      <c r="S60" s="10"/>
    </row>
    <row r="61" spans="5:19" ht="2.85" customHeight="1" x14ac:dyDescent="0.25">
      <c r="E61" s="377"/>
      <c r="F61" s="222"/>
      <c r="G61" s="332"/>
      <c r="H61" s="220"/>
      <c r="I61" s="220"/>
      <c r="J61" s="220"/>
      <c r="K61" s="220"/>
      <c r="L61" s="220"/>
      <c r="M61" s="378"/>
      <c r="R61" s="10"/>
      <c r="S61" s="10"/>
    </row>
    <row r="62" spans="5:19" x14ac:dyDescent="0.25">
      <c r="E62" s="377"/>
      <c r="F62" s="224" t="s">
        <v>2501</v>
      </c>
      <c r="G62" s="332"/>
      <c r="H62" s="543" t="str">
        <f>VLOOKUP($B$3,Tabla1[#All],26,FALSE)</f>
        <v>Aprendiz</v>
      </c>
      <c r="I62" s="544"/>
      <c r="J62" s="544"/>
      <c r="K62" s="544"/>
      <c r="L62" s="545"/>
      <c r="M62" s="378"/>
      <c r="R62" s="10"/>
      <c r="S62" s="10"/>
    </row>
    <row r="63" spans="5:19" ht="2.85" customHeight="1" x14ac:dyDescent="0.25">
      <c r="E63" s="377"/>
      <c r="F63" s="222"/>
      <c r="G63" s="332"/>
      <c r="H63" s="220"/>
      <c r="I63" s="220"/>
      <c r="J63" s="220"/>
      <c r="K63" s="220"/>
      <c r="L63" s="220"/>
      <c r="M63" s="378"/>
      <c r="R63" s="10"/>
      <c r="S63" s="10"/>
    </row>
    <row r="64" spans="5:19" ht="17.25" customHeight="1" x14ac:dyDescent="0.25">
      <c r="E64" s="377"/>
      <c r="F64" s="224" t="s">
        <v>2613</v>
      </c>
      <c r="G64" s="332"/>
      <c r="H64" s="543" t="s">
        <v>2614</v>
      </c>
      <c r="I64" s="544"/>
      <c r="J64" s="544"/>
      <c r="K64" s="544"/>
      <c r="L64" s="545"/>
      <c r="M64" s="378"/>
      <c r="R64" s="10"/>
      <c r="S64" s="10"/>
    </row>
    <row r="65" spans="5:19" ht="2.85" customHeight="1" x14ac:dyDescent="0.25">
      <c r="E65" s="377"/>
      <c r="F65" s="222"/>
      <c r="G65" s="332"/>
      <c r="H65" s="220"/>
      <c r="I65" s="220"/>
      <c r="J65" s="220"/>
      <c r="K65" s="220"/>
      <c r="L65" s="220"/>
      <c r="M65" s="378"/>
      <c r="R65" s="10"/>
      <c r="S65" s="10"/>
    </row>
    <row r="66" spans="5:19" ht="30" x14ac:dyDescent="0.25">
      <c r="E66" s="377"/>
      <c r="F66" s="224" t="s">
        <v>2615</v>
      </c>
      <c r="G66" s="332"/>
      <c r="H66" s="232" t="s">
        <v>2616</v>
      </c>
      <c r="I66" s="220"/>
      <c r="J66" s="380" t="s">
        <v>2617</v>
      </c>
      <c r="K66" s="343"/>
      <c r="L66" s="233">
        <f>VLOOKUP($B$3,Tabla1[#All],11,FALSE)</f>
        <v>975000</v>
      </c>
      <c r="M66" s="378"/>
      <c r="R66" s="10"/>
      <c r="S66" s="10"/>
    </row>
    <row r="67" spans="5:19" ht="2.25" customHeight="1" x14ac:dyDescent="0.25">
      <c r="E67" s="377"/>
      <c r="F67" s="222"/>
      <c r="G67" s="332"/>
      <c r="H67" s="220"/>
      <c r="I67" s="220"/>
      <c r="J67" s="344"/>
      <c r="K67" s="344"/>
      <c r="L67" s="344"/>
      <c r="M67" s="378"/>
      <c r="R67" s="10"/>
      <c r="S67" s="10"/>
    </row>
    <row r="68" spans="5:19" ht="15" customHeight="1" x14ac:dyDescent="0.25">
      <c r="E68" s="377"/>
      <c r="F68" s="224" t="s">
        <v>2504</v>
      </c>
      <c r="G68" s="332"/>
      <c r="H68" s="232" t="str">
        <f>VLOOKUP($C$3,Tabla2[#All],11,FALSE)</f>
        <v>Quincenal</v>
      </c>
      <c r="I68" s="220"/>
      <c r="J68" s="317" t="s">
        <v>2505</v>
      </c>
      <c r="K68" s="222"/>
      <c r="L68" s="234" t="str">
        <f>VLOOKUP($B$3,Tabla1[#All],17,FALSE)</f>
        <v>Transferencia Bancaria</v>
      </c>
      <c r="M68" s="378"/>
      <c r="R68" s="10"/>
      <c r="S68" s="10"/>
    </row>
    <row r="69" spans="5:19" ht="2.85" customHeight="1" x14ac:dyDescent="0.25">
      <c r="E69" s="377"/>
      <c r="F69" s="222"/>
      <c r="G69" s="332"/>
      <c r="H69" s="220"/>
      <c r="I69" s="220"/>
      <c r="J69" s="220"/>
      <c r="K69" s="220"/>
      <c r="L69" s="220"/>
      <c r="M69" s="378"/>
      <c r="R69" s="10"/>
      <c r="S69" s="10"/>
    </row>
    <row r="70" spans="5:19" x14ac:dyDescent="0.25">
      <c r="E70" s="377"/>
      <c r="F70" s="224" t="s">
        <v>2506</v>
      </c>
      <c r="G70" s="332"/>
      <c r="H70" s="543" t="s">
        <v>2507</v>
      </c>
      <c r="I70" s="544"/>
      <c r="J70" s="544"/>
      <c r="K70" s="544"/>
      <c r="L70" s="545"/>
      <c r="M70" s="378"/>
      <c r="N70" s="10"/>
      <c r="O70" s="10"/>
      <c r="P70" s="10"/>
      <c r="Q70" s="10"/>
      <c r="R70" s="10"/>
      <c r="S70" s="10"/>
    </row>
    <row r="71" spans="5:19" ht="15.75" customHeight="1" x14ac:dyDescent="0.25">
      <c r="E71" s="377"/>
      <c r="F71" s="345"/>
      <c r="G71" s="345"/>
      <c r="H71" s="345"/>
      <c r="I71" s="345"/>
      <c r="J71" s="345"/>
      <c r="K71" s="345"/>
      <c r="L71" s="345"/>
      <c r="M71" s="378"/>
      <c r="N71" s="10"/>
      <c r="O71" s="10"/>
      <c r="P71" s="10"/>
      <c r="Q71" s="10"/>
      <c r="R71" s="10"/>
      <c r="S71" s="10"/>
    </row>
    <row r="72" spans="5:19" ht="36.75" customHeight="1" x14ac:dyDescent="0.25">
      <c r="E72" s="377"/>
      <c r="F72" s="542" t="s">
        <v>2618</v>
      </c>
      <c r="G72" s="542"/>
      <c r="H72" s="542"/>
      <c r="I72" s="542"/>
      <c r="J72" s="542"/>
      <c r="K72" s="542"/>
      <c r="L72" s="542"/>
      <c r="M72" s="378"/>
      <c r="N72" s="10"/>
      <c r="O72" s="10"/>
      <c r="P72" s="10"/>
      <c r="Q72" s="10"/>
      <c r="R72" s="10"/>
      <c r="S72" s="10"/>
    </row>
    <row r="73" spans="5:19" ht="8.25" customHeight="1" x14ac:dyDescent="0.25">
      <c r="E73" s="377"/>
      <c r="F73" s="217"/>
      <c r="G73" s="217"/>
      <c r="H73" s="217"/>
      <c r="I73" s="217"/>
      <c r="J73" s="217"/>
      <c r="K73" s="217"/>
      <c r="L73" s="217"/>
      <c r="M73" s="378"/>
      <c r="N73" s="10"/>
      <c r="O73" s="10"/>
      <c r="P73" s="10"/>
      <c r="Q73" s="10"/>
      <c r="R73" s="10"/>
      <c r="S73" s="10"/>
    </row>
    <row r="74" spans="5:19" ht="17.25" customHeight="1" x14ac:dyDescent="0.25">
      <c r="E74" s="377"/>
      <c r="F74" s="595" t="s">
        <v>2536</v>
      </c>
      <c r="G74" s="595"/>
      <c r="H74" s="595"/>
      <c r="I74" s="595"/>
      <c r="J74" s="595"/>
      <c r="K74" s="595"/>
      <c r="L74" s="595"/>
      <c r="M74" s="378"/>
      <c r="N74" s="10"/>
      <c r="O74" s="10"/>
      <c r="P74" s="10"/>
      <c r="Q74" s="10"/>
      <c r="R74" s="10"/>
      <c r="S74" s="10"/>
    </row>
    <row r="75" spans="5:19" ht="13.5" customHeight="1" x14ac:dyDescent="0.25">
      <c r="E75" s="377"/>
      <c r="F75" s="542"/>
      <c r="G75" s="542"/>
      <c r="H75" s="542"/>
      <c r="I75" s="542"/>
      <c r="J75" s="542"/>
      <c r="K75" s="542"/>
      <c r="L75" s="542"/>
      <c r="M75" s="378"/>
      <c r="N75" s="10"/>
      <c r="O75" s="10"/>
      <c r="P75" s="10"/>
      <c r="Q75" s="10"/>
      <c r="R75" s="10"/>
      <c r="S75" s="10"/>
    </row>
    <row r="76" spans="5:19" s="395" customFormat="1" ht="53.25" customHeight="1" x14ac:dyDescent="0.25">
      <c r="E76" s="409"/>
      <c r="F76" s="588" t="s">
        <v>2922</v>
      </c>
      <c r="G76" s="542"/>
      <c r="H76" s="542"/>
      <c r="I76" s="542"/>
      <c r="J76" s="542"/>
      <c r="K76" s="542"/>
      <c r="L76" s="542"/>
      <c r="M76" s="410"/>
    </row>
    <row r="77" spans="5:19" ht="10.5" customHeight="1" x14ac:dyDescent="0.25">
      <c r="E77" s="377"/>
      <c r="F77" s="542"/>
      <c r="G77" s="542"/>
      <c r="H77" s="542"/>
      <c r="I77" s="542"/>
      <c r="J77" s="542"/>
      <c r="K77" s="542"/>
      <c r="L77" s="542"/>
      <c r="M77" s="378"/>
      <c r="N77" s="10"/>
      <c r="O77" s="10"/>
      <c r="P77" s="10"/>
      <c r="Q77" s="10"/>
      <c r="R77" s="10"/>
      <c r="S77" s="10"/>
    </row>
    <row r="78" spans="5:19" ht="36" customHeight="1" x14ac:dyDescent="0.25">
      <c r="E78" s="377"/>
      <c r="F78" s="542" t="s">
        <v>2619</v>
      </c>
      <c r="G78" s="542"/>
      <c r="H78" s="542"/>
      <c r="I78" s="542"/>
      <c r="J78" s="542"/>
      <c r="K78" s="542"/>
      <c r="L78" s="542"/>
      <c r="M78" s="378"/>
      <c r="N78" s="10"/>
      <c r="O78" s="10"/>
      <c r="P78" s="10"/>
      <c r="Q78" s="10"/>
      <c r="R78" s="10"/>
      <c r="S78" s="10"/>
    </row>
    <row r="79" spans="5:19" ht="9.75" customHeight="1" x14ac:dyDescent="0.25">
      <c r="E79" s="377"/>
      <c r="F79" s="217"/>
      <c r="G79" s="217"/>
      <c r="H79" s="217"/>
      <c r="I79" s="217"/>
      <c r="J79" s="217"/>
      <c r="K79" s="217"/>
      <c r="L79" s="217"/>
      <c r="M79" s="378"/>
      <c r="N79" s="10"/>
      <c r="O79" s="10"/>
      <c r="P79" s="10"/>
      <c r="Q79" s="10"/>
      <c r="R79" s="10"/>
      <c r="S79" s="10"/>
    </row>
    <row r="80" spans="5:19" ht="11.25" customHeight="1" x14ac:dyDescent="0.25">
      <c r="E80" s="377"/>
      <c r="F80" s="217"/>
      <c r="G80" s="217"/>
      <c r="H80" s="217"/>
      <c r="I80" s="217"/>
      <c r="J80" s="217"/>
      <c r="K80" s="217"/>
      <c r="L80" s="217"/>
      <c r="M80" s="378"/>
      <c r="N80" s="10"/>
      <c r="O80" s="10"/>
      <c r="P80" s="10"/>
      <c r="Q80" s="10"/>
      <c r="R80" s="10"/>
      <c r="S80" s="10"/>
    </row>
    <row r="81" spans="5:19" ht="13.5" customHeight="1" x14ac:dyDescent="0.25">
      <c r="E81" s="377"/>
      <c r="F81" s="217"/>
      <c r="G81" s="217"/>
      <c r="H81" s="217"/>
      <c r="I81" s="217"/>
      <c r="J81" s="217"/>
      <c r="K81" s="217"/>
      <c r="L81" s="217"/>
      <c r="M81" s="378"/>
      <c r="N81" s="10"/>
      <c r="O81" s="10"/>
      <c r="P81" s="10"/>
      <c r="Q81" s="10"/>
      <c r="R81" s="10"/>
      <c r="S81" s="10"/>
    </row>
    <row r="82" spans="5:19" ht="17.25" customHeight="1" x14ac:dyDescent="0.25">
      <c r="E82" s="412"/>
      <c r="F82" s="596"/>
      <c r="G82" s="596"/>
      <c r="H82" s="596"/>
      <c r="I82" s="596"/>
      <c r="J82" s="596"/>
      <c r="K82" s="596"/>
      <c r="L82" s="596"/>
      <c r="M82" s="413"/>
      <c r="N82" s="10"/>
      <c r="O82" s="10"/>
      <c r="P82" s="10"/>
      <c r="Q82" s="10"/>
      <c r="R82" s="10"/>
      <c r="S82" s="10"/>
    </row>
    <row r="83" spans="5:19" ht="17.25" customHeight="1" x14ac:dyDescent="0.25">
      <c r="E83" s="412"/>
      <c r="F83" s="596" t="s">
        <v>2620</v>
      </c>
      <c r="G83" s="596"/>
      <c r="H83" s="596"/>
      <c r="I83" s="596"/>
      <c r="J83" s="596"/>
      <c r="K83" s="596"/>
      <c r="L83" s="596"/>
      <c r="M83" s="413"/>
      <c r="N83" s="10"/>
      <c r="O83" s="10"/>
      <c r="P83" s="10"/>
      <c r="Q83" s="10"/>
      <c r="R83" s="10"/>
      <c r="S83" s="10"/>
    </row>
    <row r="84" spans="5:19" ht="9.75" customHeight="1" x14ac:dyDescent="0.25">
      <c r="E84" s="412"/>
      <c r="F84" s="217"/>
      <c r="G84" s="217"/>
      <c r="H84" s="217"/>
      <c r="I84" s="217"/>
      <c r="J84" s="217"/>
      <c r="K84" s="217"/>
      <c r="L84" s="217"/>
      <c r="M84" s="413"/>
      <c r="N84" s="10"/>
      <c r="O84" s="10"/>
      <c r="P84" s="10"/>
      <c r="Q84" s="10"/>
      <c r="R84" s="10"/>
      <c r="S84" s="10"/>
    </row>
    <row r="85" spans="5:19" ht="17.25" customHeight="1" x14ac:dyDescent="0.25">
      <c r="E85" s="412"/>
      <c r="F85" s="542" t="s">
        <v>2621</v>
      </c>
      <c r="G85" s="542"/>
      <c r="H85" s="542"/>
      <c r="I85" s="542"/>
      <c r="J85" s="542"/>
      <c r="K85" s="542"/>
      <c r="L85" s="542"/>
      <c r="M85" s="413"/>
      <c r="N85" s="10"/>
      <c r="O85" s="10"/>
      <c r="P85" s="10"/>
      <c r="Q85" s="10"/>
      <c r="R85" s="10"/>
      <c r="S85" s="10"/>
    </row>
    <row r="86" spans="5:19" ht="13.5" customHeight="1" x14ac:dyDescent="0.25">
      <c r="E86" s="412"/>
      <c r="G86" s="217"/>
      <c r="H86" s="217"/>
      <c r="I86" s="217"/>
      <c r="J86" s="217"/>
      <c r="K86" s="217"/>
      <c r="L86" s="217"/>
      <c r="M86" s="413"/>
      <c r="N86" s="10"/>
      <c r="O86" s="10"/>
      <c r="P86" s="10"/>
      <c r="Q86" s="10"/>
      <c r="R86" s="10"/>
      <c r="S86" s="10"/>
    </row>
    <row r="87" spans="5:19" ht="27.75" customHeight="1" x14ac:dyDescent="0.25">
      <c r="E87" s="412"/>
      <c r="F87" s="542" t="s">
        <v>2622</v>
      </c>
      <c r="G87" s="542"/>
      <c r="H87" s="542"/>
      <c r="I87" s="542"/>
      <c r="J87" s="542"/>
      <c r="K87" s="542"/>
      <c r="L87" s="542"/>
      <c r="M87" s="413"/>
      <c r="N87" s="10"/>
      <c r="O87" s="10"/>
      <c r="P87" s="10"/>
      <c r="Q87" s="10"/>
      <c r="R87" s="10"/>
      <c r="S87" s="10"/>
    </row>
    <row r="88" spans="5:19" ht="12" customHeight="1" x14ac:dyDescent="0.25">
      <c r="E88" s="412"/>
      <c r="F88" s="542"/>
      <c r="G88" s="542"/>
      <c r="H88" s="542"/>
      <c r="I88" s="542"/>
      <c r="J88" s="542"/>
      <c r="K88" s="542"/>
      <c r="L88" s="542"/>
      <c r="M88" s="413"/>
      <c r="N88" s="10"/>
      <c r="O88" s="10"/>
      <c r="P88" s="10"/>
      <c r="Q88" s="10"/>
      <c r="R88" s="10"/>
      <c r="S88" s="10"/>
    </row>
    <row r="89" spans="5:19" ht="27.75" customHeight="1" x14ac:dyDescent="0.25">
      <c r="E89" s="412"/>
      <c r="F89" s="588" t="s">
        <v>2923</v>
      </c>
      <c r="G89" s="542"/>
      <c r="H89" s="542"/>
      <c r="I89" s="542"/>
      <c r="J89" s="542"/>
      <c r="K89" s="542"/>
      <c r="L89" s="542"/>
      <c r="M89" s="413"/>
      <c r="N89" s="10"/>
      <c r="O89" s="10"/>
      <c r="P89" s="10"/>
      <c r="Q89" s="10"/>
      <c r="R89" s="10"/>
      <c r="S89" s="10"/>
    </row>
    <row r="90" spans="5:19" ht="9" customHeight="1" x14ac:dyDescent="0.25">
      <c r="E90" s="412"/>
      <c r="F90" s="542"/>
      <c r="G90" s="542"/>
      <c r="H90" s="542"/>
      <c r="I90" s="542"/>
      <c r="J90" s="542"/>
      <c r="K90" s="542"/>
      <c r="L90" s="542"/>
      <c r="M90" s="413"/>
      <c r="N90" s="10"/>
      <c r="O90" s="10"/>
      <c r="P90" s="10"/>
      <c r="Q90" s="10"/>
      <c r="R90" s="10"/>
      <c r="S90" s="10"/>
    </row>
    <row r="91" spans="5:19" ht="26.25" customHeight="1" x14ac:dyDescent="0.25">
      <c r="E91" s="412"/>
      <c r="F91" s="542" t="s">
        <v>2623</v>
      </c>
      <c r="G91" s="542"/>
      <c r="H91" s="542"/>
      <c r="I91" s="542"/>
      <c r="J91" s="542"/>
      <c r="K91" s="542"/>
      <c r="L91" s="542"/>
      <c r="M91" s="413"/>
      <c r="N91" s="10"/>
      <c r="O91" s="10"/>
      <c r="P91" s="10"/>
      <c r="Q91" s="10"/>
      <c r="R91" s="10"/>
      <c r="S91" s="10"/>
    </row>
    <row r="92" spans="5:19" ht="9.75" customHeight="1" x14ac:dyDescent="0.25">
      <c r="E92" s="412"/>
      <c r="F92" s="542"/>
      <c r="G92" s="542"/>
      <c r="H92" s="542"/>
      <c r="I92" s="542"/>
      <c r="J92" s="542"/>
      <c r="K92" s="542"/>
      <c r="L92" s="542"/>
      <c r="M92" s="413"/>
      <c r="N92" s="10"/>
      <c r="O92" s="10"/>
      <c r="P92" s="10"/>
      <c r="Q92" s="10"/>
      <c r="R92" s="10"/>
      <c r="S92" s="10"/>
    </row>
    <row r="93" spans="5:19" ht="97.5" customHeight="1" x14ac:dyDescent="0.25">
      <c r="E93" s="412"/>
      <c r="F93" s="542" t="s">
        <v>2624</v>
      </c>
      <c r="G93" s="542"/>
      <c r="H93" s="542"/>
      <c r="I93" s="542"/>
      <c r="J93" s="542"/>
      <c r="K93" s="542"/>
      <c r="L93" s="542"/>
      <c r="M93" s="413"/>
      <c r="N93" s="10"/>
      <c r="O93" s="10"/>
      <c r="P93" s="10"/>
      <c r="Q93" s="10"/>
      <c r="R93" s="10"/>
      <c r="S93" s="10"/>
    </row>
    <row r="94" spans="5:19" ht="8.25" customHeight="1" x14ac:dyDescent="0.25">
      <c r="E94" s="412"/>
      <c r="F94" s="217"/>
      <c r="G94" s="217"/>
      <c r="H94" s="217"/>
      <c r="I94" s="217"/>
      <c r="J94" s="217"/>
      <c r="K94" s="217"/>
      <c r="L94" s="217"/>
      <c r="M94" s="413"/>
      <c r="N94" s="10"/>
      <c r="O94" s="10"/>
      <c r="P94" s="10"/>
      <c r="Q94" s="10"/>
      <c r="R94" s="10"/>
      <c r="S94" s="10"/>
    </row>
    <row r="95" spans="5:19" ht="27.75" customHeight="1" x14ac:dyDescent="0.25">
      <c r="E95" s="412"/>
      <c r="F95" s="588" t="s">
        <v>2625</v>
      </c>
      <c r="G95" s="542"/>
      <c r="H95" s="542"/>
      <c r="I95" s="542"/>
      <c r="J95" s="542"/>
      <c r="K95" s="542"/>
      <c r="L95" s="542"/>
      <c r="M95" s="413"/>
      <c r="N95" s="10"/>
      <c r="O95" s="10"/>
      <c r="P95" s="10"/>
      <c r="Q95" s="10"/>
      <c r="R95" s="10"/>
      <c r="S95" s="10"/>
    </row>
    <row r="96" spans="5:19" ht="9.75" customHeight="1" x14ac:dyDescent="0.25">
      <c r="E96" s="412"/>
      <c r="F96" s="542"/>
      <c r="G96" s="542"/>
      <c r="H96" s="542"/>
      <c r="I96" s="542"/>
      <c r="J96" s="542"/>
      <c r="K96" s="542"/>
      <c r="L96" s="542"/>
      <c r="M96" s="413"/>
      <c r="N96" s="10"/>
      <c r="O96" s="10"/>
      <c r="P96" s="10"/>
      <c r="Q96" s="10"/>
      <c r="R96" s="10"/>
      <c r="S96" s="10"/>
    </row>
    <row r="97" spans="1:16384" ht="17.25" customHeight="1" x14ac:dyDescent="0.25">
      <c r="E97" s="412"/>
      <c r="F97" s="542" t="s">
        <v>2626</v>
      </c>
      <c r="G97" s="542"/>
      <c r="H97" s="542"/>
      <c r="I97" s="542"/>
      <c r="J97" s="542"/>
      <c r="K97" s="542"/>
      <c r="L97" s="542"/>
      <c r="M97" s="413"/>
      <c r="N97" s="10"/>
      <c r="O97" s="10"/>
      <c r="P97" s="10"/>
      <c r="Q97" s="10"/>
      <c r="R97" s="10"/>
      <c r="S97" s="10"/>
    </row>
    <row r="98" spans="1:16384" ht="9.75" customHeight="1" x14ac:dyDescent="0.25">
      <c r="E98" s="412"/>
      <c r="F98" s="542"/>
      <c r="G98" s="542"/>
      <c r="H98" s="542"/>
      <c r="I98" s="542"/>
      <c r="J98" s="542"/>
      <c r="K98" s="542"/>
      <c r="L98" s="542"/>
      <c r="M98" s="413"/>
      <c r="N98" s="10"/>
      <c r="O98" s="10"/>
      <c r="P98" s="10"/>
      <c r="Q98" s="10"/>
      <c r="R98" s="10"/>
      <c r="S98" s="10"/>
    </row>
    <row r="99" spans="1:16384" ht="45" customHeight="1" x14ac:dyDescent="0.25">
      <c r="E99" s="412"/>
      <c r="F99" s="588" t="s">
        <v>2627</v>
      </c>
      <c r="G99" s="542"/>
      <c r="H99" s="542"/>
      <c r="I99" s="542"/>
      <c r="J99" s="542"/>
      <c r="K99" s="542"/>
      <c r="L99" s="542"/>
      <c r="M99" s="413"/>
      <c r="N99" s="10"/>
      <c r="O99" s="10"/>
      <c r="P99" s="10"/>
      <c r="Q99" s="10"/>
      <c r="R99" s="10"/>
      <c r="S99" s="10"/>
    </row>
    <row r="100" spans="1:16384" ht="9" customHeight="1" x14ac:dyDescent="0.25">
      <c r="E100" s="412"/>
      <c r="F100" s="542"/>
      <c r="G100" s="542"/>
      <c r="H100" s="542"/>
      <c r="I100" s="542"/>
      <c r="J100" s="542"/>
      <c r="K100" s="542"/>
      <c r="L100" s="542"/>
      <c r="M100" s="413"/>
      <c r="N100" s="10"/>
      <c r="O100" s="10"/>
      <c r="P100" s="10"/>
      <c r="Q100" s="10"/>
      <c r="R100" s="10"/>
      <c r="S100" s="10"/>
    </row>
    <row r="101" spans="1:16384" ht="29.25" customHeight="1" x14ac:dyDescent="0.25">
      <c r="E101" s="412"/>
      <c r="F101" s="588" t="s">
        <v>2628</v>
      </c>
      <c r="G101" s="542"/>
      <c r="H101" s="542"/>
      <c r="I101" s="542"/>
      <c r="J101" s="542"/>
      <c r="K101" s="542"/>
      <c r="L101" s="542"/>
      <c r="M101" s="413"/>
      <c r="N101" s="10"/>
      <c r="O101" s="10"/>
      <c r="P101" s="10"/>
      <c r="Q101" s="10"/>
      <c r="R101" s="10"/>
      <c r="S101" s="10"/>
    </row>
    <row r="102" spans="1:16384" ht="17.25" customHeight="1" x14ac:dyDescent="0.25">
      <c r="E102" s="412"/>
      <c r="F102" s="542"/>
      <c r="G102" s="542"/>
      <c r="H102" s="542"/>
      <c r="I102" s="542"/>
      <c r="J102" s="542"/>
      <c r="K102" s="542"/>
      <c r="L102" s="542"/>
      <c r="M102" s="413"/>
      <c r="N102" s="10"/>
      <c r="O102" s="10"/>
      <c r="P102" s="10"/>
      <c r="Q102" s="10"/>
      <c r="R102" s="10"/>
      <c r="S102" s="10"/>
    </row>
    <row r="103" spans="1:16384" ht="17.25" customHeight="1" x14ac:dyDescent="0.25">
      <c r="E103" s="412"/>
      <c r="F103" s="588" t="s">
        <v>2629</v>
      </c>
      <c r="G103" s="542"/>
      <c r="H103" s="542"/>
      <c r="I103" s="542"/>
      <c r="J103" s="542"/>
      <c r="K103" s="542"/>
      <c r="L103" s="542"/>
      <c r="M103" s="413"/>
      <c r="N103" s="10"/>
      <c r="O103" s="10"/>
      <c r="P103" s="10"/>
      <c r="Q103" s="10"/>
      <c r="R103" s="10"/>
      <c r="S103" s="10"/>
    </row>
    <row r="104" spans="1:16384" ht="17.25" customHeight="1" x14ac:dyDescent="0.25">
      <c r="E104" s="412"/>
      <c r="F104" s="542"/>
      <c r="G104" s="542"/>
      <c r="H104" s="542"/>
      <c r="I104" s="542"/>
      <c r="J104" s="542"/>
      <c r="K104" s="542"/>
      <c r="L104" s="542"/>
      <c r="M104" s="413"/>
      <c r="N104" s="10"/>
      <c r="O104" s="10"/>
      <c r="P104" s="10"/>
      <c r="Q104" s="10"/>
      <c r="R104" s="10"/>
      <c r="S104" s="10"/>
    </row>
    <row r="105" spans="1:16384" ht="59.25" customHeight="1" x14ac:dyDescent="0.25">
      <c r="E105" s="412"/>
      <c r="F105" s="588" t="s">
        <v>2924</v>
      </c>
      <c r="G105" s="542"/>
      <c r="H105" s="542"/>
      <c r="I105" s="542"/>
      <c r="J105" s="542"/>
      <c r="K105" s="542"/>
      <c r="L105" s="542"/>
      <c r="M105" s="413"/>
      <c r="N105" s="10"/>
      <c r="O105" s="10"/>
      <c r="P105" s="10"/>
      <c r="Q105" s="10"/>
      <c r="R105" s="10"/>
      <c r="S105" s="10"/>
    </row>
    <row r="106" spans="1:16384" ht="9.75" customHeight="1" x14ac:dyDescent="0.25">
      <c r="A106" s="396"/>
      <c r="B106" s="396"/>
      <c r="C106" s="396"/>
      <c r="D106" s="396"/>
      <c r="E106" s="414"/>
      <c r="F106" s="589"/>
      <c r="G106" s="589"/>
      <c r="H106" s="589"/>
      <c r="I106" s="589"/>
      <c r="J106" s="589"/>
      <c r="K106" s="589"/>
      <c r="L106" s="589"/>
      <c r="M106" s="416"/>
      <c r="N106" s="397"/>
      <c r="O106" s="10"/>
      <c r="P106" s="10"/>
      <c r="Q106" s="10"/>
      <c r="R106" s="10"/>
      <c r="S106" s="10"/>
    </row>
    <row r="107" spans="1:16384" ht="42.75" customHeight="1" x14ac:dyDescent="0.25">
      <c r="A107" s="396"/>
      <c r="B107" s="396"/>
      <c r="C107" s="396"/>
      <c r="D107" s="396"/>
      <c r="E107" s="414"/>
      <c r="F107" s="588" t="s">
        <v>2630</v>
      </c>
      <c r="G107" s="589"/>
      <c r="H107" s="589"/>
      <c r="I107" s="589"/>
      <c r="J107" s="589"/>
      <c r="K107" s="589"/>
      <c r="L107" s="589"/>
      <c r="M107" s="416"/>
      <c r="N107" s="397"/>
      <c r="O107" s="10"/>
      <c r="P107" s="10"/>
      <c r="Q107" s="10"/>
      <c r="R107" s="10"/>
      <c r="S107" s="10"/>
    </row>
    <row r="108" spans="1:16384" ht="9.75" customHeight="1" x14ac:dyDescent="0.25">
      <c r="A108" s="396"/>
      <c r="B108" s="396"/>
      <c r="C108" s="396"/>
      <c r="D108" s="396"/>
      <c r="E108" s="414"/>
      <c r="F108" s="589"/>
      <c r="G108" s="589"/>
      <c r="H108" s="589"/>
      <c r="I108" s="589"/>
      <c r="J108" s="589"/>
      <c r="K108" s="589"/>
      <c r="L108" s="589"/>
      <c r="M108" s="416"/>
      <c r="N108" s="397"/>
      <c r="O108" s="10"/>
      <c r="P108" s="10"/>
      <c r="Q108" s="10"/>
      <c r="R108" s="10"/>
      <c r="S108" s="10"/>
    </row>
    <row r="109" spans="1:16384" ht="30" customHeight="1" x14ac:dyDescent="0.25">
      <c r="A109" s="396"/>
      <c r="B109" s="396"/>
      <c r="C109" s="396"/>
      <c r="D109" s="396"/>
      <c r="E109" s="414"/>
      <c r="F109" s="589" t="s">
        <v>2631</v>
      </c>
      <c r="G109" s="589"/>
      <c r="H109" s="589"/>
      <c r="I109" s="589"/>
      <c r="J109" s="589"/>
      <c r="K109" s="589"/>
      <c r="L109" s="589"/>
      <c r="M109" s="416"/>
      <c r="N109" s="397"/>
      <c r="O109" s="10"/>
      <c r="P109" s="10"/>
      <c r="Q109" s="10"/>
      <c r="R109" s="10"/>
      <c r="S109" s="10"/>
    </row>
    <row r="110" spans="1:16384" ht="9.75" customHeight="1" x14ac:dyDescent="0.25">
      <c r="A110" s="396"/>
      <c r="B110" s="396"/>
      <c r="C110" s="396"/>
      <c r="D110" s="396"/>
      <c r="E110" s="414"/>
      <c r="F110" s="589"/>
      <c r="G110" s="589"/>
      <c r="H110" s="589"/>
      <c r="I110" s="589"/>
      <c r="J110" s="589"/>
      <c r="K110" s="589"/>
      <c r="L110" s="589"/>
      <c r="M110" s="416"/>
      <c r="N110" s="397"/>
      <c r="O110" s="10"/>
      <c r="P110" s="10"/>
      <c r="Q110" s="10"/>
      <c r="R110" s="10"/>
      <c r="S110" s="10"/>
    </row>
    <row r="111" spans="1:16384" ht="27.75" customHeight="1" x14ac:dyDescent="0.25">
      <c r="A111" s="396"/>
      <c r="B111" s="396"/>
      <c r="C111" s="396"/>
      <c r="D111" s="396"/>
      <c r="E111" s="414"/>
      <c r="F111" s="589" t="s">
        <v>2632</v>
      </c>
      <c r="G111" s="589"/>
      <c r="H111" s="589"/>
      <c r="I111" s="589"/>
      <c r="J111" s="589"/>
      <c r="K111" s="589"/>
      <c r="L111" s="589"/>
      <c r="M111" s="416"/>
      <c r="N111" s="397"/>
      <c r="O111" s="10"/>
      <c r="P111" s="10"/>
      <c r="Q111" s="10"/>
      <c r="R111" s="10"/>
      <c r="S111" s="10"/>
    </row>
    <row r="112" spans="1:16384" ht="9" customHeight="1" x14ac:dyDescent="0.25">
      <c r="A112" s="411"/>
      <c r="B112" s="411"/>
      <c r="C112" s="411"/>
      <c r="D112" s="411"/>
      <c r="E112" s="417"/>
      <c r="F112" s="411"/>
      <c r="G112" s="411"/>
      <c r="H112" s="411"/>
      <c r="I112" s="411"/>
      <c r="J112" s="411"/>
      <c r="K112" s="411"/>
      <c r="L112" s="411"/>
      <c r="M112" s="418"/>
      <c r="N112" s="411"/>
      <c r="O112" s="222"/>
      <c r="P112" s="222"/>
      <c r="Q112" s="222"/>
      <c r="R112" s="222"/>
      <c r="S112" s="222"/>
      <c r="T112" s="222"/>
      <c r="U112" s="222"/>
      <c r="V112" s="542"/>
      <c r="W112" s="542"/>
      <c r="X112" s="542"/>
      <c r="Y112" s="542"/>
      <c r="Z112" s="542"/>
      <c r="AA112" s="542"/>
      <c r="AB112" s="542"/>
      <c r="AC112" s="542"/>
      <c r="AD112" s="542"/>
      <c r="AE112" s="542"/>
      <c r="AF112" s="542"/>
      <c r="AG112" s="542"/>
      <c r="AH112" s="542"/>
      <c r="AI112" s="542"/>
      <c r="AJ112" s="542"/>
      <c r="AK112" s="542"/>
      <c r="AL112" s="542"/>
      <c r="AM112" s="542"/>
      <c r="AN112" s="542"/>
      <c r="AO112" s="542"/>
      <c r="AP112" s="542"/>
      <c r="AQ112" s="542"/>
      <c r="AR112" s="542"/>
      <c r="AS112" s="542"/>
      <c r="AT112" s="542"/>
      <c r="AU112" s="542"/>
      <c r="AV112" s="542"/>
      <c r="AW112" s="542"/>
      <c r="AX112" s="542"/>
      <c r="AY112" s="542"/>
      <c r="AZ112" s="542"/>
      <c r="BA112" s="542"/>
      <c r="BB112" s="542"/>
      <c r="BC112" s="542"/>
      <c r="BD112" s="542"/>
      <c r="BE112" s="542"/>
      <c r="BF112" s="542"/>
      <c r="BG112" s="542"/>
      <c r="BH112" s="542"/>
      <c r="BI112" s="542"/>
      <c r="BJ112" s="542"/>
      <c r="BK112" s="542"/>
      <c r="BL112" s="542"/>
      <c r="BM112" s="542"/>
      <c r="BN112" s="542"/>
      <c r="BO112" s="542"/>
      <c r="BP112" s="542"/>
      <c r="BQ112" s="542"/>
      <c r="BR112" s="542"/>
      <c r="BS112" s="542"/>
      <c r="BT112" s="542"/>
      <c r="BU112" s="542"/>
      <c r="BV112" s="542"/>
      <c r="BW112" s="542"/>
      <c r="BX112" s="542"/>
      <c r="BY112" s="542"/>
      <c r="BZ112" s="542"/>
      <c r="CA112" s="542"/>
      <c r="CB112" s="542"/>
      <c r="CC112" s="542"/>
      <c r="CD112" s="542"/>
      <c r="CE112" s="542"/>
      <c r="CF112" s="542"/>
      <c r="CG112" s="542"/>
      <c r="CH112" s="542"/>
      <c r="CI112" s="542"/>
      <c r="CJ112" s="542"/>
      <c r="CK112" s="542"/>
      <c r="CL112" s="542"/>
      <c r="CM112" s="542"/>
      <c r="CN112" s="542"/>
      <c r="CO112" s="542"/>
      <c r="CP112" s="542"/>
      <c r="CQ112" s="542"/>
      <c r="CR112" s="542"/>
      <c r="CS112" s="542"/>
      <c r="CT112" s="542"/>
      <c r="CU112" s="542"/>
      <c r="CV112" s="542"/>
      <c r="CW112" s="542"/>
      <c r="CX112" s="542"/>
      <c r="CY112" s="542"/>
      <c r="CZ112" s="542"/>
      <c r="DA112" s="542"/>
      <c r="DB112" s="542"/>
      <c r="DC112" s="542"/>
      <c r="DD112" s="542"/>
      <c r="DE112" s="542"/>
      <c r="DF112" s="542"/>
      <c r="DG112" s="542"/>
      <c r="DH112" s="542"/>
      <c r="DI112" s="542"/>
      <c r="DJ112" s="542"/>
      <c r="DK112" s="542"/>
      <c r="DL112" s="542"/>
      <c r="DM112" s="542"/>
      <c r="DN112" s="542"/>
      <c r="DO112" s="542"/>
      <c r="DP112" s="542"/>
      <c r="DQ112" s="542"/>
      <c r="DR112" s="542"/>
      <c r="DS112" s="542"/>
      <c r="DT112" s="542"/>
      <c r="DU112" s="542"/>
      <c r="DV112" s="542"/>
      <c r="DW112" s="542"/>
      <c r="DX112" s="542"/>
      <c r="DY112" s="542"/>
      <c r="DZ112" s="542"/>
      <c r="EA112" s="542"/>
      <c r="EB112" s="542"/>
      <c r="EC112" s="542"/>
      <c r="ED112" s="542"/>
      <c r="EE112" s="542"/>
      <c r="EF112" s="542"/>
      <c r="EG112" s="542"/>
      <c r="EH112" s="542"/>
      <c r="EI112" s="542"/>
      <c r="EJ112" s="542"/>
      <c r="EK112" s="542"/>
      <c r="EL112" s="542"/>
      <c r="EM112" s="542"/>
      <c r="EN112" s="542"/>
      <c r="EO112" s="542"/>
      <c r="EP112" s="542"/>
      <c r="EQ112" s="542"/>
      <c r="ER112" s="542"/>
      <c r="ES112" s="542"/>
      <c r="ET112" s="542"/>
      <c r="EU112" s="542"/>
      <c r="EV112" s="542"/>
      <c r="EW112" s="542"/>
      <c r="EX112" s="542"/>
      <c r="EY112" s="542"/>
      <c r="EZ112" s="542"/>
      <c r="FA112" s="542"/>
      <c r="FB112" s="542"/>
      <c r="FC112" s="542"/>
      <c r="FD112" s="542"/>
      <c r="FE112" s="542"/>
      <c r="FF112" s="542"/>
      <c r="FG112" s="542"/>
      <c r="FH112" s="542"/>
      <c r="FI112" s="542"/>
      <c r="FJ112" s="542"/>
      <c r="FK112" s="542"/>
      <c r="FL112" s="542"/>
      <c r="FM112" s="542"/>
      <c r="FN112" s="542"/>
      <c r="FO112" s="542"/>
      <c r="FP112" s="542"/>
      <c r="FQ112" s="542"/>
      <c r="FR112" s="542"/>
      <c r="FS112" s="542"/>
      <c r="FT112" s="542"/>
      <c r="FU112" s="542"/>
      <c r="FV112" s="542"/>
      <c r="FW112" s="542"/>
      <c r="FX112" s="542"/>
      <c r="FY112" s="542"/>
      <c r="FZ112" s="542"/>
      <c r="GA112" s="542"/>
      <c r="GB112" s="542"/>
      <c r="GC112" s="542"/>
      <c r="GD112" s="542"/>
      <c r="GE112" s="542"/>
      <c r="GF112" s="542"/>
      <c r="GG112" s="542"/>
      <c r="GH112" s="542"/>
      <c r="GI112" s="542"/>
      <c r="GJ112" s="542"/>
      <c r="GK112" s="542"/>
      <c r="GL112" s="542"/>
      <c r="GM112" s="542"/>
      <c r="GN112" s="542"/>
      <c r="GO112" s="542"/>
      <c r="GP112" s="542"/>
      <c r="GQ112" s="542"/>
      <c r="GR112" s="542"/>
      <c r="GS112" s="542"/>
      <c r="GT112" s="542"/>
      <c r="GU112" s="542"/>
      <c r="GV112" s="542"/>
      <c r="GW112" s="542"/>
      <c r="GX112" s="542"/>
      <c r="GY112" s="542"/>
      <c r="GZ112" s="542"/>
      <c r="HA112" s="542"/>
      <c r="HB112" s="542"/>
      <c r="HC112" s="542"/>
      <c r="HD112" s="542"/>
      <c r="HE112" s="542"/>
      <c r="HF112" s="542"/>
      <c r="HG112" s="542"/>
      <c r="HH112" s="542"/>
      <c r="HI112" s="542"/>
      <c r="HJ112" s="542"/>
      <c r="HK112" s="542"/>
      <c r="HL112" s="542"/>
      <c r="HM112" s="542"/>
      <c r="HN112" s="542"/>
      <c r="HO112" s="542"/>
      <c r="HP112" s="542"/>
      <c r="HQ112" s="542"/>
      <c r="HR112" s="542"/>
      <c r="HS112" s="542"/>
      <c r="HT112" s="542"/>
      <c r="HU112" s="542"/>
      <c r="HV112" s="542"/>
      <c r="HW112" s="542"/>
      <c r="HX112" s="542"/>
      <c r="HY112" s="542"/>
      <c r="HZ112" s="542"/>
      <c r="IA112" s="542"/>
      <c r="IB112" s="542"/>
      <c r="IC112" s="542"/>
      <c r="ID112" s="542"/>
      <c r="IE112" s="542"/>
      <c r="IF112" s="542"/>
      <c r="IG112" s="542"/>
      <c r="IH112" s="542"/>
      <c r="II112" s="542"/>
      <c r="IJ112" s="542"/>
      <c r="IK112" s="542"/>
      <c r="IL112" s="542"/>
      <c r="IM112" s="542"/>
      <c r="IN112" s="542"/>
      <c r="IO112" s="542"/>
      <c r="IP112" s="542"/>
      <c r="IQ112" s="542"/>
      <c r="IR112" s="542"/>
      <c r="IS112" s="542"/>
      <c r="IT112" s="542"/>
      <c r="IU112" s="542"/>
      <c r="IV112" s="542"/>
      <c r="IW112" s="542"/>
      <c r="IX112" s="542"/>
      <c r="IY112" s="542"/>
      <c r="IZ112" s="542"/>
      <c r="JA112" s="542"/>
      <c r="JB112" s="542"/>
      <c r="JC112" s="542"/>
      <c r="JD112" s="542"/>
      <c r="JE112" s="542"/>
      <c r="JF112" s="542"/>
      <c r="JG112" s="542"/>
      <c r="JH112" s="542"/>
      <c r="JI112" s="542"/>
      <c r="JJ112" s="542"/>
      <c r="JK112" s="542"/>
      <c r="JL112" s="542"/>
      <c r="JM112" s="542"/>
      <c r="JN112" s="542"/>
      <c r="JO112" s="542"/>
      <c r="JP112" s="542"/>
      <c r="JQ112" s="542"/>
      <c r="JR112" s="542"/>
      <c r="JS112" s="542"/>
      <c r="JT112" s="542"/>
      <c r="JU112" s="542"/>
      <c r="JV112" s="542"/>
      <c r="JW112" s="542"/>
      <c r="JX112" s="542"/>
      <c r="JY112" s="542"/>
      <c r="JZ112" s="542"/>
      <c r="KA112" s="542"/>
      <c r="KB112" s="542"/>
      <c r="KC112" s="542"/>
      <c r="KD112" s="542"/>
      <c r="KE112" s="542"/>
      <c r="KF112" s="542"/>
      <c r="KG112" s="542"/>
      <c r="KH112" s="542"/>
      <c r="KI112" s="542"/>
      <c r="KJ112" s="542"/>
      <c r="KK112" s="542"/>
      <c r="KL112" s="542"/>
      <c r="KM112" s="542"/>
      <c r="KN112" s="542"/>
      <c r="KO112" s="542"/>
      <c r="KP112" s="542"/>
      <c r="KQ112" s="542"/>
      <c r="KR112" s="542"/>
      <c r="KS112" s="542"/>
      <c r="KT112" s="542"/>
      <c r="KU112" s="542"/>
      <c r="KV112" s="542"/>
      <c r="KW112" s="542"/>
      <c r="KX112" s="542"/>
      <c r="KY112" s="542"/>
      <c r="KZ112" s="542"/>
      <c r="LA112" s="542"/>
      <c r="LB112" s="542"/>
      <c r="LC112" s="542"/>
      <c r="LD112" s="542"/>
      <c r="LE112" s="542"/>
      <c r="LF112" s="542"/>
      <c r="LG112" s="542"/>
      <c r="LH112" s="542"/>
      <c r="LI112" s="542"/>
      <c r="LJ112" s="542"/>
      <c r="LK112" s="542"/>
      <c r="LL112" s="542"/>
      <c r="LM112" s="542"/>
      <c r="LN112" s="542"/>
      <c r="LO112" s="542"/>
      <c r="LP112" s="542"/>
      <c r="LQ112" s="542"/>
      <c r="LR112" s="542"/>
      <c r="LS112" s="542"/>
      <c r="LT112" s="542"/>
      <c r="LU112" s="542"/>
      <c r="LV112" s="542"/>
      <c r="LW112" s="542"/>
      <c r="LX112" s="542"/>
      <c r="LY112" s="542"/>
      <c r="LZ112" s="542"/>
      <c r="MA112" s="542"/>
      <c r="MB112" s="542"/>
      <c r="MC112" s="542"/>
      <c r="MD112" s="542"/>
      <c r="ME112" s="542"/>
      <c r="MF112" s="542"/>
      <c r="MG112" s="542"/>
      <c r="MH112" s="542"/>
      <c r="MI112" s="542"/>
      <c r="MJ112" s="542"/>
      <c r="MK112" s="542"/>
      <c r="ML112" s="542"/>
      <c r="MM112" s="542"/>
      <c r="MN112" s="542"/>
      <c r="MO112" s="542"/>
      <c r="MP112" s="542"/>
      <c r="MQ112" s="542"/>
      <c r="MR112" s="542"/>
      <c r="MS112" s="542"/>
      <c r="MT112" s="542"/>
      <c r="MU112" s="542"/>
      <c r="MV112" s="542"/>
      <c r="MW112" s="542"/>
      <c r="MX112" s="542"/>
      <c r="MY112" s="542"/>
      <c r="MZ112" s="542"/>
      <c r="NA112" s="542"/>
      <c r="NB112" s="542"/>
      <c r="NC112" s="542"/>
      <c r="ND112" s="542"/>
      <c r="NE112" s="542"/>
      <c r="NF112" s="542"/>
      <c r="NG112" s="542"/>
      <c r="NH112" s="542"/>
      <c r="NI112" s="542"/>
      <c r="NJ112" s="542"/>
      <c r="NK112" s="542"/>
      <c r="NL112" s="542"/>
      <c r="NM112" s="542"/>
      <c r="NN112" s="542"/>
      <c r="NO112" s="542"/>
      <c r="NP112" s="542"/>
      <c r="NQ112" s="542"/>
      <c r="NR112" s="542"/>
      <c r="NS112" s="542"/>
      <c r="NT112" s="542"/>
      <c r="NU112" s="542"/>
      <c r="NV112" s="542"/>
      <c r="NW112" s="542"/>
      <c r="NX112" s="542"/>
      <c r="NY112" s="542"/>
      <c r="NZ112" s="542"/>
      <c r="OA112" s="542"/>
      <c r="OB112" s="542"/>
      <c r="OC112" s="542"/>
      <c r="OD112" s="542"/>
      <c r="OE112" s="542"/>
      <c r="OF112" s="542"/>
      <c r="OG112" s="542"/>
      <c r="OH112" s="542"/>
      <c r="OI112" s="542"/>
      <c r="OJ112" s="542"/>
      <c r="OK112" s="542"/>
      <c r="OL112" s="542"/>
      <c r="OM112" s="542"/>
      <c r="ON112" s="542"/>
      <c r="OO112" s="542"/>
      <c r="OP112" s="542"/>
      <c r="OQ112" s="542"/>
      <c r="OR112" s="542"/>
      <c r="OS112" s="542"/>
      <c r="OT112" s="542"/>
      <c r="OU112" s="542"/>
      <c r="OV112" s="542"/>
      <c r="OW112" s="542"/>
      <c r="OX112" s="542"/>
      <c r="OY112" s="542"/>
      <c r="OZ112" s="542"/>
      <c r="PA112" s="542"/>
      <c r="PB112" s="542"/>
      <c r="PC112" s="542"/>
      <c r="PD112" s="542"/>
      <c r="PE112" s="542"/>
      <c r="PF112" s="542"/>
      <c r="PG112" s="542"/>
      <c r="PH112" s="542"/>
      <c r="PI112" s="542"/>
      <c r="PJ112" s="542"/>
      <c r="PK112" s="542"/>
      <c r="PL112" s="542"/>
      <c r="PM112" s="542"/>
      <c r="PN112" s="542"/>
      <c r="PO112" s="542"/>
      <c r="PP112" s="542"/>
      <c r="PQ112" s="542"/>
      <c r="PR112" s="542"/>
      <c r="PS112" s="542"/>
      <c r="PT112" s="542"/>
      <c r="PU112" s="542"/>
      <c r="PV112" s="542"/>
      <c r="PW112" s="542"/>
      <c r="PX112" s="542"/>
      <c r="PY112" s="542"/>
      <c r="PZ112" s="542"/>
      <c r="QA112" s="542"/>
      <c r="QB112" s="542"/>
      <c r="QC112" s="542"/>
      <c r="QD112" s="542"/>
      <c r="QE112" s="542"/>
      <c r="QF112" s="542"/>
      <c r="QG112" s="542"/>
      <c r="QH112" s="542"/>
      <c r="QI112" s="542"/>
      <c r="QJ112" s="542"/>
      <c r="QK112" s="542"/>
      <c r="QL112" s="542"/>
      <c r="QM112" s="542"/>
      <c r="QN112" s="542"/>
      <c r="QO112" s="542"/>
      <c r="QP112" s="542"/>
      <c r="QQ112" s="542"/>
      <c r="QR112" s="542"/>
      <c r="QS112" s="542"/>
      <c r="QT112" s="542"/>
      <c r="QU112" s="542"/>
      <c r="QV112" s="542"/>
      <c r="QW112" s="542"/>
      <c r="QX112" s="542"/>
      <c r="QY112" s="542"/>
      <c r="QZ112" s="542"/>
      <c r="RA112" s="542"/>
      <c r="RB112" s="542"/>
      <c r="RC112" s="542"/>
      <c r="RD112" s="542"/>
      <c r="RE112" s="542"/>
      <c r="RF112" s="542"/>
      <c r="RG112" s="542"/>
      <c r="RH112" s="542"/>
      <c r="RI112" s="542"/>
      <c r="RJ112" s="542"/>
      <c r="RK112" s="542"/>
      <c r="RL112" s="542"/>
      <c r="RM112" s="542"/>
      <c r="RN112" s="542"/>
      <c r="RO112" s="542"/>
      <c r="RP112" s="542"/>
      <c r="RQ112" s="542"/>
      <c r="RR112" s="542"/>
      <c r="RS112" s="542"/>
      <c r="RT112" s="542"/>
      <c r="RU112" s="542"/>
      <c r="RV112" s="542"/>
      <c r="RW112" s="542"/>
      <c r="RX112" s="542"/>
      <c r="RY112" s="542"/>
      <c r="RZ112" s="542"/>
      <c r="SA112" s="542"/>
      <c r="SB112" s="542"/>
      <c r="SC112" s="542"/>
      <c r="SD112" s="542"/>
      <c r="SE112" s="542"/>
      <c r="SF112" s="542"/>
      <c r="SG112" s="542"/>
      <c r="SH112" s="542"/>
      <c r="SI112" s="542"/>
      <c r="SJ112" s="542"/>
      <c r="SK112" s="542"/>
      <c r="SL112" s="542"/>
      <c r="SM112" s="542"/>
      <c r="SN112" s="542"/>
      <c r="SO112" s="542"/>
      <c r="SP112" s="542"/>
      <c r="SQ112" s="542"/>
      <c r="SR112" s="542"/>
      <c r="SS112" s="542"/>
      <c r="ST112" s="542"/>
      <c r="SU112" s="542"/>
      <c r="SV112" s="542"/>
      <c r="SW112" s="542"/>
      <c r="SX112" s="542"/>
      <c r="SY112" s="542"/>
      <c r="SZ112" s="542"/>
      <c r="TA112" s="542"/>
      <c r="TB112" s="542"/>
      <c r="TC112" s="542"/>
      <c r="TD112" s="542"/>
      <c r="TE112" s="542"/>
      <c r="TF112" s="542"/>
      <c r="TG112" s="542"/>
      <c r="TH112" s="542"/>
      <c r="TI112" s="542"/>
      <c r="TJ112" s="542"/>
      <c r="TK112" s="542"/>
      <c r="TL112" s="542"/>
      <c r="TM112" s="542"/>
      <c r="TN112" s="542"/>
      <c r="TO112" s="542"/>
      <c r="TP112" s="542"/>
      <c r="TQ112" s="542"/>
      <c r="TR112" s="542"/>
      <c r="TS112" s="542"/>
      <c r="TT112" s="542"/>
      <c r="TU112" s="542"/>
      <c r="TV112" s="542"/>
      <c r="TW112" s="542"/>
      <c r="TX112" s="542"/>
      <c r="TY112" s="542"/>
      <c r="TZ112" s="542"/>
      <c r="UA112" s="542"/>
      <c r="UB112" s="542"/>
      <c r="UC112" s="542"/>
      <c r="UD112" s="542"/>
      <c r="UE112" s="542"/>
      <c r="UF112" s="542"/>
      <c r="UG112" s="542"/>
      <c r="UH112" s="542"/>
      <c r="UI112" s="542"/>
      <c r="UJ112" s="542"/>
      <c r="UK112" s="542"/>
      <c r="UL112" s="542"/>
      <c r="UM112" s="542"/>
      <c r="UN112" s="542"/>
      <c r="UO112" s="542"/>
      <c r="UP112" s="542"/>
      <c r="UQ112" s="542"/>
      <c r="UR112" s="542"/>
      <c r="US112" s="542"/>
      <c r="UT112" s="542"/>
      <c r="UU112" s="542"/>
      <c r="UV112" s="542"/>
      <c r="UW112" s="542"/>
      <c r="UX112" s="542"/>
      <c r="UY112" s="542"/>
      <c r="UZ112" s="542"/>
      <c r="VA112" s="542"/>
      <c r="VB112" s="542"/>
      <c r="VC112" s="542"/>
      <c r="VD112" s="542"/>
      <c r="VE112" s="542"/>
      <c r="VF112" s="542"/>
      <c r="VG112" s="542"/>
      <c r="VH112" s="542"/>
      <c r="VI112" s="542"/>
      <c r="VJ112" s="542"/>
      <c r="VK112" s="542"/>
      <c r="VL112" s="542"/>
      <c r="VM112" s="542"/>
      <c r="VN112" s="542"/>
      <c r="VO112" s="542"/>
      <c r="VP112" s="542"/>
      <c r="VQ112" s="542"/>
      <c r="VR112" s="542"/>
      <c r="VS112" s="542"/>
      <c r="VT112" s="542"/>
      <c r="VU112" s="542"/>
      <c r="VV112" s="542"/>
      <c r="VW112" s="542"/>
      <c r="VX112" s="542"/>
      <c r="VY112" s="542"/>
      <c r="VZ112" s="542"/>
      <c r="WA112" s="542"/>
      <c r="WB112" s="542"/>
      <c r="WC112" s="542"/>
      <c r="WD112" s="542"/>
      <c r="WE112" s="542"/>
      <c r="WF112" s="542"/>
      <c r="WG112" s="542"/>
      <c r="WH112" s="542"/>
      <c r="WI112" s="542"/>
      <c r="WJ112" s="542"/>
      <c r="WK112" s="542"/>
      <c r="WL112" s="542"/>
      <c r="WM112" s="542"/>
      <c r="WN112" s="542"/>
      <c r="WO112" s="542"/>
      <c r="WP112" s="542"/>
      <c r="WQ112" s="542"/>
      <c r="WR112" s="542"/>
      <c r="WS112" s="542"/>
      <c r="WT112" s="542"/>
      <c r="WU112" s="542"/>
      <c r="WV112" s="542"/>
      <c r="WW112" s="542"/>
      <c r="WX112" s="542"/>
      <c r="WY112" s="542"/>
      <c r="WZ112" s="542"/>
      <c r="XA112" s="542"/>
      <c r="XB112" s="542"/>
      <c r="XC112" s="542"/>
      <c r="XD112" s="542"/>
      <c r="XE112" s="542"/>
      <c r="XF112" s="542"/>
      <c r="XG112" s="542"/>
      <c r="XH112" s="542"/>
      <c r="XI112" s="542"/>
      <c r="XJ112" s="542"/>
      <c r="XK112" s="542"/>
      <c r="XL112" s="542"/>
      <c r="XM112" s="542"/>
      <c r="XN112" s="542"/>
      <c r="XO112" s="542"/>
      <c r="XP112" s="542"/>
      <c r="XQ112" s="542"/>
      <c r="XR112" s="542"/>
      <c r="XS112" s="542"/>
      <c r="XT112" s="542"/>
      <c r="XU112" s="542"/>
      <c r="XV112" s="542"/>
      <c r="XW112" s="542"/>
      <c r="XX112" s="542"/>
      <c r="XY112" s="542"/>
      <c r="XZ112" s="542"/>
      <c r="YA112" s="542"/>
      <c r="YB112" s="542"/>
      <c r="YC112" s="542"/>
      <c r="YD112" s="542"/>
      <c r="YE112" s="542"/>
      <c r="YF112" s="542"/>
      <c r="YG112" s="542"/>
      <c r="YH112" s="542"/>
      <c r="YI112" s="542"/>
      <c r="YJ112" s="542"/>
      <c r="YK112" s="542"/>
      <c r="YL112" s="542"/>
      <c r="YM112" s="542"/>
      <c r="YN112" s="542"/>
      <c r="YO112" s="542"/>
      <c r="YP112" s="542"/>
      <c r="YQ112" s="542"/>
      <c r="YR112" s="542"/>
      <c r="YS112" s="542"/>
      <c r="YT112" s="542"/>
      <c r="YU112" s="542"/>
      <c r="YV112" s="542"/>
      <c r="YW112" s="542"/>
      <c r="YX112" s="542"/>
      <c r="YY112" s="542"/>
      <c r="YZ112" s="542"/>
      <c r="ZA112" s="542"/>
      <c r="ZB112" s="542"/>
      <c r="ZC112" s="542"/>
      <c r="ZD112" s="542"/>
      <c r="ZE112" s="542"/>
      <c r="ZF112" s="542"/>
      <c r="ZG112" s="542"/>
      <c r="ZH112" s="542"/>
      <c r="ZI112" s="542"/>
      <c r="ZJ112" s="542"/>
      <c r="ZK112" s="542"/>
      <c r="ZL112" s="542"/>
      <c r="ZM112" s="542"/>
      <c r="ZN112" s="542"/>
      <c r="ZO112" s="542"/>
      <c r="ZP112" s="542"/>
      <c r="ZQ112" s="542"/>
      <c r="ZR112" s="542"/>
      <c r="ZS112" s="542"/>
      <c r="ZT112" s="542"/>
      <c r="ZU112" s="542"/>
      <c r="ZV112" s="542"/>
      <c r="ZW112" s="542"/>
      <c r="ZX112" s="542"/>
      <c r="ZY112" s="542"/>
      <c r="ZZ112" s="542"/>
      <c r="AAA112" s="542"/>
      <c r="AAB112" s="542"/>
      <c r="AAC112" s="542"/>
      <c r="AAD112" s="542"/>
      <c r="AAE112" s="542"/>
      <c r="AAF112" s="542"/>
      <c r="AAG112" s="542"/>
      <c r="AAH112" s="542"/>
      <c r="AAI112" s="542"/>
      <c r="AAJ112" s="542"/>
      <c r="AAK112" s="542"/>
      <c r="AAL112" s="542"/>
      <c r="AAM112" s="542"/>
      <c r="AAN112" s="542"/>
      <c r="AAO112" s="542"/>
      <c r="AAP112" s="542"/>
      <c r="AAQ112" s="542"/>
      <c r="AAR112" s="542"/>
      <c r="AAS112" s="542"/>
      <c r="AAT112" s="542"/>
      <c r="AAU112" s="542"/>
      <c r="AAV112" s="542"/>
      <c r="AAW112" s="542"/>
      <c r="AAX112" s="542"/>
      <c r="AAY112" s="542"/>
      <c r="AAZ112" s="542"/>
      <c r="ABA112" s="542"/>
      <c r="ABB112" s="542"/>
      <c r="ABC112" s="542"/>
      <c r="ABD112" s="542"/>
      <c r="ABE112" s="542"/>
      <c r="ABF112" s="542"/>
      <c r="ABG112" s="542"/>
      <c r="ABH112" s="542"/>
      <c r="ABI112" s="542"/>
      <c r="ABJ112" s="542"/>
      <c r="ABK112" s="542"/>
      <c r="ABL112" s="542"/>
      <c r="ABM112" s="542"/>
      <c r="ABN112" s="542"/>
      <c r="ABO112" s="542"/>
      <c r="ABP112" s="542"/>
      <c r="ABQ112" s="542"/>
      <c r="ABR112" s="542"/>
      <c r="ABS112" s="542"/>
      <c r="ABT112" s="542"/>
      <c r="ABU112" s="542"/>
      <c r="ABV112" s="542"/>
      <c r="ABW112" s="542"/>
      <c r="ABX112" s="542"/>
      <c r="ABY112" s="542"/>
      <c r="ABZ112" s="542"/>
      <c r="ACA112" s="542"/>
      <c r="ACB112" s="542"/>
      <c r="ACC112" s="542"/>
      <c r="ACD112" s="542"/>
      <c r="ACE112" s="542"/>
      <c r="ACF112" s="542"/>
      <c r="ACG112" s="542"/>
      <c r="ACH112" s="542"/>
      <c r="ACI112" s="542"/>
      <c r="ACJ112" s="542"/>
      <c r="ACK112" s="542"/>
      <c r="ACL112" s="542"/>
      <c r="ACM112" s="542"/>
      <c r="ACN112" s="542"/>
      <c r="ACO112" s="542"/>
      <c r="ACP112" s="542"/>
      <c r="ACQ112" s="542"/>
      <c r="ACR112" s="542"/>
      <c r="ACS112" s="542"/>
      <c r="ACT112" s="542"/>
      <c r="ACU112" s="542"/>
      <c r="ACV112" s="542"/>
      <c r="ACW112" s="542"/>
      <c r="ACX112" s="542"/>
      <c r="ACY112" s="542"/>
      <c r="ACZ112" s="542"/>
      <c r="ADA112" s="542"/>
      <c r="ADB112" s="542"/>
      <c r="ADC112" s="542"/>
      <c r="ADD112" s="542"/>
      <c r="ADE112" s="542"/>
      <c r="ADF112" s="542"/>
      <c r="ADG112" s="542"/>
      <c r="ADH112" s="542"/>
      <c r="ADI112" s="542"/>
      <c r="ADJ112" s="542"/>
      <c r="ADK112" s="542"/>
      <c r="ADL112" s="542"/>
      <c r="ADM112" s="542"/>
      <c r="ADN112" s="542"/>
      <c r="ADO112" s="542"/>
      <c r="ADP112" s="542"/>
      <c r="ADQ112" s="542"/>
      <c r="ADR112" s="542"/>
      <c r="ADS112" s="542"/>
      <c r="ADT112" s="542"/>
      <c r="ADU112" s="542"/>
      <c r="ADV112" s="542"/>
      <c r="ADW112" s="542"/>
      <c r="ADX112" s="542"/>
      <c r="ADY112" s="542"/>
      <c r="ADZ112" s="542"/>
      <c r="AEA112" s="542"/>
      <c r="AEB112" s="542"/>
      <c r="AEC112" s="542"/>
      <c r="AED112" s="542"/>
      <c r="AEE112" s="542"/>
      <c r="AEF112" s="542"/>
      <c r="AEG112" s="542"/>
      <c r="AEH112" s="542"/>
      <c r="AEI112" s="542"/>
      <c r="AEJ112" s="542"/>
      <c r="AEK112" s="542"/>
      <c r="AEL112" s="542"/>
      <c r="AEM112" s="542"/>
      <c r="AEN112" s="542"/>
      <c r="AEO112" s="542"/>
      <c r="AEP112" s="542"/>
      <c r="AEQ112" s="542"/>
      <c r="AER112" s="542"/>
      <c r="AES112" s="542"/>
      <c r="AET112" s="542"/>
      <c r="AEU112" s="542"/>
      <c r="AEV112" s="542"/>
      <c r="AEW112" s="542"/>
      <c r="AEX112" s="542"/>
      <c r="AEY112" s="542"/>
      <c r="AEZ112" s="542"/>
      <c r="AFA112" s="542"/>
      <c r="AFB112" s="542"/>
      <c r="AFC112" s="542"/>
      <c r="AFD112" s="542"/>
      <c r="AFE112" s="542"/>
      <c r="AFF112" s="542"/>
      <c r="AFG112" s="542"/>
      <c r="AFH112" s="542"/>
      <c r="AFI112" s="542"/>
      <c r="AFJ112" s="542"/>
      <c r="AFK112" s="542"/>
      <c r="AFL112" s="542"/>
      <c r="AFM112" s="542"/>
      <c r="AFN112" s="542"/>
      <c r="AFO112" s="542"/>
      <c r="AFP112" s="542"/>
      <c r="AFQ112" s="542"/>
      <c r="AFR112" s="542"/>
      <c r="AFS112" s="542"/>
      <c r="AFT112" s="542"/>
      <c r="AFU112" s="542"/>
      <c r="AFV112" s="542"/>
      <c r="AFW112" s="542"/>
      <c r="AFX112" s="542"/>
      <c r="AFY112" s="542"/>
      <c r="AFZ112" s="542"/>
      <c r="AGA112" s="542"/>
      <c r="AGB112" s="542"/>
      <c r="AGC112" s="542"/>
      <c r="AGD112" s="542"/>
      <c r="AGE112" s="542"/>
      <c r="AGF112" s="542"/>
      <c r="AGG112" s="542"/>
      <c r="AGH112" s="542"/>
      <c r="AGI112" s="542"/>
      <c r="AGJ112" s="542"/>
      <c r="AGK112" s="542"/>
      <c r="AGL112" s="542"/>
      <c r="AGM112" s="542"/>
      <c r="AGN112" s="542"/>
      <c r="AGO112" s="542"/>
      <c r="AGP112" s="542"/>
      <c r="AGQ112" s="542"/>
      <c r="AGR112" s="542"/>
      <c r="AGS112" s="542"/>
      <c r="AGT112" s="542"/>
      <c r="AGU112" s="542"/>
      <c r="AGV112" s="542"/>
      <c r="AGW112" s="542"/>
      <c r="AGX112" s="542"/>
      <c r="AGY112" s="542"/>
      <c r="AGZ112" s="542"/>
      <c r="AHA112" s="542"/>
      <c r="AHB112" s="542"/>
      <c r="AHC112" s="542"/>
      <c r="AHD112" s="542"/>
      <c r="AHE112" s="542"/>
      <c r="AHF112" s="542"/>
      <c r="AHG112" s="542"/>
      <c r="AHH112" s="542"/>
      <c r="AHI112" s="542"/>
      <c r="AHJ112" s="542"/>
      <c r="AHK112" s="542"/>
      <c r="AHL112" s="542"/>
      <c r="AHM112" s="542"/>
      <c r="AHN112" s="542"/>
      <c r="AHO112" s="542"/>
      <c r="AHP112" s="542"/>
      <c r="AHQ112" s="542"/>
      <c r="AHR112" s="542"/>
      <c r="AHS112" s="542"/>
      <c r="AHT112" s="542"/>
      <c r="AHU112" s="542"/>
      <c r="AHV112" s="542"/>
      <c r="AHW112" s="542"/>
      <c r="AHX112" s="542"/>
      <c r="AHY112" s="542"/>
      <c r="AHZ112" s="542"/>
      <c r="AIA112" s="542"/>
      <c r="AIB112" s="542"/>
      <c r="AIC112" s="542"/>
      <c r="AID112" s="542"/>
      <c r="AIE112" s="542"/>
      <c r="AIF112" s="542"/>
      <c r="AIG112" s="542"/>
      <c r="AIH112" s="542"/>
      <c r="AII112" s="542"/>
      <c r="AIJ112" s="542"/>
      <c r="AIK112" s="542"/>
      <c r="AIL112" s="542"/>
      <c r="AIM112" s="542"/>
      <c r="AIN112" s="542"/>
      <c r="AIO112" s="542"/>
      <c r="AIP112" s="542"/>
      <c r="AIQ112" s="542"/>
      <c r="AIR112" s="542"/>
      <c r="AIS112" s="542"/>
      <c r="AIT112" s="542"/>
      <c r="AIU112" s="542"/>
      <c r="AIV112" s="542"/>
      <c r="AIW112" s="542"/>
      <c r="AIX112" s="542"/>
      <c r="AIY112" s="542"/>
      <c r="AIZ112" s="542"/>
      <c r="AJA112" s="542"/>
      <c r="AJB112" s="542"/>
      <c r="AJC112" s="542"/>
      <c r="AJD112" s="542"/>
      <c r="AJE112" s="542"/>
      <c r="AJF112" s="542"/>
      <c r="AJG112" s="542"/>
      <c r="AJH112" s="542"/>
      <c r="AJI112" s="542"/>
      <c r="AJJ112" s="542"/>
      <c r="AJK112" s="542"/>
      <c r="AJL112" s="542"/>
      <c r="AJM112" s="542"/>
      <c r="AJN112" s="542"/>
      <c r="AJO112" s="542"/>
      <c r="AJP112" s="542"/>
      <c r="AJQ112" s="542"/>
      <c r="AJR112" s="542"/>
      <c r="AJS112" s="542"/>
      <c r="AJT112" s="542"/>
      <c r="AJU112" s="542"/>
      <c r="AJV112" s="542"/>
      <c r="AJW112" s="542"/>
      <c r="AJX112" s="542"/>
      <c r="AJY112" s="542"/>
      <c r="AJZ112" s="542"/>
      <c r="AKA112" s="542"/>
      <c r="AKB112" s="542"/>
      <c r="AKC112" s="542"/>
      <c r="AKD112" s="542"/>
      <c r="AKE112" s="542"/>
      <c r="AKF112" s="542"/>
      <c r="AKG112" s="542"/>
      <c r="AKH112" s="542"/>
      <c r="AKI112" s="542"/>
      <c r="AKJ112" s="542"/>
      <c r="AKK112" s="542"/>
      <c r="AKL112" s="542"/>
      <c r="AKM112" s="542"/>
      <c r="AKN112" s="542"/>
      <c r="AKO112" s="542"/>
      <c r="AKP112" s="542"/>
      <c r="AKQ112" s="542"/>
      <c r="AKR112" s="542"/>
      <c r="AKS112" s="542"/>
      <c r="AKT112" s="542"/>
      <c r="AKU112" s="542"/>
      <c r="AKV112" s="542"/>
      <c r="AKW112" s="542"/>
      <c r="AKX112" s="542"/>
      <c r="AKY112" s="542"/>
      <c r="AKZ112" s="542"/>
      <c r="ALA112" s="542"/>
      <c r="ALB112" s="542"/>
      <c r="ALC112" s="542"/>
      <c r="ALD112" s="542"/>
      <c r="ALE112" s="542"/>
      <c r="ALF112" s="542"/>
      <c r="ALG112" s="542"/>
      <c r="ALH112" s="542"/>
      <c r="ALI112" s="542"/>
      <c r="ALJ112" s="542"/>
      <c r="ALK112" s="542"/>
      <c r="ALL112" s="542"/>
      <c r="ALM112" s="542"/>
      <c r="ALN112" s="542"/>
      <c r="ALO112" s="542"/>
      <c r="ALP112" s="542"/>
      <c r="ALQ112" s="542"/>
      <c r="ALR112" s="542"/>
      <c r="ALS112" s="542"/>
      <c r="ALT112" s="542"/>
      <c r="ALU112" s="542"/>
      <c r="ALV112" s="542"/>
      <c r="ALW112" s="542"/>
      <c r="ALX112" s="542"/>
      <c r="ALY112" s="542"/>
      <c r="ALZ112" s="542"/>
      <c r="AMA112" s="542"/>
      <c r="AMB112" s="542"/>
      <c r="AMC112" s="542"/>
      <c r="AMD112" s="542"/>
      <c r="AME112" s="542"/>
      <c r="AMF112" s="542"/>
      <c r="AMG112" s="542"/>
      <c r="AMH112" s="542"/>
      <c r="AMI112" s="542"/>
      <c r="AMJ112" s="542"/>
      <c r="AMK112" s="542"/>
      <c r="AML112" s="542"/>
      <c r="AMM112" s="542"/>
      <c r="AMN112" s="542"/>
      <c r="AMO112" s="542"/>
      <c r="AMP112" s="542"/>
      <c r="AMQ112" s="542"/>
      <c r="AMR112" s="542"/>
      <c r="AMS112" s="542"/>
      <c r="AMT112" s="542"/>
      <c r="AMU112" s="542"/>
      <c r="AMV112" s="542"/>
      <c r="AMW112" s="542"/>
      <c r="AMX112" s="542"/>
      <c r="AMY112" s="542"/>
      <c r="AMZ112" s="542"/>
      <c r="ANA112" s="542"/>
      <c r="ANB112" s="542"/>
      <c r="ANC112" s="542"/>
      <c r="AND112" s="542"/>
      <c r="ANE112" s="542"/>
      <c r="ANF112" s="542"/>
      <c r="ANG112" s="542"/>
      <c r="ANH112" s="542"/>
      <c r="ANI112" s="542"/>
      <c r="ANJ112" s="542"/>
      <c r="ANK112" s="542"/>
      <c r="ANL112" s="542"/>
      <c r="ANM112" s="542"/>
      <c r="ANN112" s="542"/>
      <c r="ANO112" s="542"/>
      <c r="ANP112" s="542"/>
      <c r="ANQ112" s="542"/>
      <c r="ANR112" s="542"/>
      <c r="ANS112" s="542"/>
      <c r="ANT112" s="542"/>
      <c r="ANU112" s="542"/>
      <c r="ANV112" s="542"/>
      <c r="ANW112" s="542"/>
      <c r="ANX112" s="542"/>
      <c r="ANY112" s="542"/>
      <c r="ANZ112" s="542"/>
      <c r="AOA112" s="542"/>
      <c r="AOB112" s="542"/>
      <c r="AOC112" s="542"/>
      <c r="AOD112" s="542"/>
      <c r="AOE112" s="542"/>
      <c r="AOF112" s="542"/>
      <c r="AOG112" s="542"/>
      <c r="AOH112" s="542"/>
      <c r="AOI112" s="542"/>
      <c r="AOJ112" s="542"/>
      <c r="AOK112" s="542"/>
      <c r="AOL112" s="542"/>
      <c r="AOM112" s="542"/>
      <c r="AON112" s="542"/>
      <c r="AOO112" s="542"/>
      <c r="AOP112" s="542"/>
      <c r="AOQ112" s="542"/>
      <c r="AOR112" s="542"/>
      <c r="AOS112" s="542"/>
      <c r="AOT112" s="542"/>
      <c r="AOU112" s="542"/>
      <c r="AOV112" s="542"/>
      <c r="AOW112" s="542"/>
      <c r="AOX112" s="542"/>
      <c r="AOY112" s="542"/>
      <c r="AOZ112" s="542"/>
      <c r="APA112" s="542"/>
      <c r="APB112" s="542"/>
      <c r="APC112" s="542"/>
      <c r="APD112" s="542"/>
      <c r="APE112" s="542"/>
      <c r="APF112" s="542"/>
      <c r="APG112" s="542"/>
      <c r="APH112" s="542"/>
      <c r="API112" s="542"/>
      <c r="APJ112" s="542"/>
      <c r="APK112" s="542"/>
      <c r="APL112" s="542"/>
      <c r="APM112" s="542"/>
      <c r="APN112" s="542"/>
      <c r="APO112" s="542"/>
      <c r="APP112" s="542"/>
      <c r="APQ112" s="542"/>
      <c r="APR112" s="542"/>
      <c r="APS112" s="542"/>
      <c r="APT112" s="542"/>
      <c r="APU112" s="542"/>
      <c r="APV112" s="542"/>
      <c r="APW112" s="542"/>
      <c r="APX112" s="542"/>
      <c r="APY112" s="542"/>
      <c r="APZ112" s="542"/>
      <c r="AQA112" s="542"/>
      <c r="AQB112" s="542"/>
      <c r="AQC112" s="542"/>
      <c r="AQD112" s="542"/>
      <c r="AQE112" s="542"/>
      <c r="AQF112" s="542"/>
      <c r="AQG112" s="542"/>
      <c r="AQH112" s="542"/>
      <c r="AQI112" s="542"/>
      <c r="AQJ112" s="542"/>
      <c r="AQK112" s="542"/>
      <c r="AQL112" s="542"/>
      <c r="AQM112" s="542"/>
      <c r="AQN112" s="542"/>
      <c r="AQO112" s="542"/>
      <c r="AQP112" s="542"/>
      <c r="AQQ112" s="542"/>
      <c r="AQR112" s="542"/>
      <c r="AQS112" s="542"/>
      <c r="AQT112" s="542"/>
      <c r="AQU112" s="542"/>
      <c r="AQV112" s="542"/>
      <c r="AQW112" s="542"/>
      <c r="AQX112" s="542"/>
      <c r="AQY112" s="542"/>
      <c r="AQZ112" s="542"/>
      <c r="ARA112" s="542"/>
      <c r="ARB112" s="542"/>
      <c r="ARC112" s="542"/>
      <c r="ARD112" s="542"/>
      <c r="ARE112" s="542"/>
      <c r="ARF112" s="542"/>
      <c r="ARG112" s="542"/>
      <c r="ARH112" s="542"/>
      <c r="ARI112" s="542"/>
      <c r="ARJ112" s="542"/>
      <c r="ARK112" s="542"/>
      <c r="ARL112" s="542"/>
      <c r="ARM112" s="542"/>
      <c r="ARN112" s="542"/>
      <c r="ARO112" s="542"/>
      <c r="ARP112" s="542"/>
      <c r="ARQ112" s="542"/>
      <c r="ARR112" s="542"/>
      <c r="ARS112" s="542"/>
      <c r="ART112" s="542"/>
      <c r="ARU112" s="542"/>
      <c r="ARV112" s="542"/>
      <c r="ARW112" s="542"/>
      <c r="ARX112" s="542"/>
      <c r="ARY112" s="542"/>
      <c r="ARZ112" s="542"/>
      <c r="ASA112" s="542"/>
      <c r="ASB112" s="542"/>
      <c r="ASC112" s="542"/>
      <c r="ASD112" s="542"/>
      <c r="ASE112" s="542"/>
      <c r="ASF112" s="542"/>
      <c r="ASG112" s="542"/>
      <c r="ASH112" s="542"/>
      <c r="ASI112" s="542"/>
      <c r="ASJ112" s="542"/>
      <c r="ASK112" s="542"/>
      <c r="ASL112" s="542"/>
      <c r="ASM112" s="542"/>
      <c r="ASN112" s="542"/>
      <c r="ASO112" s="542"/>
      <c r="ASP112" s="542"/>
      <c r="ASQ112" s="542"/>
      <c r="ASR112" s="542"/>
      <c r="ASS112" s="542"/>
      <c r="AST112" s="542"/>
      <c r="ASU112" s="542"/>
      <c r="ASV112" s="542"/>
      <c r="ASW112" s="542"/>
      <c r="ASX112" s="542"/>
      <c r="ASY112" s="542"/>
      <c r="ASZ112" s="542"/>
      <c r="ATA112" s="542"/>
      <c r="ATB112" s="542"/>
      <c r="ATC112" s="542"/>
      <c r="ATD112" s="542"/>
      <c r="ATE112" s="542"/>
      <c r="ATF112" s="542"/>
      <c r="ATG112" s="542"/>
      <c r="ATH112" s="542"/>
      <c r="ATI112" s="542"/>
      <c r="ATJ112" s="542"/>
      <c r="ATK112" s="542"/>
      <c r="ATL112" s="542"/>
      <c r="ATM112" s="542"/>
      <c r="ATN112" s="542"/>
      <c r="ATO112" s="542"/>
      <c r="ATP112" s="542"/>
      <c r="ATQ112" s="542"/>
      <c r="ATR112" s="542"/>
      <c r="ATS112" s="542"/>
      <c r="ATT112" s="542"/>
      <c r="ATU112" s="542"/>
      <c r="ATV112" s="542"/>
      <c r="ATW112" s="542"/>
      <c r="ATX112" s="542"/>
      <c r="ATY112" s="542"/>
      <c r="ATZ112" s="542"/>
      <c r="AUA112" s="542"/>
      <c r="AUB112" s="542"/>
      <c r="AUC112" s="542"/>
      <c r="AUD112" s="542"/>
      <c r="AUE112" s="542"/>
      <c r="AUF112" s="542"/>
      <c r="AUG112" s="542"/>
      <c r="AUH112" s="542"/>
      <c r="AUI112" s="542"/>
      <c r="AUJ112" s="542"/>
      <c r="AUK112" s="542"/>
      <c r="AUL112" s="542"/>
      <c r="AUM112" s="542"/>
      <c r="AUN112" s="542"/>
      <c r="AUO112" s="542"/>
      <c r="AUP112" s="542"/>
      <c r="AUQ112" s="542"/>
      <c r="AUR112" s="542"/>
      <c r="AUS112" s="542"/>
      <c r="AUT112" s="542"/>
      <c r="AUU112" s="542"/>
      <c r="AUV112" s="542"/>
      <c r="AUW112" s="542"/>
      <c r="AUX112" s="542"/>
      <c r="AUY112" s="542"/>
      <c r="AUZ112" s="542"/>
      <c r="AVA112" s="542"/>
      <c r="AVB112" s="542"/>
      <c r="AVC112" s="542"/>
      <c r="AVD112" s="542"/>
      <c r="AVE112" s="542"/>
      <c r="AVF112" s="542"/>
      <c r="AVG112" s="542"/>
      <c r="AVH112" s="542"/>
      <c r="AVI112" s="542"/>
      <c r="AVJ112" s="542"/>
      <c r="AVK112" s="542"/>
      <c r="AVL112" s="542"/>
      <c r="AVM112" s="542"/>
      <c r="AVN112" s="542"/>
      <c r="AVO112" s="542"/>
      <c r="AVP112" s="542"/>
      <c r="AVQ112" s="542"/>
      <c r="AVR112" s="542"/>
      <c r="AVS112" s="542"/>
      <c r="AVT112" s="542"/>
      <c r="AVU112" s="542"/>
      <c r="AVV112" s="542"/>
      <c r="AVW112" s="542"/>
      <c r="AVX112" s="542"/>
      <c r="AVY112" s="542"/>
      <c r="AVZ112" s="542"/>
      <c r="AWA112" s="542"/>
      <c r="AWB112" s="542"/>
      <c r="AWC112" s="542"/>
      <c r="AWD112" s="542"/>
      <c r="AWE112" s="542"/>
      <c r="AWF112" s="542"/>
      <c r="AWG112" s="542"/>
      <c r="AWH112" s="542"/>
      <c r="AWI112" s="542"/>
      <c r="AWJ112" s="542"/>
      <c r="AWK112" s="542"/>
      <c r="AWL112" s="542"/>
      <c r="AWM112" s="542"/>
      <c r="AWN112" s="542"/>
      <c r="AWO112" s="542"/>
      <c r="AWP112" s="542"/>
      <c r="AWQ112" s="542"/>
      <c r="AWR112" s="542"/>
      <c r="AWS112" s="542"/>
      <c r="AWT112" s="542"/>
      <c r="AWU112" s="542"/>
      <c r="AWV112" s="542"/>
      <c r="AWW112" s="542"/>
      <c r="AWX112" s="542"/>
      <c r="AWY112" s="542"/>
      <c r="AWZ112" s="542"/>
      <c r="AXA112" s="542"/>
      <c r="AXB112" s="542"/>
      <c r="AXC112" s="542"/>
      <c r="AXD112" s="542"/>
      <c r="AXE112" s="542"/>
      <c r="AXF112" s="542"/>
      <c r="AXG112" s="542"/>
      <c r="AXH112" s="542"/>
      <c r="AXI112" s="542"/>
      <c r="AXJ112" s="542"/>
      <c r="AXK112" s="542"/>
      <c r="AXL112" s="542"/>
      <c r="AXM112" s="542"/>
      <c r="AXN112" s="542"/>
      <c r="AXO112" s="542"/>
      <c r="AXP112" s="542"/>
      <c r="AXQ112" s="542"/>
      <c r="AXR112" s="542"/>
      <c r="AXS112" s="542"/>
      <c r="AXT112" s="542"/>
      <c r="AXU112" s="542"/>
      <c r="AXV112" s="542"/>
      <c r="AXW112" s="542"/>
      <c r="AXX112" s="542"/>
      <c r="AXY112" s="542"/>
      <c r="AXZ112" s="542"/>
      <c r="AYA112" s="542"/>
      <c r="AYB112" s="542"/>
      <c r="AYC112" s="542"/>
      <c r="AYD112" s="542"/>
      <c r="AYE112" s="542"/>
      <c r="AYF112" s="542"/>
      <c r="AYG112" s="542"/>
      <c r="AYH112" s="542"/>
      <c r="AYI112" s="542"/>
      <c r="AYJ112" s="542"/>
      <c r="AYK112" s="542"/>
      <c r="AYL112" s="542"/>
      <c r="AYM112" s="542"/>
      <c r="AYN112" s="542"/>
      <c r="AYO112" s="542"/>
      <c r="AYP112" s="542"/>
      <c r="AYQ112" s="542"/>
      <c r="AYR112" s="542"/>
      <c r="AYS112" s="542"/>
      <c r="AYT112" s="542"/>
      <c r="AYU112" s="542"/>
      <c r="AYV112" s="542"/>
      <c r="AYW112" s="542"/>
      <c r="AYX112" s="542"/>
      <c r="AYY112" s="542"/>
      <c r="AYZ112" s="542"/>
      <c r="AZA112" s="542"/>
      <c r="AZB112" s="542"/>
      <c r="AZC112" s="542"/>
      <c r="AZD112" s="542"/>
      <c r="AZE112" s="542"/>
      <c r="AZF112" s="542"/>
      <c r="AZG112" s="542"/>
      <c r="AZH112" s="542"/>
      <c r="AZI112" s="542"/>
      <c r="AZJ112" s="542"/>
      <c r="AZK112" s="542"/>
      <c r="AZL112" s="542"/>
      <c r="AZM112" s="542"/>
      <c r="AZN112" s="542"/>
      <c r="AZO112" s="542"/>
      <c r="AZP112" s="542"/>
      <c r="AZQ112" s="542"/>
      <c r="AZR112" s="542"/>
      <c r="AZS112" s="542"/>
      <c r="AZT112" s="542"/>
      <c r="AZU112" s="542"/>
      <c r="AZV112" s="542"/>
      <c r="AZW112" s="542"/>
      <c r="AZX112" s="542"/>
      <c r="AZY112" s="542"/>
      <c r="AZZ112" s="542"/>
      <c r="BAA112" s="542"/>
      <c r="BAB112" s="542"/>
      <c r="BAC112" s="542"/>
      <c r="BAD112" s="542"/>
      <c r="BAE112" s="542"/>
      <c r="BAF112" s="542"/>
      <c r="BAG112" s="542"/>
      <c r="BAH112" s="542"/>
      <c r="BAI112" s="542"/>
      <c r="BAJ112" s="542"/>
      <c r="BAK112" s="542"/>
      <c r="BAL112" s="542"/>
      <c r="BAM112" s="542"/>
      <c r="BAN112" s="542"/>
      <c r="BAO112" s="542"/>
      <c r="BAP112" s="542"/>
      <c r="BAQ112" s="542"/>
      <c r="BAR112" s="542"/>
      <c r="BAS112" s="542"/>
      <c r="BAT112" s="542"/>
      <c r="BAU112" s="542"/>
      <c r="BAV112" s="542"/>
      <c r="BAW112" s="542"/>
      <c r="BAX112" s="542"/>
      <c r="BAY112" s="542"/>
      <c r="BAZ112" s="542"/>
      <c r="BBA112" s="542"/>
      <c r="BBB112" s="542"/>
      <c r="BBC112" s="542"/>
      <c r="BBD112" s="542"/>
      <c r="BBE112" s="542"/>
      <c r="BBF112" s="542"/>
      <c r="BBG112" s="542"/>
      <c r="BBH112" s="542"/>
      <c r="BBI112" s="542"/>
      <c r="BBJ112" s="542"/>
      <c r="BBK112" s="542"/>
      <c r="BBL112" s="542"/>
      <c r="BBM112" s="542"/>
      <c r="BBN112" s="542"/>
      <c r="BBO112" s="542"/>
      <c r="BBP112" s="542"/>
      <c r="BBQ112" s="542"/>
      <c r="BBR112" s="542"/>
      <c r="BBS112" s="542"/>
      <c r="BBT112" s="542"/>
      <c r="BBU112" s="542"/>
      <c r="BBV112" s="542"/>
      <c r="BBW112" s="542"/>
      <c r="BBX112" s="542"/>
      <c r="BBY112" s="542"/>
      <c r="BBZ112" s="542"/>
      <c r="BCA112" s="542"/>
      <c r="BCB112" s="542"/>
      <c r="BCC112" s="542"/>
      <c r="BCD112" s="542"/>
      <c r="BCE112" s="542"/>
      <c r="BCF112" s="542"/>
      <c r="BCG112" s="542"/>
      <c r="BCH112" s="542"/>
      <c r="BCI112" s="542"/>
      <c r="BCJ112" s="542"/>
      <c r="BCK112" s="542"/>
      <c r="BCL112" s="542"/>
      <c r="BCM112" s="542"/>
      <c r="BCN112" s="542"/>
      <c r="BCO112" s="542"/>
      <c r="BCP112" s="542"/>
      <c r="BCQ112" s="542"/>
      <c r="BCR112" s="542"/>
      <c r="BCS112" s="542"/>
      <c r="BCT112" s="542"/>
      <c r="BCU112" s="542"/>
      <c r="BCV112" s="542"/>
      <c r="BCW112" s="542"/>
      <c r="BCX112" s="542"/>
      <c r="BCY112" s="542"/>
      <c r="BCZ112" s="542"/>
      <c r="BDA112" s="542"/>
      <c r="BDB112" s="542"/>
      <c r="BDC112" s="542"/>
      <c r="BDD112" s="542"/>
      <c r="BDE112" s="542"/>
      <c r="BDF112" s="542"/>
      <c r="BDG112" s="542"/>
      <c r="BDH112" s="542"/>
      <c r="BDI112" s="542"/>
      <c r="BDJ112" s="542"/>
      <c r="BDK112" s="542"/>
      <c r="BDL112" s="542"/>
      <c r="BDM112" s="542"/>
      <c r="BDN112" s="542"/>
      <c r="BDO112" s="542"/>
      <c r="BDP112" s="542"/>
      <c r="BDQ112" s="542"/>
      <c r="BDR112" s="542"/>
      <c r="BDS112" s="542"/>
      <c r="BDT112" s="542"/>
      <c r="BDU112" s="542"/>
      <c r="BDV112" s="542"/>
      <c r="BDW112" s="542"/>
      <c r="BDX112" s="542"/>
      <c r="BDY112" s="542"/>
      <c r="BDZ112" s="542"/>
      <c r="BEA112" s="542"/>
      <c r="BEB112" s="542"/>
      <c r="BEC112" s="542"/>
      <c r="BED112" s="542"/>
      <c r="BEE112" s="542"/>
      <c r="BEF112" s="542"/>
      <c r="BEG112" s="542"/>
      <c r="BEH112" s="542"/>
      <c r="BEI112" s="542"/>
      <c r="BEJ112" s="542"/>
      <c r="BEK112" s="542"/>
      <c r="BEL112" s="542"/>
      <c r="BEM112" s="542"/>
      <c r="BEN112" s="542"/>
      <c r="BEO112" s="542"/>
      <c r="BEP112" s="542"/>
      <c r="BEQ112" s="542"/>
      <c r="BER112" s="542"/>
      <c r="BES112" s="542"/>
      <c r="BET112" s="542"/>
      <c r="BEU112" s="542"/>
      <c r="BEV112" s="542"/>
      <c r="BEW112" s="542"/>
      <c r="BEX112" s="542"/>
      <c r="BEY112" s="542"/>
      <c r="BEZ112" s="542"/>
      <c r="BFA112" s="542"/>
      <c r="BFB112" s="542"/>
      <c r="BFC112" s="542"/>
      <c r="BFD112" s="542"/>
      <c r="BFE112" s="542"/>
      <c r="BFF112" s="542"/>
      <c r="BFG112" s="542"/>
      <c r="BFH112" s="542"/>
      <c r="BFI112" s="542"/>
      <c r="BFJ112" s="542"/>
      <c r="BFK112" s="542"/>
      <c r="BFL112" s="542"/>
      <c r="BFM112" s="542"/>
      <c r="BFN112" s="542"/>
      <c r="BFO112" s="542"/>
      <c r="BFP112" s="542"/>
      <c r="BFQ112" s="542"/>
      <c r="BFR112" s="542"/>
      <c r="BFS112" s="542"/>
      <c r="BFT112" s="542"/>
      <c r="BFU112" s="542"/>
      <c r="BFV112" s="542"/>
      <c r="BFW112" s="542"/>
      <c r="BFX112" s="542"/>
      <c r="BFY112" s="542"/>
      <c r="BFZ112" s="542"/>
      <c r="BGA112" s="542"/>
      <c r="BGB112" s="542"/>
      <c r="BGC112" s="542"/>
      <c r="BGD112" s="542"/>
      <c r="BGE112" s="542"/>
      <c r="BGF112" s="542"/>
      <c r="BGG112" s="542"/>
      <c r="BGH112" s="542"/>
      <c r="BGI112" s="542"/>
      <c r="BGJ112" s="542"/>
      <c r="BGK112" s="542"/>
      <c r="BGL112" s="542"/>
      <c r="BGM112" s="542"/>
      <c r="BGN112" s="542"/>
      <c r="BGO112" s="542"/>
      <c r="BGP112" s="542"/>
      <c r="BGQ112" s="542"/>
      <c r="BGR112" s="542"/>
      <c r="BGS112" s="542"/>
      <c r="BGT112" s="542"/>
      <c r="BGU112" s="542"/>
      <c r="BGV112" s="542"/>
      <c r="BGW112" s="542"/>
      <c r="BGX112" s="542"/>
      <c r="BGY112" s="542"/>
      <c r="BGZ112" s="542"/>
      <c r="BHA112" s="542"/>
      <c r="BHB112" s="542"/>
      <c r="BHC112" s="542"/>
      <c r="BHD112" s="542"/>
      <c r="BHE112" s="542"/>
      <c r="BHF112" s="542"/>
      <c r="BHG112" s="542"/>
      <c r="BHH112" s="542"/>
      <c r="BHI112" s="542"/>
      <c r="BHJ112" s="542"/>
      <c r="BHK112" s="542"/>
      <c r="BHL112" s="542"/>
      <c r="BHM112" s="542"/>
      <c r="BHN112" s="542"/>
      <c r="BHO112" s="542"/>
      <c r="BHP112" s="542"/>
      <c r="BHQ112" s="542"/>
      <c r="BHR112" s="542"/>
      <c r="BHS112" s="542"/>
      <c r="BHT112" s="542"/>
      <c r="BHU112" s="542"/>
      <c r="BHV112" s="542"/>
      <c r="BHW112" s="542"/>
      <c r="BHX112" s="542"/>
      <c r="BHY112" s="542"/>
      <c r="BHZ112" s="542"/>
      <c r="BIA112" s="542"/>
      <c r="BIB112" s="542"/>
      <c r="BIC112" s="542"/>
      <c r="BID112" s="542"/>
      <c r="BIE112" s="542"/>
      <c r="BIF112" s="542"/>
      <c r="BIG112" s="542"/>
      <c r="BIH112" s="542"/>
      <c r="BII112" s="542"/>
      <c r="BIJ112" s="542"/>
      <c r="BIK112" s="542"/>
      <c r="BIL112" s="542"/>
      <c r="BIM112" s="542"/>
      <c r="BIN112" s="542"/>
      <c r="BIO112" s="542"/>
      <c r="BIP112" s="542"/>
      <c r="BIQ112" s="542"/>
      <c r="BIR112" s="542"/>
      <c r="BIS112" s="542"/>
      <c r="BIT112" s="542"/>
      <c r="BIU112" s="542"/>
      <c r="BIV112" s="542"/>
      <c r="BIW112" s="542"/>
      <c r="BIX112" s="542"/>
      <c r="BIY112" s="542"/>
      <c r="BIZ112" s="542"/>
      <c r="BJA112" s="542"/>
      <c r="BJB112" s="542"/>
      <c r="BJC112" s="542"/>
      <c r="BJD112" s="542"/>
      <c r="BJE112" s="542"/>
      <c r="BJF112" s="542"/>
      <c r="BJG112" s="542"/>
      <c r="BJH112" s="542"/>
      <c r="BJI112" s="542"/>
      <c r="BJJ112" s="542"/>
      <c r="BJK112" s="542"/>
      <c r="BJL112" s="542"/>
      <c r="BJM112" s="542"/>
      <c r="BJN112" s="542"/>
      <c r="BJO112" s="542"/>
      <c r="BJP112" s="542"/>
      <c r="BJQ112" s="542"/>
      <c r="BJR112" s="542"/>
      <c r="BJS112" s="542"/>
      <c r="BJT112" s="542"/>
      <c r="BJU112" s="542"/>
      <c r="BJV112" s="542"/>
      <c r="BJW112" s="542"/>
      <c r="BJX112" s="542"/>
      <c r="BJY112" s="542"/>
      <c r="BJZ112" s="542"/>
      <c r="BKA112" s="542"/>
      <c r="BKB112" s="542"/>
      <c r="BKC112" s="542"/>
      <c r="BKD112" s="542"/>
      <c r="BKE112" s="542"/>
      <c r="BKF112" s="542"/>
      <c r="BKG112" s="542"/>
      <c r="BKH112" s="542"/>
      <c r="BKI112" s="542"/>
      <c r="BKJ112" s="542"/>
      <c r="BKK112" s="542"/>
      <c r="BKL112" s="542"/>
      <c r="BKM112" s="542"/>
      <c r="BKN112" s="542"/>
      <c r="BKO112" s="542"/>
      <c r="BKP112" s="542"/>
      <c r="BKQ112" s="542"/>
      <c r="BKR112" s="542"/>
      <c r="BKS112" s="542"/>
      <c r="BKT112" s="542"/>
      <c r="BKU112" s="542"/>
      <c r="BKV112" s="542"/>
      <c r="BKW112" s="542"/>
      <c r="BKX112" s="542"/>
      <c r="BKY112" s="542"/>
      <c r="BKZ112" s="542"/>
      <c r="BLA112" s="542"/>
      <c r="BLB112" s="542"/>
      <c r="BLC112" s="542"/>
      <c r="BLD112" s="542"/>
      <c r="BLE112" s="542"/>
      <c r="BLF112" s="542"/>
      <c r="BLG112" s="542"/>
      <c r="BLH112" s="542"/>
      <c r="BLI112" s="542"/>
      <c r="BLJ112" s="542"/>
      <c r="BLK112" s="542"/>
      <c r="BLL112" s="542"/>
      <c r="BLM112" s="542"/>
      <c r="BLN112" s="542"/>
      <c r="BLO112" s="542"/>
      <c r="BLP112" s="542"/>
      <c r="BLQ112" s="542"/>
      <c r="BLR112" s="542"/>
      <c r="BLS112" s="542"/>
      <c r="BLT112" s="542"/>
      <c r="BLU112" s="542"/>
      <c r="BLV112" s="542"/>
      <c r="BLW112" s="542"/>
      <c r="BLX112" s="542"/>
      <c r="BLY112" s="542"/>
      <c r="BLZ112" s="542"/>
      <c r="BMA112" s="542"/>
      <c r="BMB112" s="542"/>
      <c r="BMC112" s="542"/>
      <c r="BMD112" s="542"/>
      <c r="BME112" s="542"/>
      <c r="BMF112" s="542"/>
      <c r="BMG112" s="542"/>
      <c r="BMH112" s="542"/>
      <c r="BMI112" s="542"/>
      <c r="BMJ112" s="542"/>
      <c r="BMK112" s="542"/>
      <c r="BML112" s="542"/>
      <c r="BMM112" s="542"/>
      <c r="BMN112" s="542"/>
      <c r="BMO112" s="542"/>
      <c r="BMP112" s="542"/>
      <c r="BMQ112" s="542"/>
      <c r="BMR112" s="542"/>
      <c r="BMS112" s="542"/>
      <c r="BMT112" s="542"/>
      <c r="BMU112" s="542"/>
      <c r="BMV112" s="542"/>
      <c r="BMW112" s="542"/>
      <c r="BMX112" s="542"/>
      <c r="BMY112" s="542"/>
      <c r="BMZ112" s="542"/>
      <c r="BNA112" s="542"/>
      <c r="BNB112" s="542"/>
      <c r="BNC112" s="542"/>
      <c r="BND112" s="542"/>
      <c r="BNE112" s="542"/>
      <c r="BNF112" s="542"/>
      <c r="BNG112" s="542"/>
      <c r="BNH112" s="542"/>
      <c r="BNI112" s="542"/>
      <c r="BNJ112" s="542"/>
      <c r="BNK112" s="542"/>
      <c r="BNL112" s="542"/>
      <c r="BNM112" s="542"/>
      <c r="BNN112" s="542"/>
      <c r="BNO112" s="542"/>
      <c r="BNP112" s="542"/>
      <c r="BNQ112" s="542"/>
      <c r="BNR112" s="542"/>
      <c r="BNS112" s="542"/>
      <c r="BNT112" s="542"/>
      <c r="BNU112" s="542"/>
      <c r="BNV112" s="542"/>
      <c r="BNW112" s="542"/>
      <c r="BNX112" s="542"/>
      <c r="BNY112" s="542"/>
      <c r="BNZ112" s="542"/>
      <c r="BOA112" s="542"/>
      <c r="BOB112" s="542"/>
      <c r="BOC112" s="542"/>
      <c r="BOD112" s="542"/>
      <c r="BOE112" s="542"/>
      <c r="BOF112" s="542"/>
      <c r="BOG112" s="542"/>
      <c r="BOH112" s="542"/>
      <c r="BOI112" s="542"/>
      <c r="BOJ112" s="542"/>
      <c r="BOK112" s="542"/>
      <c r="BOL112" s="542"/>
      <c r="BOM112" s="542"/>
      <c r="BON112" s="542"/>
      <c r="BOO112" s="542"/>
      <c r="BOP112" s="542"/>
      <c r="BOQ112" s="542"/>
      <c r="BOR112" s="542"/>
      <c r="BOS112" s="542"/>
      <c r="BOT112" s="542"/>
      <c r="BOU112" s="542"/>
      <c r="BOV112" s="542"/>
      <c r="BOW112" s="542"/>
      <c r="BOX112" s="542"/>
      <c r="BOY112" s="542"/>
      <c r="BOZ112" s="542"/>
      <c r="BPA112" s="542"/>
      <c r="BPB112" s="542"/>
      <c r="BPC112" s="542"/>
      <c r="BPD112" s="542"/>
      <c r="BPE112" s="542"/>
      <c r="BPF112" s="542"/>
      <c r="BPG112" s="542"/>
      <c r="BPH112" s="542"/>
      <c r="BPI112" s="542"/>
      <c r="BPJ112" s="542"/>
      <c r="BPK112" s="542"/>
      <c r="BPL112" s="542"/>
      <c r="BPM112" s="542"/>
      <c r="BPN112" s="542"/>
      <c r="BPO112" s="542"/>
      <c r="BPP112" s="542"/>
      <c r="BPQ112" s="542"/>
      <c r="BPR112" s="542"/>
      <c r="BPS112" s="542"/>
      <c r="BPT112" s="542"/>
      <c r="BPU112" s="542"/>
      <c r="BPV112" s="542"/>
      <c r="BPW112" s="542"/>
      <c r="BPX112" s="542"/>
      <c r="BPY112" s="542"/>
      <c r="BPZ112" s="542"/>
      <c r="BQA112" s="542"/>
      <c r="BQB112" s="542"/>
      <c r="BQC112" s="542"/>
      <c r="BQD112" s="542"/>
      <c r="BQE112" s="542"/>
      <c r="BQF112" s="542"/>
      <c r="BQG112" s="542"/>
      <c r="BQH112" s="542"/>
      <c r="BQI112" s="542"/>
      <c r="BQJ112" s="542"/>
      <c r="BQK112" s="542"/>
      <c r="BQL112" s="542"/>
      <c r="BQM112" s="542"/>
      <c r="BQN112" s="542"/>
      <c r="BQO112" s="542"/>
      <c r="BQP112" s="542"/>
      <c r="BQQ112" s="542"/>
      <c r="BQR112" s="542"/>
      <c r="BQS112" s="542"/>
      <c r="BQT112" s="542"/>
      <c r="BQU112" s="542"/>
      <c r="BQV112" s="542"/>
      <c r="BQW112" s="542"/>
      <c r="BQX112" s="542"/>
      <c r="BQY112" s="542"/>
      <c r="BQZ112" s="542"/>
      <c r="BRA112" s="542"/>
      <c r="BRB112" s="542"/>
      <c r="BRC112" s="542"/>
      <c r="BRD112" s="542"/>
      <c r="BRE112" s="542"/>
      <c r="BRF112" s="542"/>
      <c r="BRG112" s="542"/>
      <c r="BRH112" s="542"/>
      <c r="BRI112" s="542"/>
      <c r="BRJ112" s="542"/>
      <c r="BRK112" s="542"/>
      <c r="BRL112" s="542"/>
      <c r="BRM112" s="542"/>
      <c r="BRN112" s="542"/>
      <c r="BRO112" s="542"/>
      <c r="BRP112" s="542"/>
      <c r="BRQ112" s="542"/>
      <c r="BRR112" s="542"/>
      <c r="BRS112" s="542"/>
      <c r="BRT112" s="542"/>
      <c r="BRU112" s="542"/>
      <c r="BRV112" s="542"/>
      <c r="BRW112" s="542"/>
      <c r="BRX112" s="542"/>
      <c r="BRY112" s="542"/>
      <c r="BRZ112" s="542"/>
      <c r="BSA112" s="542"/>
      <c r="BSB112" s="542"/>
      <c r="BSC112" s="542"/>
      <c r="BSD112" s="542"/>
      <c r="BSE112" s="542"/>
      <c r="BSF112" s="542"/>
      <c r="BSG112" s="542"/>
      <c r="BSH112" s="542"/>
      <c r="BSI112" s="542"/>
      <c r="BSJ112" s="542"/>
      <c r="BSK112" s="542"/>
      <c r="BSL112" s="542"/>
      <c r="BSM112" s="542"/>
      <c r="BSN112" s="542"/>
      <c r="BSO112" s="542"/>
      <c r="BSP112" s="542"/>
      <c r="BSQ112" s="542"/>
      <c r="BSR112" s="542"/>
      <c r="BSS112" s="542"/>
      <c r="BST112" s="542"/>
      <c r="BSU112" s="542"/>
      <c r="BSV112" s="542"/>
      <c r="BSW112" s="542"/>
      <c r="BSX112" s="542"/>
      <c r="BSY112" s="542"/>
      <c r="BSZ112" s="542"/>
      <c r="BTA112" s="542"/>
      <c r="BTB112" s="542"/>
      <c r="BTC112" s="542"/>
      <c r="BTD112" s="542"/>
      <c r="BTE112" s="542"/>
      <c r="BTF112" s="542"/>
      <c r="BTG112" s="542"/>
      <c r="BTH112" s="542"/>
      <c r="BTI112" s="542"/>
      <c r="BTJ112" s="542"/>
      <c r="BTK112" s="542"/>
      <c r="BTL112" s="542"/>
      <c r="BTM112" s="542"/>
      <c r="BTN112" s="542"/>
      <c r="BTO112" s="542"/>
      <c r="BTP112" s="542"/>
      <c r="BTQ112" s="542"/>
      <c r="BTR112" s="542"/>
      <c r="BTS112" s="542"/>
      <c r="BTT112" s="542"/>
      <c r="BTU112" s="542"/>
      <c r="BTV112" s="542"/>
      <c r="BTW112" s="542"/>
      <c r="BTX112" s="542"/>
      <c r="BTY112" s="542"/>
      <c r="BTZ112" s="542"/>
      <c r="BUA112" s="542"/>
      <c r="BUB112" s="542"/>
      <c r="BUC112" s="542"/>
      <c r="BUD112" s="542"/>
      <c r="BUE112" s="542"/>
      <c r="BUF112" s="542"/>
      <c r="BUG112" s="542"/>
      <c r="BUH112" s="542"/>
      <c r="BUI112" s="542"/>
      <c r="BUJ112" s="542"/>
      <c r="BUK112" s="542"/>
      <c r="BUL112" s="542"/>
      <c r="BUM112" s="542"/>
      <c r="BUN112" s="542"/>
      <c r="BUO112" s="542"/>
      <c r="BUP112" s="542"/>
      <c r="BUQ112" s="542"/>
      <c r="BUR112" s="542"/>
      <c r="BUS112" s="542"/>
      <c r="BUT112" s="542"/>
      <c r="BUU112" s="542"/>
      <c r="BUV112" s="542"/>
      <c r="BUW112" s="542"/>
      <c r="BUX112" s="542"/>
      <c r="BUY112" s="542"/>
      <c r="BUZ112" s="542"/>
      <c r="BVA112" s="542"/>
      <c r="BVB112" s="542"/>
      <c r="BVC112" s="542"/>
      <c r="BVD112" s="542"/>
      <c r="BVE112" s="542"/>
      <c r="BVF112" s="542"/>
      <c r="BVG112" s="542"/>
      <c r="BVH112" s="542"/>
      <c r="BVI112" s="542"/>
      <c r="BVJ112" s="542"/>
      <c r="BVK112" s="542"/>
      <c r="BVL112" s="542"/>
      <c r="BVM112" s="542"/>
      <c r="BVN112" s="542"/>
      <c r="BVO112" s="542"/>
      <c r="BVP112" s="542"/>
      <c r="BVQ112" s="542"/>
      <c r="BVR112" s="542"/>
      <c r="BVS112" s="542"/>
      <c r="BVT112" s="542"/>
      <c r="BVU112" s="542"/>
      <c r="BVV112" s="542"/>
      <c r="BVW112" s="542"/>
      <c r="BVX112" s="542"/>
      <c r="BVY112" s="542"/>
      <c r="BVZ112" s="542"/>
      <c r="BWA112" s="542"/>
      <c r="BWB112" s="542"/>
      <c r="BWC112" s="542"/>
      <c r="BWD112" s="542"/>
      <c r="BWE112" s="542"/>
      <c r="BWF112" s="542"/>
      <c r="BWG112" s="542"/>
      <c r="BWH112" s="542"/>
      <c r="BWI112" s="542"/>
      <c r="BWJ112" s="542"/>
      <c r="BWK112" s="542"/>
      <c r="BWL112" s="542"/>
      <c r="BWM112" s="542"/>
      <c r="BWN112" s="542"/>
      <c r="BWO112" s="542"/>
      <c r="BWP112" s="542"/>
      <c r="BWQ112" s="542"/>
      <c r="BWR112" s="542"/>
      <c r="BWS112" s="542"/>
      <c r="BWT112" s="542"/>
      <c r="BWU112" s="542"/>
      <c r="BWV112" s="542"/>
      <c r="BWW112" s="542"/>
      <c r="BWX112" s="542"/>
      <c r="BWY112" s="542"/>
      <c r="BWZ112" s="542"/>
      <c r="BXA112" s="542"/>
      <c r="BXB112" s="542"/>
      <c r="BXC112" s="542"/>
      <c r="BXD112" s="542"/>
      <c r="BXE112" s="542"/>
      <c r="BXF112" s="542"/>
      <c r="BXG112" s="542"/>
      <c r="BXH112" s="542"/>
      <c r="BXI112" s="542"/>
      <c r="BXJ112" s="542"/>
      <c r="BXK112" s="542"/>
      <c r="BXL112" s="542"/>
      <c r="BXM112" s="542"/>
      <c r="BXN112" s="542"/>
      <c r="BXO112" s="542"/>
      <c r="BXP112" s="542"/>
      <c r="BXQ112" s="542"/>
      <c r="BXR112" s="542"/>
      <c r="BXS112" s="542"/>
      <c r="BXT112" s="542"/>
      <c r="BXU112" s="542"/>
      <c r="BXV112" s="542"/>
      <c r="BXW112" s="542"/>
      <c r="BXX112" s="542"/>
      <c r="BXY112" s="542"/>
      <c r="BXZ112" s="542"/>
      <c r="BYA112" s="542"/>
      <c r="BYB112" s="542"/>
      <c r="BYC112" s="542"/>
      <c r="BYD112" s="542"/>
      <c r="BYE112" s="542"/>
      <c r="BYF112" s="542"/>
      <c r="BYG112" s="542"/>
      <c r="BYH112" s="542"/>
      <c r="BYI112" s="542"/>
      <c r="BYJ112" s="542"/>
      <c r="BYK112" s="542"/>
      <c r="BYL112" s="542"/>
      <c r="BYM112" s="542"/>
      <c r="BYN112" s="542"/>
      <c r="BYO112" s="542"/>
      <c r="BYP112" s="542"/>
      <c r="BYQ112" s="542"/>
      <c r="BYR112" s="542"/>
      <c r="BYS112" s="542"/>
      <c r="BYT112" s="542"/>
      <c r="BYU112" s="542"/>
      <c r="BYV112" s="542"/>
      <c r="BYW112" s="542"/>
      <c r="BYX112" s="542"/>
      <c r="BYY112" s="542"/>
      <c r="BYZ112" s="542"/>
      <c r="BZA112" s="542"/>
      <c r="BZB112" s="542"/>
      <c r="BZC112" s="542"/>
      <c r="BZD112" s="542"/>
      <c r="BZE112" s="542"/>
      <c r="BZF112" s="542"/>
      <c r="BZG112" s="542"/>
      <c r="BZH112" s="542"/>
      <c r="BZI112" s="542"/>
      <c r="BZJ112" s="542"/>
      <c r="BZK112" s="542"/>
      <c r="BZL112" s="542"/>
      <c r="BZM112" s="542"/>
      <c r="BZN112" s="542"/>
      <c r="BZO112" s="542"/>
      <c r="BZP112" s="542"/>
      <c r="BZQ112" s="542"/>
      <c r="BZR112" s="542"/>
      <c r="BZS112" s="542"/>
      <c r="BZT112" s="542"/>
      <c r="BZU112" s="542"/>
      <c r="BZV112" s="542"/>
      <c r="BZW112" s="542"/>
      <c r="BZX112" s="542"/>
      <c r="BZY112" s="542"/>
      <c r="BZZ112" s="542"/>
      <c r="CAA112" s="542"/>
      <c r="CAB112" s="542"/>
      <c r="CAC112" s="542"/>
      <c r="CAD112" s="542"/>
      <c r="CAE112" s="542"/>
      <c r="CAF112" s="542"/>
      <c r="CAG112" s="542"/>
      <c r="CAH112" s="542"/>
      <c r="CAI112" s="542"/>
      <c r="CAJ112" s="542"/>
      <c r="CAK112" s="542"/>
      <c r="CAL112" s="542"/>
      <c r="CAM112" s="542"/>
      <c r="CAN112" s="542"/>
      <c r="CAO112" s="542"/>
      <c r="CAP112" s="542"/>
      <c r="CAQ112" s="542"/>
      <c r="CAR112" s="542"/>
      <c r="CAS112" s="542"/>
      <c r="CAT112" s="542"/>
      <c r="CAU112" s="542"/>
      <c r="CAV112" s="542"/>
      <c r="CAW112" s="542"/>
      <c r="CAX112" s="542"/>
      <c r="CAY112" s="542"/>
      <c r="CAZ112" s="542"/>
      <c r="CBA112" s="542"/>
      <c r="CBB112" s="542"/>
      <c r="CBC112" s="542"/>
      <c r="CBD112" s="542"/>
      <c r="CBE112" s="542"/>
      <c r="CBF112" s="542"/>
      <c r="CBG112" s="542"/>
      <c r="CBH112" s="542"/>
      <c r="CBI112" s="542"/>
      <c r="CBJ112" s="542"/>
      <c r="CBK112" s="542"/>
      <c r="CBL112" s="542"/>
      <c r="CBM112" s="542"/>
      <c r="CBN112" s="542"/>
      <c r="CBO112" s="542"/>
      <c r="CBP112" s="542"/>
      <c r="CBQ112" s="542"/>
      <c r="CBR112" s="542"/>
      <c r="CBS112" s="542"/>
      <c r="CBT112" s="542"/>
      <c r="CBU112" s="542"/>
      <c r="CBV112" s="542"/>
      <c r="CBW112" s="542"/>
      <c r="CBX112" s="542"/>
      <c r="CBY112" s="542"/>
      <c r="CBZ112" s="542"/>
      <c r="CCA112" s="542"/>
      <c r="CCB112" s="542"/>
      <c r="CCC112" s="542"/>
      <c r="CCD112" s="542"/>
      <c r="CCE112" s="542"/>
      <c r="CCF112" s="542"/>
      <c r="CCG112" s="542"/>
      <c r="CCH112" s="542"/>
      <c r="CCI112" s="542"/>
      <c r="CCJ112" s="542"/>
      <c r="CCK112" s="542"/>
      <c r="CCL112" s="542"/>
      <c r="CCM112" s="542"/>
      <c r="CCN112" s="542"/>
      <c r="CCO112" s="542"/>
      <c r="CCP112" s="542"/>
      <c r="CCQ112" s="542"/>
      <c r="CCR112" s="542"/>
      <c r="CCS112" s="542"/>
      <c r="CCT112" s="542"/>
      <c r="CCU112" s="542"/>
      <c r="CCV112" s="542"/>
      <c r="CCW112" s="542"/>
      <c r="CCX112" s="542"/>
      <c r="CCY112" s="542"/>
      <c r="CCZ112" s="542"/>
      <c r="CDA112" s="542"/>
      <c r="CDB112" s="542"/>
      <c r="CDC112" s="542"/>
      <c r="CDD112" s="542"/>
      <c r="CDE112" s="542"/>
      <c r="CDF112" s="542"/>
      <c r="CDG112" s="542"/>
      <c r="CDH112" s="542"/>
      <c r="CDI112" s="542"/>
      <c r="CDJ112" s="542"/>
      <c r="CDK112" s="542"/>
      <c r="CDL112" s="542"/>
      <c r="CDM112" s="542"/>
      <c r="CDN112" s="542"/>
      <c r="CDO112" s="542"/>
      <c r="CDP112" s="542"/>
      <c r="CDQ112" s="542"/>
      <c r="CDR112" s="542"/>
      <c r="CDS112" s="542"/>
      <c r="CDT112" s="542"/>
      <c r="CDU112" s="542"/>
      <c r="CDV112" s="542"/>
      <c r="CDW112" s="542"/>
      <c r="CDX112" s="542"/>
      <c r="CDY112" s="542"/>
      <c r="CDZ112" s="542"/>
      <c r="CEA112" s="542"/>
      <c r="CEB112" s="542"/>
      <c r="CEC112" s="542"/>
      <c r="CED112" s="542"/>
      <c r="CEE112" s="542"/>
      <c r="CEF112" s="542"/>
      <c r="CEG112" s="542"/>
      <c r="CEH112" s="542"/>
      <c r="CEI112" s="542"/>
      <c r="CEJ112" s="542"/>
      <c r="CEK112" s="542"/>
      <c r="CEL112" s="542"/>
      <c r="CEM112" s="542"/>
      <c r="CEN112" s="542"/>
      <c r="CEO112" s="542"/>
      <c r="CEP112" s="542"/>
      <c r="CEQ112" s="542"/>
      <c r="CER112" s="542"/>
      <c r="CES112" s="542"/>
      <c r="CET112" s="542"/>
      <c r="CEU112" s="542"/>
      <c r="CEV112" s="542"/>
      <c r="CEW112" s="542"/>
      <c r="CEX112" s="542"/>
      <c r="CEY112" s="542"/>
      <c r="CEZ112" s="542"/>
      <c r="CFA112" s="542"/>
      <c r="CFB112" s="542"/>
      <c r="CFC112" s="542"/>
      <c r="CFD112" s="542"/>
      <c r="CFE112" s="542"/>
      <c r="CFF112" s="542"/>
      <c r="CFG112" s="542"/>
      <c r="CFH112" s="542"/>
      <c r="CFI112" s="542"/>
      <c r="CFJ112" s="542"/>
      <c r="CFK112" s="542"/>
      <c r="CFL112" s="542"/>
      <c r="CFM112" s="542"/>
      <c r="CFN112" s="542"/>
      <c r="CFO112" s="542"/>
      <c r="CFP112" s="542"/>
      <c r="CFQ112" s="542"/>
      <c r="CFR112" s="542"/>
      <c r="CFS112" s="542"/>
      <c r="CFT112" s="542"/>
      <c r="CFU112" s="542"/>
      <c r="CFV112" s="542"/>
      <c r="CFW112" s="542"/>
      <c r="CFX112" s="542"/>
      <c r="CFY112" s="542"/>
      <c r="CFZ112" s="542"/>
      <c r="CGA112" s="542"/>
      <c r="CGB112" s="542"/>
      <c r="CGC112" s="542"/>
      <c r="CGD112" s="542"/>
      <c r="CGE112" s="542"/>
      <c r="CGF112" s="542"/>
      <c r="CGG112" s="542"/>
      <c r="CGH112" s="542"/>
      <c r="CGI112" s="542"/>
      <c r="CGJ112" s="542"/>
      <c r="CGK112" s="542"/>
      <c r="CGL112" s="542"/>
      <c r="CGM112" s="542"/>
      <c r="CGN112" s="542"/>
      <c r="CGO112" s="542"/>
      <c r="CGP112" s="542"/>
      <c r="CGQ112" s="542"/>
      <c r="CGR112" s="542"/>
      <c r="CGS112" s="542"/>
      <c r="CGT112" s="542"/>
      <c r="CGU112" s="542"/>
      <c r="CGV112" s="542"/>
      <c r="CGW112" s="542"/>
      <c r="CGX112" s="542"/>
      <c r="CGY112" s="542"/>
      <c r="CGZ112" s="542"/>
      <c r="CHA112" s="542"/>
      <c r="CHB112" s="542"/>
      <c r="CHC112" s="542"/>
      <c r="CHD112" s="542"/>
      <c r="CHE112" s="542"/>
      <c r="CHF112" s="542"/>
      <c r="CHG112" s="542"/>
      <c r="CHH112" s="542"/>
      <c r="CHI112" s="542"/>
      <c r="CHJ112" s="542"/>
      <c r="CHK112" s="542"/>
      <c r="CHL112" s="542"/>
      <c r="CHM112" s="542"/>
      <c r="CHN112" s="542"/>
      <c r="CHO112" s="542"/>
      <c r="CHP112" s="542"/>
      <c r="CHQ112" s="542"/>
      <c r="CHR112" s="542"/>
      <c r="CHS112" s="542"/>
      <c r="CHT112" s="542"/>
      <c r="CHU112" s="542"/>
      <c r="CHV112" s="542"/>
      <c r="CHW112" s="542"/>
      <c r="CHX112" s="542"/>
      <c r="CHY112" s="542"/>
      <c r="CHZ112" s="542"/>
      <c r="CIA112" s="542"/>
      <c r="CIB112" s="542"/>
      <c r="CIC112" s="542"/>
      <c r="CID112" s="542"/>
      <c r="CIE112" s="542"/>
      <c r="CIF112" s="542"/>
      <c r="CIG112" s="542"/>
      <c r="CIH112" s="542"/>
      <c r="CII112" s="542"/>
      <c r="CIJ112" s="542"/>
      <c r="CIK112" s="542"/>
      <c r="CIL112" s="542"/>
      <c r="CIM112" s="542"/>
      <c r="CIN112" s="542"/>
      <c r="CIO112" s="542"/>
      <c r="CIP112" s="542"/>
      <c r="CIQ112" s="542"/>
      <c r="CIR112" s="542"/>
      <c r="CIS112" s="542"/>
      <c r="CIT112" s="542"/>
      <c r="CIU112" s="542"/>
      <c r="CIV112" s="542"/>
      <c r="CIW112" s="542"/>
      <c r="CIX112" s="542"/>
      <c r="CIY112" s="542"/>
      <c r="CIZ112" s="542"/>
      <c r="CJA112" s="542"/>
      <c r="CJB112" s="542"/>
      <c r="CJC112" s="542"/>
      <c r="CJD112" s="542"/>
      <c r="CJE112" s="542"/>
      <c r="CJF112" s="542"/>
      <c r="CJG112" s="542"/>
      <c r="CJH112" s="542"/>
      <c r="CJI112" s="542"/>
      <c r="CJJ112" s="542"/>
      <c r="CJK112" s="542"/>
      <c r="CJL112" s="542"/>
      <c r="CJM112" s="542"/>
      <c r="CJN112" s="542"/>
      <c r="CJO112" s="542"/>
      <c r="CJP112" s="542"/>
      <c r="CJQ112" s="542"/>
      <c r="CJR112" s="542"/>
      <c r="CJS112" s="542"/>
      <c r="CJT112" s="542"/>
      <c r="CJU112" s="542"/>
      <c r="CJV112" s="542"/>
      <c r="CJW112" s="542"/>
      <c r="CJX112" s="542"/>
      <c r="CJY112" s="542"/>
      <c r="CJZ112" s="542"/>
      <c r="CKA112" s="542"/>
      <c r="CKB112" s="542"/>
      <c r="CKC112" s="542"/>
      <c r="CKD112" s="542"/>
      <c r="CKE112" s="542"/>
      <c r="CKF112" s="542"/>
      <c r="CKG112" s="542"/>
      <c r="CKH112" s="542"/>
      <c r="CKI112" s="542"/>
      <c r="CKJ112" s="542"/>
      <c r="CKK112" s="542"/>
      <c r="CKL112" s="542"/>
      <c r="CKM112" s="542"/>
      <c r="CKN112" s="542"/>
      <c r="CKO112" s="542"/>
      <c r="CKP112" s="542"/>
      <c r="CKQ112" s="542"/>
      <c r="CKR112" s="542"/>
      <c r="CKS112" s="542"/>
      <c r="CKT112" s="542"/>
      <c r="CKU112" s="542"/>
      <c r="CKV112" s="542"/>
      <c r="CKW112" s="542"/>
      <c r="CKX112" s="542"/>
      <c r="CKY112" s="542"/>
      <c r="CKZ112" s="542"/>
      <c r="CLA112" s="542"/>
      <c r="CLB112" s="542"/>
      <c r="CLC112" s="542"/>
      <c r="CLD112" s="542"/>
      <c r="CLE112" s="542"/>
      <c r="CLF112" s="542"/>
      <c r="CLG112" s="542"/>
      <c r="CLH112" s="542"/>
      <c r="CLI112" s="542"/>
      <c r="CLJ112" s="542"/>
      <c r="CLK112" s="542"/>
      <c r="CLL112" s="542"/>
      <c r="CLM112" s="542"/>
      <c r="CLN112" s="542"/>
      <c r="CLO112" s="542"/>
      <c r="CLP112" s="542"/>
      <c r="CLQ112" s="542"/>
      <c r="CLR112" s="542"/>
      <c r="CLS112" s="542"/>
      <c r="CLT112" s="542"/>
      <c r="CLU112" s="542"/>
      <c r="CLV112" s="542"/>
      <c r="CLW112" s="542"/>
      <c r="CLX112" s="542"/>
      <c r="CLY112" s="542"/>
      <c r="CLZ112" s="542"/>
      <c r="CMA112" s="542"/>
      <c r="CMB112" s="542"/>
      <c r="CMC112" s="542"/>
      <c r="CMD112" s="542"/>
      <c r="CME112" s="542"/>
      <c r="CMF112" s="542"/>
      <c r="CMG112" s="542"/>
      <c r="CMH112" s="542"/>
      <c r="CMI112" s="542"/>
      <c r="CMJ112" s="542"/>
      <c r="CMK112" s="542"/>
      <c r="CML112" s="542"/>
      <c r="CMM112" s="542"/>
      <c r="CMN112" s="542"/>
      <c r="CMO112" s="542"/>
      <c r="CMP112" s="542"/>
      <c r="CMQ112" s="542"/>
      <c r="CMR112" s="542"/>
      <c r="CMS112" s="542"/>
      <c r="CMT112" s="542"/>
      <c r="CMU112" s="542"/>
      <c r="CMV112" s="542"/>
      <c r="CMW112" s="542"/>
      <c r="CMX112" s="542"/>
      <c r="CMY112" s="542"/>
      <c r="CMZ112" s="542"/>
      <c r="CNA112" s="542"/>
      <c r="CNB112" s="542"/>
      <c r="CNC112" s="542"/>
      <c r="CND112" s="542"/>
      <c r="CNE112" s="542"/>
      <c r="CNF112" s="542"/>
      <c r="CNG112" s="542"/>
      <c r="CNH112" s="542"/>
      <c r="CNI112" s="542"/>
      <c r="CNJ112" s="542"/>
      <c r="CNK112" s="542"/>
      <c r="CNL112" s="542"/>
      <c r="CNM112" s="542"/>
      <c r="CNN112" s="542"/>
      <c r="CNO112" s="542"/>
      <c r="CNP112" s="542"/>
      <c r="CNQ112" s="542"/>
      <c r="CNR112" s="542"/>
      <c r="CNS112" s="542"/>
      <c r="CNT112" s="542"/>
      <c r="CNU112" s="542"/>
      <c r="CNV112" s="542"/>
      <c r="CNW112" s="542"/>
      <c r="CNX112" s="542"/>
      <c r="CNY112" s="542"/>
      <c r="CNZ112" s="542"/>
      <c r="COA112" s="542"/>
      <c r="COB112" s="542"/>
      <c r="COC112" s="542"/>
      <c r="COD112" s="542"/>
      <c r="COE112" s="542"/>
      <c r="COF112" s="542"/>
      <c r="COG112" s="542"/>
      <c r="COH112" s="542"/>
      <c r="COI112" s="542"/>
      <c r="COJ112" s="542"/>
      <c r="COK112" s="542"/>
      <c r="COL112" s="542"/>
      <c r="COM112" s="542"/>
      <c r="CON112" s="542"/>
      <c r="COO112" s="542"/>
      <c r="COP112" s="542"/>
      <c r="COQ112" s="542"/>
      <c r="COR112" s="542"/>
      <c r="COS112" s="542"/>
      <c r="COT112" s="542"/>
      <c r="COU112" s="542"/>
      <c r="COV112" s="542"/>
      <c r="COW112" s="542"/>
      <c r="COX112" s="542"/>
      <c r="COY112" s="542"/>
      <c r="COZ112" s="542"/>
      <c r="CPA112" s="542"/>
      <c r="CPB112" s="542"/>
      <c r="CPC112" s="542"/>
      <c r="CPD112" s="542"/>
      <c r="CPE112" s="542"/>
      <c r="CPF112" s="542"/>
      <c r="CPG112" s="542"/>
      <c r="CPH112" s="542"/>
      <c r="CPI112" s="542"/>
      <c r="CPJ112" s="542"/>
      <c r="CPK112" s="542"/>
      <c r="CPL112" s="542"/>
      <c r="CPM112" s="542"/>
      <c r="CPN112" s="542"/>
      <c r="CPO112" s="542"/>
      <c r="CPP112" s="542"/>
      <c r="CPQ112" s="542"/>
      <c r="CPR112" s="542"/>
      <c r="CPS112" s="542"/>
      <c r="CPT112" s="542"/>
      <c r="CPU112" s="542"/>
      <c r="CPV112" s="542"/>
      <c r="CPW112" s="542"/>
      <c r="CPX112" s="542"/>
      <c r="CPY112" s="542"/>
      <c r="CPZ112" s="542"/>
      <c r="CQA112" s="542"/>
      <c r="CQB112" s="542"/>
      <c r="CQC112" s="542"/>
      <c r="CQD112" s="542"/>
      <c r="CQE112" s="542"/>
      <c r="CQF112" s="542"/>
      <c r="CQG112" s="542"/>
      <c r="CQH112" s="542"/>
      <c r="CQI112" s="542"/>
      <c r="CQJ112" s="542"/>
      <c r="CQK112" s="542"/>
      <c r="CQL112" s="542"/>
      <c r="CQM112" s="542"/>
      <c r="CQN112" s="542"/>
      <c r="CQO112" s="542"/>
      <c r="CQP112" s="542"/>
      <c r="CQQ112" s="542"/>
      <c r="CQR112" s="542"/>
      <c r="CQS112" s="542"/>
      <c r="CQT112" s="542"/>
      <c r="CQU112" s="542"/>
      <c r="CQV112" s="542"/>
      <c r="CQW112" s="542"/>
      <c r="CQX112" s="542"/>
      <c r="CQY112" s="542"/>
      <c r="CQZ112" s="542"/>
      <c r="CRA112" s="542"/>
      <c r="CRB112" s="542"/>
      <c r="CRC112" s="542"/>
      <c r="CRD112" s="542"/>
      <c r="CRE112" s="542"/>
      <c r="CRF112" s="542"/>
      <c r="CRG112" s="542"/>
      <c r="CRH112" s="542"/>
      <c r="CRI112" s="542"/>
      <c r="CRJ112" s="542"/>
      <c r="CRK112" s="542"/>
      <c r="CRL112" s="542"/>
      <c r="CRM112" s="542"/>
      <c r="CRN112" s="542"/>
      <c r="CRO112" s="542"/>
      <c r="CRP112" s="542"/>
      <c r="CRQ112" s="542"/>
      <c r="CRR112" s="542"/>
      <c r="CRS112" s="542"/>
      <c r="CRT112" s="542"/>
      <c r="CRU112" s="542"/>
      <c r="CRV112" s="542"/>
      <c r="CRW112" s="542"/>
      <c r="CRX112" s="542"/>
      <c r="CRY112" s="542"/>
      <c r="CRZ112" s="542"/>
      <c r="CSA112" s="542"/>
      <c r="CSB112" s="542"/>
      <c r="CSC112" s="542"/>
      <c r="CSD112" s="542"/>
      <c r="CSE112" s="542"/>
      <c r="CSF112" s="542"/>
      <c r="CSG112" s="542"/>
      <c r="CSH112" s="542"/>
      <c r="CSI112" s="542"/>
      <c r="CSJ112" s="542"/>
      <c r="CSK112" s="542"/>
      <c r="CSL112" s="542"/>
      <c r="CSM112" s="542"/>
      <c r="CSN112" s="542"/>
      <c r="CSO112" s="542"/>
      <c r="CSP112" s="542"/>
      <c r="CSQ112" s="542"/>
      <c r="CSR112" s="542"/>
      <c r="CSS112" s="542"/>
      <c r="CST112" s="542"/>
      <c r="CSU112" s="542"/>
      <c r="CSV112" s="542"/>
      <c r="CSW112" s="542"/>
      <c r="CSX112" s="542"/>
      <c r="CSY112" s="542"/>
      <c r="CSZ112" s="542"/>
      <c r="CTA112" s="542"/>
      <c r="CTB112" s="542"/>
      <c r="CTC112" s="542"/>
      <c r="CTD112" s="542"/>
      <c r="CTE112" s="542"/>
      <c r="CTF112" s="542"/>
      <c r="CTG112" s="542"/>
      <c r="CTH112" s="542"/>
      <c r="CTI112" s="542"/>
      <c r="CTJ112" s="542"/>
      <c r="CTK112" s="542"/>
      <c r="CTL112" s="542"/>
      <c r="CTM112" s="542"/>
      <c r="CTN112" s="542"/>
      <c r="CTO112" s="542"/>
      <c r="CTP112" s="542"/>
      <c r="CTQ112" s="542"/>
      <c r="CTR112" s="542"/>
      <c r="CTS112" s="542"/>
      <c r="CTT112" s="542"/>
      <c r="CTU112" s="542"/>
      <c r="CTV112" s="542"/>
      <c r="CTW112" s="542"/>
      <c r="CTX112" s="542"/>
      <c r="CTY112" s="542"/>
      <c r="CTZ112" s="542"/>
      <c r="CUA112" s="542"/>
      <c r="CUB112" s="542"/>
      <c r="CUC112" s="542"/>
      <c r="CUD112" s="542"/>
      <c r="CUE112" s="542"/>
      <c r="CUF112" s="542"/>
      <c r="CUG112" s="542"/>
      <c r="CUH112" s="542"/>
      <c r="CUI112" s="542"/>
      <c r="CUJ112" s="542"/>
      <c r="CUK112" s="542"/>
      <c r="CUL112" s="542"/>
      <c r="CUM112" s="542"/>
      <c r="CUN112" s="542"/>
      <c r="CUO112" s="542"/>
      <c r="CUP112" s="542"/>
      <c r="CUQ112" s="542"/>
      <c r="CUR112" s="542"/>
      <c r="CUS112" s="542"/>
      <c r="CUT112" s="542"/>
      <c r="CUU112" s="542"/>
      <c r="CUV112" s="542"/>
      <c r="CUW112" s="542"/>
      <c r="CUX112" s="542"/>
      <c r="CUY112" s="542"/>
      <c r="CUZ112" s="542"/>
      <c r="CVA112" s="542"/>
      <c r="CVB112" s="542"/>
      <c r="CVC112" s="542"/>
      <c r="CVD112" s="542"/>
      <c r="CVE112" s="542"/>
      <c r="CVF112" s="542"/>
      <c r="CVG112" s="542"/>
      <c r="CVH112" s="542"/>
      <c r="CVI112" s="542"/>
      <c r="CVJ112" s="542"/>
      <c r="CVK112" s="542"/>
      <c r="CVL112" s="542"/>
      <c r="CVM112" s="542"/>
      <c r="CVN112" s="542"/>
      <c r="CVO112" s="542"/>
      <c r="CVP112" s="542"/>
      <c r="CVQ112" s="542"/>
      <c r="CVR112" s="542"/>
      <c r="CVS112" s="542"/>
      <c r="CVT112" s="542"/>
      <c r="CVU112" s="542"/>
      <c r="CVV112" s="542"/>
      <c r="CVW112" s="542"/>
      <c r="CVX112" s="542"/>
      <c r="CVY112" s="542"/>
      <c r="CVZ112" s="542"/>
      <c r="CWA112" s="542"/>
      <c r="CWB112" s="542"/>
      <c r="CWC112" s="542"/>
      <c r="CWD112" s="542"/>
      <c r="CWE112" s="542"/>
      <c r="CWF112" s="542"/>
      <c r="CWG112" s="542"/>
      <c r="CWH112" s="542"/>
      <c r="CWI112" s="542"/>
      <c r="CWJ112" s="542"/>
      <c r="CWK112" s="542"/>
      <c r="CWL112" s="542"/>
      <c r="CWM112" s="542"/>
      <c r="CWN112" s="542"/>
      <c r="CWO112" s="542"/>
      <c r="CWP112" s="542"/>
      <c r="CWQ112" s="542"/>
      <c r="CWR112" s="542"/>
      <c r="CWS112" s="542"/>
      <c r="CWT112" s="542"/>
      <c r="CWU112" s="542"/>
      <c r="CWV112" s="542"/>
      <c r="CWW112" s="542"/>
      <c r="CWX112" s="542"/>
      <c r="CWY112" s="542"/>
      <c r="CWZ112" s="542"/>
      <c r="CXA112" s="542"/>
      <c r="CXB112" s="542"/>
      <c r="CXC112" s="542"/>
      <c r="CXD112" s="542"/>
      <c r="CXE112" s="542"/>
      <c r="CXF112" s="542"/>
      <c r="CXG112" s="542"/>
      <c r="CXH112" s="542"/>
      <c r="CXI112" s="542"/>
      <c r="CXJ112" s="542"/>
      <c r="CXK112" s="542"/>
      <c r="CXL112" s="542"/>
      <c r="CXM112" s="542"/>
      <c r="CXN112" s="542"/>
      <c r="CXO112" s="542"/>
      <c r="CXP112" s="542"/>
      <c r="CXQ112" s="542"/>
      <c r="CXR112" s="542"/>
      <c r="CXS112" s="542"/>
      <c r="CXT112" s="542"/>
      <c r="CXU112" s="542"/>
      <c r="CXV112" s="542"/>
      <c r="CXW112" s="542"/>
      <c r="CXX112" s="542"/>
      <c r="CXY112" s="542"/>
      <c r="CXZ112" s="542"/>
      <c r="CYA112" s="542"/>
      <c r="CYB112" s="542"/>
      <c r="CYC112" s="542"/>
      <c r="CYD112" s="542"/>
      <c r="CYE112" s="542"/>
      <c r="CYF112" s="542"/>
      <c r="CYG112" s="542"/>
      <c r="CYH112" s="542"/>
      <c r="CYI112" s="542"/>
      <c r="CYJ112" s="542"/>
      <c r="CYK112" s="542"/>
      <c r="CYL112" s="542"/>
      <c r="CYM112" s="542"/>
      <c r="CYN112" s="542"/>
      <c r="CYO112" s="542"/>
      <c r="CYP112" s="542"/>
      <c r="CYQ112" s="542"/>
      <c r="CYR112" s="542"/>
      <c r="CYS112" s="542"/>
      <c r="CYT112" s="542"/>
      <c r="CYU112" s="542"/>
      <c r="CYV112" s="542"/>
      <c r="CYW112" s="542"/>
      <c r="CYX112" s="542"/>
      <c r="CYY112" s="542"/>
      <c r="CYZ112" s="542"/>
      <c r="CZA112" s="542"/>
      <c r="CZB112" s="542"/>
      <c r="CZC112" s="542"/>
      <c r="CZD112" s="542"/>
      <c r="CZE112" s="542"/>
      <c r="CZF112" s="542"/>
      <c r="CZG112" s="542"/>
      <c r="CZH112" s="542"/>
      <c r="CZI112" s="542"/>
      <c r="CZJ112" s="542"/>
      <c r="CZK112" s="542"/>
      <c r="CZL112" s="542"/>
      <c r="CZM112" s="542"/>
      <c r="CZN112" s="542"/>
      <c r="CZO112" s="542"/>
      <c r="CZP112" s="542"/>
      <c r="CZQ112" s="542"/>
      <c r="CZR112" s="542"/>
      <c r="CZS112" s="542"/>
      <c r="CZT112" s="542"/>
      <c r="CZU112" s="542"/>
      <c r="CZV112" s="542"/>
      <c r="CZW112" s="542"/>
      <c r="CZX112" s="542"/>
      <c r="CZY112" s="542"/>
      <c r="CZZ112" s="542"/>
      <c r="DAA112" s="542"/>
      <c r="DAB112" s="542"/>
      <c r="DAC112" s="542"/>
      <c r="DAD112" s="542"/>
      <c r="DAE112" s="542"/>
      <c r="DAF112" s="542"/>
      <c r="DAG112" s="542"/>
      <c r="DAH112" s="542"/>
      <c r="DAI112" s="542"/>
      <c r="DAJ112" s="542"/>
      <c r="DAK112" s="542"/>
      <c r="DAL112" s="542"/>
      <c r="DAM112" s="542"/>
      <c r="DAN112" s="542"/>
      <c r="DAO112" s="542"/>
      <c r="DAP112" s="542"/>
      <c r="DAQ112" s="542"/>
      <c r="DAR112" s="542"/>
      <c r="DAS112" s="542"/>
      <c r="DAT112" s="542"/>
      <c r="DAU112" s="542"/>
      <c r="DAV112" s="542"/>
      <c r="DAW112" s="542"/>
      <c r="DAX112" s="542"/>
      <c r="DAY112" s="542"/>
      <c r="DAZ112" s="542"/>
      <c r="DBA112" s="542"/>
      <c r="DBB112" s="542"/>
      <c r="DBC112" s="542"/>
      <c r="DBD112" s="542"/>
      <c r="DBE112" s="542"/>
      <c r="DBF112" s="542"/>
      <c r="DBG112" s="542"/>
      <c r="DBH112" s="542"/>
      <c r="DBI112" s="542"/>
      <c r="DBJ112" s="542"/>
      <c r="DBK112" s="542"/>
      <c r="DBL112" s="542"/>
      <c r="DBM112" s="542"/>
      <c r="DBN112" s="542"/>
      <c r="DBO112" s="542"/>
      <c r="DBP112" s="542"/>
      <c r="DBQ112" s="542"/>
      <c r="DBR112" s="542"/>
      <c r="DBS112" s="542"/>
      <c r="DBT112" s="542"/>
      <c r="DBU112" s="542"/>
      <c r="DBV112" s="542"/>
      <c r="DBW112" s="542"/>
      <c r="DBX112" s="542"/>
      <c r="DBY112" s="542"/>
      <c r="DBZ112" s="542"/>
      <c r="DCA112" s="542"/>
      <c r="DCB112" s="542"/>
      <c r="DCC112" s="542"/>
      <c r="DCD112" s="542"/>
      <c r="DCE112" s="542"/>
      <c r="DCF112" s="542"/>
      <c r="DCG112" s="542"/>
      <c r="DCH112" s="542"/>
      <c r="DCI112" s="542"/>
      <c r="DCJ112" s="542"/>
      <c r="DCK112" s="542"/>
      <c r="DCL112" s="542"/>
      <c r="DCM112" s="542"/>
      <c r="DCN112" s="542"/>
      <c r="DCO112" s="542"/>
      <c r="DCP112" s="542"/>
      <c r="DCQ112" s="542"/>
      <c r="DCR112" s="542"/>
      <c r="DCS112" s="542"/>
      <c r="DCT112" s="542"/>
      <c r="DCU112" s="542"/>
      <c r="DCV112" s="542"/>
      <c r="DCW112" s="542"/>
      <c r="DCX112" s="542"/>
      <c r="DCY112" s="542"/>
      <c r="DCZ112" s="542"/>
      <c r="DDA112" s="542"/>
      <c r="DDB112" s="542"/>
      <c r="DDC112" s="542"/>
      <c r="DDD112" s="542"/>
      <c r="DDE112" s="542"/>
      <c r="DDF112" s="542"/>
      <c r="DDG112" s="542"/>
      <c r="DDH112" s="542"/>
      <c r="DDI112" s="542"/>
      <c r="DDJ112" s="542"/>
      <c r="DDK112" s="542"/>
      <c r="DDL112" s="542"/>
      <c r="DDM112" s="542"/>
      <c r="DDN112" s="542"/>
      <c r="DDO112" s="542"/>
      <c r="DDP112" s="542"/>
      <c r="DDQ112" s="542"/>
      <c r="DDR112" s="542"/>
      <c r="DDS112" s="542"/>
      <c r="DDT112" s="542"/>
      <c r="DDU112" s="542"/>
      <c r="DDV112" s="542"/>
      <c r="DDW112" s="542"/>
      <c r="DDX112" s="542"/>
      <c r="DDY112" s="542"/>
      <c r="DDZ112" s="542"/>
      <c r="DEA112" s="542"/>
      <c r="DEB112" s="542"/>
      <c r="DEC112" s="542"/>
      <c r="DED112" s="542"/>
      <c r="DEE112" s="542"/>
      <c r="DEF112" s="542"/>
      <c r="DEG112" s="542"/>
      <c r="DEH112" s="542"/>
      <c r="DEI112" s="542"/>
      <c r="DEJ112" s="542"/>
      <c r="DEK112" s="542"/>
      <c r="DEL112" s="542"/>
      <c r="DEM112" s="542"/>
      <c r="DEN112" s="542"/>
      <c r="DEO112" s="542"/>
      <c r="DEP112" s="542"/>
      <c r="DEQ112" s="542"/>
      <c r="DER112" s="542"/>
      <c r="DES112" s="542"/>
      <c r="DET112" s="542"/>
      <c r="DEU112" s="542"/>
      <c r="DEV112" s="542"/>
      <c r="DEW112" s="542"/>
      <c r="DEX112" s="542"/>
      <c r="DEY112" s="542"/>
      <c r="DEZ112" s="542"/>
      <c r="DFA112" s="542"/>
      <c r="DFB112" s="542"/>
      <c r="DFC112" s="542"/>
      <c r="DFD112" s="542"/>
      <c r="DFE112" s="542"/>
      <c r="DFF112" s="542"/>
      <c r="DFG112" s="542"/>
      <c r="DFH112" s="542"/>
      <c r="DFI112" s="542"/>
      <c r="DFJ112" s="542"/>
      <c r="DFK112" s="542"/>
      <c r="DFL112" s="542"/>
      <c r="DFM112" s="542"/>
      <c r="DFN112" s="542"/>
      <c r="DFO112" s="542"/>
      <c r="DFP112" s="542"/>
      <c r="DFQ112" s="542"/>
      <c r="DFR112" s="542"/>
      <c r="DFS112" s="542"/>
      <c r="DFT112" s="542"/>
      <c r="DFU112" s="542"/>
      <c r="DFV112" s="542"/>
      <c r="DFW112" s="542"/>
      <c r="DFX112" s="542"/>
      <c r="DFY112" s="542"/>
      <c r="DFZ112" s="542"/>
      <c r="DGA112" s="542"/>
      <c r="DGB112" s="542"/>
      <c r="DGC112" s="542"/>
      <c r="DGD112" s="542"/>
      <c r="DGE112" s="542"/>
      <c r="DGF112" s="542"/>
      <c r="DGG112" s="542"/>
      <c r="DGH112" s="542"/>
      <c r="DGI112" s="542"/>
      <c r="DGJ112" s="542"/>
      <c r="DGK112" s="542"/>
      <c r="DGL112" s="542"/>
      <c r="DGM112" s="542"/>
      <c r="DGN112" s="542"/>
      <c r="DGO112" s="542"/>
      <c r="DGP112" s="542"/>
      <c r="DGQ112" s="542"/>
      <c r="DGR112" s="542"/>
      <c r="DGS112" s="542"/>
      <c r="DGT112" s="542"/>
      <c r="DGU112" s="542"/>
      <c r="DGV112" s="542"/>
      <c r="DGW112" s="542"/>
      <c r="DGX112" s="542"/>
      <c r="DGY112" s="542"/>
      <c r="DGZ112" s="542"/>
      <c r="DHA112" s="542"/>
      <c r="DHB112" s="542"/>
      <c r="DHC112" s="542"/>
      <c r="DHD112" s="542"/>
      <c r="DHE112" s="542"/>
      <c r="DHF112" s="542"/>
      <c r="DHG112" s="542"/>
      <c r="DHH112" s="542"/>
      <c r="DHI112" s="542"/>
      <c r="DHJ112" s="542"/>
      <c r="DHK112" s="542"/>
      <c r="DHL112" s="542"/>
      <c r="DHM112" s="542"/>
      <c r="DHN112" s="542"/>
      <c r="DHO112" s="542"/>
      <c r="DHP112" s="542"/>
      <c r="DHQ112" s="542"/>
      <c r="DHR112" s="542"/>
      <c r="DHS112" s="542"/>
      <c r="DHT112" s="542"/>
      <c r="DHU112" s="542"/>
      <c r="DHV112" s="542"/>
      <c r="DHW112" s="542"/>
      <c r="DHX112" s="542"/>
      <c r="DHY112" s="542"/>
      <c r="DHZ112" s="542"/>
      <c r="DIA112" s="542"/>
      <c r="DIB112" s="542"/>
      <c r="DIC112" s="542"/>
      <c r="DID112" s="542"/>
      <c r="DIE112" s="542"/>
      <c r="DIF112" s="542"/>
      <c r="DIG112" s="542"/>
      <c r="DIH112" s="542"/>
      <c r="DII112" s="542"/>
      <c r="DIJ112" s="542"/>
      <c r="DIK112" s="542"/>
      <c r="DIL112" s="542"/>
      <c r="DIM112" s="542"/>
      <c r="DIN112" s="542"/>
      <c r="DIO112" s="542"/>
      <c r="DIP112" s="542"/>
      <c r="DIQ112" s="542"/>
      <c r="DIR112" s="542"/>
      <c r="DIS112" s="542"/>
      <c r="DIT112" s="542"/>
      <c r="DIU112" s="542"/>
      <c r="DIV112" s="542"/>
      <c r="DIW112" s="542"/>
      <c r="DIX112" s="542"/>
      <c r="DIY112" s="542"/>
      <c r="DIZ112" s="542"/>
      <c r="DJA112" s="542"/>
      <c r="DJB112" s="542"/>
      <c r="DJC112" s="542"/>
      <c r="DJD112" s="542"/>
      <c r="DJE112" s="542"/>
      <c r="DJF112" s="542"/>
      <c r="DJG112" s="542"/>
      <c r="DJH112" s="542"/>
      <c r="DJI112" s="542"/>
      <c r="DJJ112" s="542"/>
      <c r="DJK112" s="542"/>
      <c r="DJL112" s="542"/>
      <c r="DJM112" s="542"/>
      <c r="DJN112" s="542"/>
      <c r="DJO112" s="542"/>
      <c r="DJP112" s="542"/>
      <c r="DJQ112" s="542"/>
      <c r="DJR112" s="542"/>
      <c r="DJS112" s="542"/>
      <c r="DJT112" s="542"/>
      <c r="DJU112" s="542"/>
      <c r="DJV112" s="542"/>
      <c r="DJW112" s="542"/>
      <c r="DJX112" s="542"/>
      <c r="DJY112" s="542"/>
      <c r="DJZ112" s="542"/>
      <c r="DKA112" s="542"/>
      <c r="DKB112" s="542"/>
      <c r="DKC112" s="542"/>
      <c r="DKD112" s="542"/>
      <c r="DKE112" s="542"/>
      <c r="DKF112" s="542"/>
      <c r="DKG112" s="542"/>
      <c r="DKH112" s="542"/>
      <c r="DKI112" s="542"/>
      <c r="DKJ112" s="542"/>
      <c r="DKK112" s="542"/>
      <c r="DKL112" s="542"/>
      <c r="DKM112" s="542"/>
      <c r="DKN112" s="542"/>
      <c r="DKO112" s="542"/>
      <c r="DKP112" s="542"/>
      <c r="DKQ112" s="542"/>
      <c r="DKR112" s="542"/>
      <c r="DKS112" s="542"/>
      <c r="DKT112" s="542"/>
      <c r="DKU112" s="542"/>
      <c r="DKV112" s="542"/>
      <c r="DKW112" s="542"/>
      <c r="DKX112" s="542"/>
      <c r="DKY112" s="542"/>
      <c r="DKZ112" s="542"/>
      <c r="DLA112" s="542"/>
      <c r="DLB112" s="542"/>
      <c r="DLC112" s="542"/>
      <c r="DLD112" s="542"/>
      <c r="DLE112" s="542"/>
      <c r="DLF112" s="542"/>
      <c r="DLG112" s="542"/>
      <c r="DLH112" s="542"/>
      <c r="DLI112" s="542"/>
      <c r="DLJ112" s="542"/>
      <c r="DLK112" s="542"/>
      <c r="DLL112" s="542"/>
      <c r="DLM112" s="542"/>
      <c r="DLN112" s="542"/>
      <c r="DLO112" s="542"/>
      <c r="DLP112" s="542"/>
      <c r="DLQ112" s="542"/>
      <c r="DLR112" s="542"/>
      <c r="DLS112" s="542"/>
      <c r="DLT112" s="542"/>
      <c r="DLU112" s="542"/>
      <c r="DLV112" s="542"/>
      <c r="DLW112" s="542"/>
      <c r="DLX112" s="542"/>
      <c r="DLY112" s="542"/>
      <c r="DLZ112" s="542"/>
      <c r="DMA112" s="542"/>
      <c r="DMB112" s="542"/>
      <c r="DMC112" s="542"/>
      <c r="DMD112" s="542"/>
      <c r="DME112" s="542"/>
      <c r="DMF112" s="542"/>
      <c r="DMG112" s="542"/>
      <c r="DMH112" s="542"/>
      <c r="DMI112" s="542"/>
      <c r="DMJ112" s="542"/>
      <c r="DMK112" s="542"/>
      <c r="DML112" s="542"/>
      <c r="DMM112" s="542"/>
      <c r="DMN112" s="542"/>
      <c r="DMO112" s="542"/>
      <c r="DMP112" s="542"/>
      <c r="DMQ112" s="542"/>
      <c r="DMR112" s="542"/>
      <c r="DMS112" s="542"/>
      <c r="DMT112" s="542"/>
      <c r="DMU112" s="542"/>
      <c r="DMV112" s="542"/>
      <c r="DMW112" s="542"/>
      <c r="DMX112" s="542"/>
      <c r="DMY112" s="542"/>
      <c r="DMZ112" s="542"/>
      <c r="DNA112" s="542"/>
      <c r="DNB112" s="542"/>
      <c r="DNC112" s="542"/>
      <c r="DND112" s="542"/>
      <c r="DNE112" s="542"/>
      <c r="DNF112" s="542"/>
      <c r="DNG112" s="542"/>
      <c r="DNH112" s="542"/>
      <c r="DNI112" s="542"/>
      <c r="DNJ112" s="542"/>
      <c r="DNK112" s="542"/>
      <c r="DNL112" s="542"/>
      <c r="DNM112" s="542"/>
      <c r="DNN112" s="542"/>
      <c r="DNO112" s="542"/>
      <c r="DNP112" s="542"/>
      <c r="DNQ112" s="542"/>
      <c r="DNR112" s="542"/>
      <c r="DNS112" s="542"/>
      <c r="DNT112" s="542"/>
      <c r="DNU112" s="542"/>
      <c r="DNV112" s="542"/>
      <c r="DNW112" s="542"/>
      <c r="DNX112" s="542"/>
      <c r="DNY112" s="542"/>
      <c r="DNZ112" s="542"/>
      <c r="DOA112" s="542"/>
      <c r="DOB112" s="542"/>
      <c r="DOC112" s="542"/>
      <c r="DOD112" s="542"/>
      <c r="DOE112" s="542"/>
      <c r="DOF112" s="542"/>
      <c r="DOG112" s="542"/>
      <c r="DOH112" s="542"/>
      <c r="DOI112" s="542"/>
      <c r="DOJ112" s="542"/>
      <c r="DOK112" s="542"/>
      <c r="DOL112" s="542"/>
      <c r="DOM112" s="542"/>
      <c r="DON112" s="542"/>
      <c r="DOO112" s="542"/>
      <c r="DOP112" s="542"/>
      <c r="DOQ112" s="542"/>
      <c r="DOR112" s="542"/>
      <c r="DOS112" s="542"/>
      <c r="DOT112" s="542"/>
      <c r="DOU112" s="542"/>
      <c r="DOV112" s="542"/>
      <c r="DOW112" s="542"/>
      <c r="DOX112" s="542"/>
      <c r="DOY112" s="542"/>
      <c r="DOZ112" s="542"/>
      <c r="DPA112" s="542"/>
      <c r="DPB112" s="542"/>
      <c r="DPC112" s="542"/>
      <c r="DPD112" s="542"/>
      <c r="DPE112" s="542"/>
      <c r="DPF112" s="542"/>
      <c r="DPG112" s="542"/>
      <c r="DPH112" s="542"/>
      <c r="DPI112" s="542"/>
      <c r="DPJ112" s="542"/>
      <c r="DPK112" s="542"/>
      <c r="DPL112" s="542"/>
      <c r="DPM112" s="542"/>
      <c r="DPN112" s="542"/>
      <c r="DPO112" s="542"/>
      <c r="DPP112" s="542"/>
      <c r="DPQ112" s="542"/>
      <c r="DPR112" s="542"/>
      <c r="DPS112" s="542"/>
      <c r="DPT112" s="542"/>
      <c r="DPU112" s="542"/>
      <c r="DPV112" s="542"/>
      <c r="DPW112" s="542"/>
      <c r="DPX112" s="542"/>
      <c r="DPY112" s="542"/>
      <c r="DPZ112" s="542"/>
      <c r="DQA112" s="542"/>
      <c r="DQB112" s="542"/>
      <c r="DQC112" s="542"/>
      <c r="DQD112" s="542"/>
      <c r="DQE112" s="542"/>
      <c r="DQF112" s="542"/>
      <c r="DQG112" s="542"/>
      <c r="DQH112" s="542"/>
      <c r="DQI112" s="542"/>
      <c r="DQJ112" s="542"/>
      <c r="DQK112" s="542"/>
      <c r="DQL112" s="542"/>
      <c r="DQM112" s="542"/>
      <c r="DQN112" s="542"/>
      <c r="DQO112" s="542"/>
      <c r="DQP112" s="542"/>
      <c r="DQQ112" s="542"/>
      <c r="DQR112" s="542"/>
      <c r="DQS112" s="542"/>
      <c r="DQT112" s="542"/>
      <c r="DQU112" s="542"/>
      <c r="DQV112" s="542"/>
      <c r="DQW112" s="542"/>
      <c r="DQX112" s="542"/>
      <c r="DQY112" s="542"/>
      <c r="DQZ112" s="542"/>
      <c r="DRA112" s="542"/>
      <c r="DRB112" s="542"/>
      <c r="DRC112" s="542"/>
      <c r="DRD112" s="542"/>
      <c r="DRE112" s="542"/>
      <c r="DRF112" s="542"/>
      <c r="DRG112" s="542"/>
      <c r="DRH112" s="542"/>
      <c r="DRI112" s="542"/>
      <c r="DRJ112" s="542"/>
      <c r="DRK112" s="542"/>
      <c r="DRL112" s="542"/>
      <c r="DRM112" s="542"/>
      <c r="DRN112" s="542"/>
      <c r="DRO112" s="542"/>
      <c r="DRP112" s="542"/>
      <c r="DRQ112" s="542"/>
      <c r="DRR112" s="542"/>
      <c r="DRS112" s="542"/>
      <c r="DRT112" s="542"/>
      <c r="DRU112" s="542"/>
      <c r="DRV112" s="542"/>
      <c r="DRW112" s="542"/>
      <c r="DRX112" s="542"/>
      <c r="DRY112" s="542"/>
      <c r="DRZ112" s="542"/>
      <c r="DSA112" s="542"/>
      <c r="DSB112" s="542"/>
      <c r="DSC112" s="542"/>
      <c r="DSD112" s="542"/>
      <c r="DSE112" s="542"/>
      <c r="DSF112" s="542"/>
      <c r="DSG112" s="542"/>
      <c r="DSH112" s="542"/>
      <c r="DSI112" s="542"/>
      <c r="DSJ112" s="542"/>
      <c r="DSK112" s="542"/>
      <c r="DSL112" s="542"/>
      <c r="DSM112" s="542"/>
      <c r="DSN112" s="542"/>
      <c r="DSO112" s="542"/>
      <c r="DSP112" s="542"/>
      <c r="DSQ112" s="542"/>
      <c r="DSR112" s="542"/>
      <c r="DSS112" s="542"/>
      <c r="DST112" s="542"/>
      <c r="DSU112" s="542"/>
      <c r="DSV112" s="542"/>
      <c r="DSW112" s="542"/>
      <c r="DSX112" s="542"/>
      <c r="DSY112" s="542"/>
      <c r="DSZ112" s="542"/>
      <c r="DTA112" s="542"/>
      <c r="DTB112" s="542"/>
      <c r="DTC112" s="542"/>
      <c r="DTD112" s="542"/>
      <c r="DTE112" s="542"/>
      <c r="DTF112" s="542"/>
      <c r="DTG112" s="542"/>
      <c r="DTH112" s="542"/>
      <c r="DTI112" s="542"/>
      <c r="DTJ112" s="542"/>
      <c r="DTK112" s="542"/>
      <c r="DTL112" s="542"/>
      <c r="DTM112" s="542"/>
      <c r="DTN112" s="542"/>
      <c r="DTO112" s="542"/>
      <c r="DTP112" s="542"/>
      <c r="DTQ112" s="542"/>
      <c r="DTR112" s="542"/>
      <c r="DTS112" s="542"/>
      <c r="DTT112" s="542"/>
      <c r="DTU112" s="542"/>
      <c r="DTV112" s="542"/>
      <c r="DTW112" s="542"/>
      <c r="DTX112" s="542"/>
      <c r="DTY112" s="542"/>
      <c r="DTZ112" s="542"/>
      <c r="DUA112" s="542"/>
      <c r="DUB112" s="542"/>
      <c r="DUC112" s="542"/>
      <c r="DUD112" s="542"/>
      <c r="DUE112" s="542"/>
      <c r="DUF112" s="542"/>
      <c r="DUG112" s="542"/>
      <c r="DUH112" s="542"/>
      <c r="DUI112" s="542"/>
      <c r="DUJ112" s="542"/>
      <c r="DUK112" s="542"/>
      <c r="DUL112" s="542"/>
      <c r="DUM112" s="542"/>
      <c r="DUN112" s="542"/>
      <c r="DUO112" s="542"/>
      <c r="DUP112" s="542"/>
      <c r="DUQ112" s="542"/>
      <c r="DUR112" s="542"/>
      <c r="DUS112" s="542"/>
      <c r="DUT112" s="542"/>
      <c r="DUU112" s="542"/>
      <c r="DUV112" s="542"/>
      <c r="DUW112" s="542"/>
      <c r="DUX112" s="542"/>
      <c r="DUY112" s="542"/>
      <c r="DUZ112" s="542"/>
      <c r="DVA112" s="542"/>
      <c r="DVB112" s="542"/>
      <c r="DVC112" s="542"/>
      <c r="DVD112" s="542"/>
      <c r="DVE112" s="542"/>
      <c r="DVF112" s="542"/>
      <c r="DVG112" s="542"/>
      <c r="DVH112" s="542"/>
      <c r="DVI112" s="542"/>
      <c r="DVJ112" s="542"/>
      <c r="DVK112" s="542"/>
      <c r="DVL112" s="542"/>
      <c r="DVM112" s="542"/>
      <c r="DVN112" s="542"/>
      <c r="DVO112" s="542"/>
      <c r="DVP112" s="542"/>
      <c r="DVQ112" s="542"/>
      <c r="DVR112" s="542"/>
      <c r="DVS112" s="542"/>
      <c r="DVT112" s="542"/>
      <c r="DVU112" s="542"/>
      <c r="DVV112" s="542"/>
      <c r="DVW112" s="542"/>
      <c r="DVX112" s="542"/>
      <c r="DVY112" s="542"/>
      <c r="DVZ112" s="542"/>
      <c r="DWA112" s="542"/>
      <c r="DWB112" s="542"/>
      <c r="DWC112" s="542"/>
      <c r="DWD112" s="542"/>
      <c r="DWE112" s="542"/>
      <c r="DWF112" s="542"/>
      <c r="DWG112" s="542"/>
      <c r="DWH112" s="542"/>
      <c r="DWI112" s="542"/>
      <c r="DWJ112" s="542"/>
      <c r="DWK112" s="542"/>
      <c r="DWL112" s="542"/>
      <c r="DWM112" s="542"/>
      <c r="DWN112" s="542"/>
      <c r="DWO112" s="542"/>
      <c r="DWP112" s="542"/>
      <c r="DWQ112" s="542"/>
      <c r="DWR112" s="542"/>
      <c r="DWS112" s="542"/>
      <c r="DWT112" s="542"/>
      <c r="DWU112" s="542"/>
      <c r="DWV112" s="542"/>
      <c r="DWW112" s="542"/>
      <c r="DWX112" s="542"/>
      <c r="DWY112" s="542"/>
      <c r="DWZ112" s="542"/>
      <c r="DXA112" s="542"/>
      <c r="DXB112" s="542"/>
      <c r="DXC112" s="542"/>
      <c r="DXD112" s="542"/>
      <c r="DXE112" s="542"/>
      <c r="DXF112" s="542"/>
      <c r="DXG112" s="542"/>
      <c r="DXH112" s="542"/>
      <c r="DXI112" s="542"/>
      <c r="DXJ112" s="542"/>
      <c r="DXK112" s="542"/>
      <c r="DXL112" s="542"/>
      <c r="DXM112" s="542"/>
      <c r="DXN112" s="542"/>
      <c r="DXO112" s="542"/>
      <c r="DXP112" s="542"/>
      <c r="DXQ112" s="542"/>
      <c r="DXR112" s="542"/>
      <c r="DXS112" s="542"/>
      <c r="DXT112" s="542"/>
      <c r="DXU112" s="542"/>
      <c r="DXV112" s="542"/>
      <c r="DXW112" s="542"/>
      <c r="DXX112" s="542"/>
      <c r="DXY112" s="542"/>
      <c r="DXZ112" s="542"/>
      <c r="DYA112" s="542"/>
      <c r="DYB112" s="542"/>
      <c r="DYC112" s="542"/>
      <c r="DYD112" s="542"/>
      <c r="DYE112" s="542"/>
      <c r="DYF112" s="542"/>
      <c r="DYG112" s="542"/>
      <c r="DYH112" s="542"/>
      <c r="DYI112" s="542"/>
      <c r="DYJ112" s="542"/>
      <c r="DYK112" s="542"/>
      <c r="DYL112" s="542"/>
      <c r="DYM112" s="542"/>
      <c r="DYN112" s="542"/>
      <c r="DYO112" s="542"/>
      <c r="DYP112" s="542"/>
      <c r="DYQ112" s="542"/>
      <c r="DYR112" s="542"/>
      <c r="DYS112" s="542"/>
      <c r="DYT112" s="542"/>
      <c r="DYU112" s="542"/>
      <c r="DYV112" s="542"/>
      <c r="DYW112" s="542"/>
      <c r="DYX112" s="542"/>
      <c r="DYY112" s="542"/>
      <c r="DYZ112" s="542"/>
      <c r="DZA112" s="542"/>
      <c r="DZB112" s="542"/>
      <c r="DZC112" s="542"/>
      <c r="DZD112" s="542"/>
      <c r="DZE112" s="542"/>
      <c r="DZF112" s="542"/>
      <c r="DZG112" s="542"/>
      <c r="DZH112" s="542"/>
      <c r="DZI112" s="542"/>
      <c r="DZJ112" s="542"/>
      <c r="DZK112" s="542"/>
      <c r="DZL112" s="542"/>
      <c r="DZM112" s="542"/>
      <c r="DZN112" s="542"/>
      <c r="DZO112" s="542"/>
      <c r="DZP112" s="542"/>
      <c r="DZQ112" s="542"/>
      <c r="DZR112" s="542"/>
      <c r="DZS112" s="542"/>
      <c r="DZT112" s="542"/>
      <c r="DZU112" s="542"/>
      <c r="DZV112" s="542"/>
      <c r="DZW112" s="542"/>
      <c r="DZX112" s="542"/>
      <c r="DZY112" s="542"/>
      <c r="DZZ112" s="542"/>
      <c r="EAA112" s="542"/>
      <c r="EAB112" s="542"/>
      <c r="EAC112" s="542"/>
      <c r="EAD112" s="542"/>
      <c r="EAE112" s="542"/>
      <c r="EAF112" s="542"/>
      <c r="EAG112" s="542"/>
      <c r="EAH112" s="542"/>
      <c r="EAI112" s="542"/>
      <c r="EAJ112" s="542"/>
      <c r="EAK112" s="542"/>
      <c r="EAL112" s="542"/>
      <c r="EAM112" s="542"/>
      <c r="EAN112" s="542"/>
      <c r="EAO112" s="542"/>
      <c r="EAP112" s="542"/>
      <c r="EAQ112" s="542"/>
      <c r="EAR112" s="542"/>
      <c r="EAS112" s="542"/>
      <c r="EAT112" s="542"/>
      <c r="EAU112" s="542"/>
      <c r="EAV112" s="542"/>
      <c r="EAW112" s="542"/>
      <c r="EAX112" s="542"/>
      <c r="EAY112" s="542"/>
      <c r="EAZ112" s="542"/>
      <c r="EBA112" s="542"/>
      <c r="EBB112" s="542"/>
      <c r="EBC112" s="542"/>
      <c r="EBD112" s="542"/>
      <c r="EBE112" s="542"/>
      <c r="EBF112" s="542"/>
      <c r="EBG112" s="542"/>
      <c r="EBH112" s="542"/>
      <c r="EBI112" s="542"/>
      <c r="EBJ112" s="542"/>
      <c r="EBK112" s="542"/>
      <c r="EBL112" s="542"/>
      <c r="EBM112" s="542"/>
      <c r="EBN112" s="542"/>
      <c r="EBO112" s="542"/>
      <c r="EBP112" s="542"/>
      <c r="EBQ112" s="542"/>
      <c r="EBR112" s="542"/>
      <c r="EBS112" s="542"/>
      <c r="EBT112" s="542"/>
      <c r="EBU112" s="542"/>
      <c r="EBV112" s="542"/>
      <c r="EBW112" s="542"/>
      <c r="EBX112" s="542"/>
      <c r="EBY112" s="542"/>
      <c r="EBZ112" s="542"/>
      <c r="ECA112" s="542"/>
      <c r="ECB112" s="542"/>
      <c r="ECC112" s="542"/>
      <c r="ECD112" s="542"/>
      <c r="ECE112" s="542"/>
      <c r="ECF112" s="542"/>
      <c r="ECG112" s="542"/>
      <c r="ECH112" s="542"/>
      <c r="ECI112" s="542"/>
      <c r="ECJ112" s="542"/>
      <c r="ECK112" s="542"/>
      <c r="ECL112" s="542"/>
      <c r="ECM112" s="542"/>
      <c r="ECN112" s="542"/>
      <c r="ECO112" s="542"/>
      <c r="ECP112" s="542"/>
      <c r="ECQ112" s="542"/>
      <c r="ECR112" s="542"/>
      <c r="ECS112" s="542"/>
      <c r="ECT112" s="542"/>
      <c r="ECU112" s="542"/>
      <c r="ECV112" s="542"/>
      <c r="ECW112" s="542"/>
      <c r="ECX112" s="542"/>
      <c r="ECY112" s="542"/>
      <c r="ECZ112" s="542"/>
      <c r="EDA112" s="542"/>
      <c r="EDB112" s="542"/>
      <c r="EDC112" s="542"/>
      <c r="EDD112" s="542"/>
      <c r="EDE112" s="542"/>
      <c r="EDF112" s="542"/>
      <c r="EDG112" s="542"/>
      <c r="EDH112" s="542"/>
      <c r="EDI112" s="542"/>
      <c r="EDJ112" s="542"/>
      <c r="EDK112" s="542"/>
      <c r="EDL112" s="542"/>
      <c r="EDM112" s="542"/>
      <c r="EDN112" s="542"/>
      <c r="EDO112" s="542"/>
      <c r="EDP112" s="542"/>
      <c r="EDQ112" s="542"/>
      <c r="EDR112" s="542"/>
      <c r="EDS112" s="542"/>
      <c r="EDT112" s="542"/>
      <c r="EDU112" s="542"/>
      <c r="EDV112" s="542"/>
      <c r="EDW112" s="542"/>
      <c r="EDX112" s="542"/>
      <c r="EDY112" s="542"/>
      <c r="EDZ112" s="542"/>
      <c r="EEA112" s="542"/>
      <c r="EEB112" s="542"/>
      <c r="EEC112" s="542"/>
      <c r="EED112" s="542"/>
      <c r="EEE112" s="542"/>
      <c r="EEF112" s="542"/>
      <c r="EEG112" s="542"/>
      <c r="EEH112" s="542"/>
      <c r="EEI112" s="542"/>
      <c r="EEJ112" s="542"/>
      <c r="EEK112" s="542"/>
      <c r="EEL112" s="542"/>
      <c r="EEM112" s="542"/>
      <c r="EEN112" s="542"/>
      <c r="EEO112" s="542"/>
      <c r="EEP112" s="542"/>
      <c r="EEQ112" s="542"/>
      <c r="EER112" s="542"/>
      <c r="EES112" s="542"/>
      <c r="EET112" s="542"/>
      <c r="EEU112" s="542"/>
      <c r="EEV112" s="542"/>
      <c r="EEW112" s="542"/>
      <c r="EEX112" s="542"/>
      <c r="EEY112" s="542"/>
      <c r="EEZ112" s="542"/>
      <c r="EFA112" s="542"/>
      <c r="EFB112" s="542"/>
      <c r="EFC112" s="542"/>
      <c r="EFD112" s="542"/>
      <c r="EFE112" s="542"/>
      <c r="EFF112" s="542"/>
      <c r="EFG112" s="542"/>
      <c r="EFH112" s="542"/>
      <c r="EFI112" s="542"/>
      <c r="EFJ112" s="542"/>
      <c r="EFK112" s="542"/>
      <c r="EFL112" s="542"/>
      <c r="EFM112" s="542"/>
      <c r="EFN112" s="542"/>
      <c r="EFO112" s="542"/>
      <c r="EFP112" s="542"/>
      <c r="EFQ112" s="542"/>
      <c r="EFR112" s="542"/>
      <c r="EFS112" s="542"/>
      <c r="EFT112" s="542"/>
      <c r="EFU112" s="542"/>
      <c r="EFV112" s="542"/>
      <c r="EFW112" s="542"/>
      <c r="EFX112" s="542"/>
      <c r="EFY112" s="542"/>
      <c r="EFZ112" s="542"/>
      <c r="EGA112" s="542"/>
      <c r="EGB112" s="542"/>
      <c r="EGC112" s="542"/>
      <c r="EGD112" s="542"/>
      <c r="EGE112" s="542"/>
      <c r="EGF112" s="542"/>
      <c r="EGG112" s="542"/>
      <c r="EGH112" s="542"/>
      <c r="EGI112" s="542"/>
      <c r="EGJ112" s="542"/>
      <c r="EGK112" s="542"/>
      <c r="EGL112" s="542"/>
      <c r="EGM112" s="542"/>
      <c r="EGN112" s="542"/>
      <c r="EGO112" s="542"/>
      <c r="EGP112" s="542"/>
      <c r="EGQ112" s="542"/>
      <c r="EGR112" s="542"/>
      <c r="EGS112" s="542"/>
      <c r="EGT112" s="542"/>
      <c r="EGU112" s="542"/>
      <c r="EGV112" s="542"/>
      <c r="EGW112" s="542"/>
      <c r="EGX112" s="542"/>
      <c r="EGY112" s="542"/>
      <c r="EGZ112" s="542"/>
      <c r="EHA112" s="542"/>
      <c r="EHB112" s="542"/>
      <c r="EHC112" s="542"/>
      <c r="EHD112" s="542"/>
      <c r="EHE112" s="542"/>
      <c r="EHF112" s="542"/>
      <c r="EHG112" s="542"/>
      <c r="EHH112" s="542"/>
      <c r="EHI112" s="542"/>
      <c r="EHJ112" s="542"/>
      <c r="EHK112" s="542"/>
      <c r="EHL112" s="542"/>
      <c r="EHM112" s="542"/>
      <c r="EHN112" s="542"/>
      <c r="EHO112" s="542"/>
      <c r="EHP112" s="542"/>
      <c r="EHQ112" s="542"/>
      <c r="EHR112" s="542"/>
      <c r="EHS112" s="542"/>
      <c r="EHT112" s="542"/>
      <c r="EHU112" s="542"/>
      <c r="EHV112" s="542"/>
      <c r="EHW112" s="542"/>
      <c r="EHX112" s="542"/>
      <c r="EHY112" s="542"/>
      <c r="EHZ112" s="542"/>
      <c r="EIA112" s="542"/>
      <c r="EIB112" s="542"/>
      <c r="EIC112" s="542"/>
      <c r="EID112" s="542"/>
      <c r="EIE112" s="542"/>
      <c r="EIF112" s="542"/>
      <c r="EIG112" s="542"/>
      <c r="EIH112" s="542"/>
      <c r="EII112" s="542"/>
      <c r="EIJ112" s="542"/>
      <c r="EIK112" s="542"/>
      <c r="EIL112" s="542"/>
      <c r="EIM112" s="542"/>
      <c r="EIN112" s="542"/>
      <c r="EIO112" s="542"/>
      <c r="EIP112" s="542"/>
      <c r="EIQ112" s="542"/>
      <c r="EIR112" s="542"/>
      <c r="EIS112" s="542"/>
      <c r="EIT112" s="542"/>
      <c r="EIU112" s="542"/>
      <c r="EIV112" s="542"/>
      <c r="EIW112" s="542"/>
      <c r="EIX112" s="542"/>
      <c r="EIY112" s="542"/>
      <c r="EIZ112" s="542"/>
      <c r="EJA112" s="542"/>
      <c r="EJB112" s="542"/>
      <c r="EJC112" s="542"/>
      <c r="EJD112" s="542"/>
      <c r="EJE112" s="542"/>
      <c r="EJF112" s="542"/>
      <c r="EJG112" s="542"/>
      <c r="EJH112" s="542"/>
      <c r="EJI112" s="542"/>
      <c r="EJJ112" s="542"/>
      <c r="EJK112" s="542"/>
      <c r="EJL112" s="542"/>
      <c r="EJM112" s="542"/>
      <c r="EJN112" s="542"/>
      <c r="EJO112" s="542"/>
      <c r="EJP112" s="542"/>
      <c r="EJQ112" s="542"/>
      <c r="EJR112" s="542"/>
      <c r="EJS112" s="542"/>
      <c r="EJT112" s="542"/>
      <c r="EJU112" s="542"/>
      <c r="EJV112" s="542"/>
      <c r="EJW112" s="542"/>
      <c r="EJX112" s="542"/>
      <c r="EJY112" s="542"/>
      <c r="EJZ112" s="542"/>
      <c r="EKA112" s="542"/>
      <c r="EKB112" s="542"/>
      <c r="EKC112" s="542"/>
      <c r="EKD112" s="542"/>
      <c r="EKE112" s="542"/>
      <c r="EKF112" s="542"/>
      <c r="EKG112" s="542"/>
      <c r="EKH112" s="542"/>
      <c r="EKI112" s="542"/>
      <c r="EKJ112" s="542"/>
      <c r="EKK112" s="542"/>
      <c r="EKL112" s="542"/>
      <c r="EKM112" s="542"/>
      <c r="EKN112" s="542"/>
      <c r="EKO112" s="542"/>
      <c r="EKP112" s="542"/>
      <c r="EKQ112" s="542"/>
      <c r="EKR112" s="542"/>
      <c r="EKS112" s="542"/>
      <c r="EKT112" s="542"/>
      <c r="EKU112" s="542"/>
      <c r="EKV112" s="542"/>
      <c r="EKW112" s="542"/>
      <c r="EKX112" s="542"/>
      <c r="EKY112" s="542"/>
      <c r="EKZ112" s="542"/>
      <c r="ELA112" s="542"/>
      <c r="ELB112" s="542"/>
      <c r="ELC112" s="542"/>
      <c r="ELD112" s="542"/>
      <c r="ELE112" s="542"/>
      <c r="ELF112" s="542"/>
      <c r="ELG112" s="542"/>
      <c r="ELH112" s="542"/>
      <c r="ELI112" s="542"/>
      <c r="ELJ112" s="542"/>
      <c r="ELK112" s="542"/>
      <c r="ELL112" s="542"/>
      <c r="ELM112" s="542"/>
      <c r="ELN112" s="542"/>
      <c r="ELO112" s="542"/>
      <c r="ELP112" s="542"/>
      <c r="ELQ112" s="542"/>
      <c r="ELR112" s="542"/>
      <c r="ELS112" s="542"/>
      <c r="ELT112" s="542"/>
      <c r="ELU112" s="542"/>
      <c r="ELV112" s="542"/>
      <c r="ELW112" s="542"/>
      <c r="ELX112" s="542"/>
      <c r="ELY112" s="542"/>
      <c r="ELZ112" s="542"/>
      <c r="EMA112" s="542"/>
      <c r="EMB112" s="542"/>
      <c r="EMC112" s="542"/>
      <c r="EMD112" s="542"/>
      <c r="EME112" s="542"/>
      <c r="EMF112" s="542"/>
      <c r="EMG112" s="542"/>
      <c r="EMH112" s="542"/>
      <c r="EMI112" s="542"/>
      <c r="EMJ112" s="542"/>
      <c r="EMK112" s="542"/>
      <c r="EML112" s="542"/>
      <c r="EMM112" s="542"/>
      <c r="EMN112" s="542"/>
      <c r="EMO112" s="542"/>
      <c r="EMP112" s="542"/>
      <c r="EMQ112" s="542"/>
      <c r="EMR112" s="542"/>
      <c r="EMS112" s="542"/>
      <c r="EMT112" s="542"/>
      <c r="EMU112" s="542"/>
      <c r="EMV112" s="542"/>
      <c r="EMW112" s="542"/>
      <c r="EMX112" s="542"/>
      <c r="EMY112" s="542"/>
      <c r="EMZ112" s="542"/>
      <c r="ENA112" s="542"/>
      <c r="ENB112" s="542"/>
      <c r="ENC112" s="542"/>
      <c r="END112" s="542"/>
      <c r="ENE112" s="542"/>
      <c r="ENF112" s="542"/>
      <c r="ENG112" s="542"/>
      <c r="ENH112" s="542"/>
      <c r="ENI112" s="542"/>
      <c r="ENJ112" s="542"/>
      <c r="ENK112" s="542"/>
      <c r="ENL112" s="542"/>
      <c r="ENM112" s="542"/>
      <c r="ENN112" s="542"/>
      <c r="ENO112" s="542"/>
      <c r="ENP112" s="542"/>
      <c r="ENQ112" s="542"/>
      <c r="ENR112" s="542"/>
      <c r="ENS112" s="542"/>
      <c r="ENT112" s="542"/>
      <c r="ENU112" s="542"/>
      <c r="ENV112" s="542"/>
      <c r="ENW112" s="542"/>
      <c r="ENX112" s="542"/>
      <c r="ENY112" s="542"/>
      <c r="ENZ112" s="542"/>
      <c r="EOA112" s="542"/>
      <c r="EOB112" s="542"/>
      <c r="EOC112" s="542"/>
      <c r="EOD112" s="542"/>
      <c r="EOE112" s="542"/>
      <c r="EOF112" s="542"/>
      <c r="EOG112" s="542"/>
      <c r="EOH112" s="542"/>
      <c r="EOI112" s="542"/>
      <c r="EOJ112" s="542"/>
      <c r="EOK112" s="542"/>
      <c r="EOL112" s="542"/>
      <c r="EOM112" s="542"/>
      <c r="EON112" s="542"/>
      <c r="EOO112" s="542"/>
      <c r="EOP112" s="542"/>
      <c r="EOQ112" s="542"/>
      <c r="EOR112" s="542"/>
      <c r="EOS112" s="542"/>
      <c r="EOT112" s="542"/>
      <c r="EOU112" s="542"/>
      <c r="EOV112" s="542"/>
      <c r="EOW112" s="542"/>
      <c r="EOX112" s="542"/>
      <c r="EOY112" s="542"/>
      <c r="EOZ112" s="542"/>
      <c r="EPA112" s="542"/>
      <c r="EPB112" s="542"/>
      <c r="EPC112" s="542"/>
      <c r="EPD112" s="542"/>
      <c r="EPE112" s="542"/>
      <c r="EPF112" s="542"/>
      <c r="EPG112" s="542"/>
      <c r="EPH112" s="542"/>
      <c r="EPI112" s="542"/>
      <c r="EPJ112" s="542"/>
      <c r="EPK112" s="542"/>
      <c r="EPL112" s="542"/>
      <c r="EPM112" s="542"/>
      <c r="EPN112" s="542"/>
      <c r="EPO112" s="542"/>
      <c r="EPP112" s="542"/>
      <c r="EPQ112" s="542"/>
      <c r="EPR112" s="542"/>
      <c r="EPS112" s="542"/>
      <c r="EPT112" s="542"/>
      <c r="EPU112" s="542"/>
      <c r="EPV112" s="542"/>
      <c r="EPW112" s="542"/>
      <c r="EPX112" s="542"/>
      <c r="EPY112" s="542"/>
      <c r="EPZ112" s="542"/>
      <c r="EQA112" s="542"/>
      <c r="EQB112" s="542"/>
      <c r="EQC112" s="542"/>
      <c r="EQD112" s="542"/>
      <c r="EQE112" s="542"/>
      <c r="EQF112" s="542"/>
      <c r="EQG112" s="542"/>
      <c r="EQH112" s="542"/>
      <c r="EQI112" s="542"/>
      <c r="EQJ112" s="542"/>
      <c r="EQK112" s="542"/>
      <c r="EQL112" s="542"/>
      <c r="EQM112" s="542"/>
      <c r="EQN112" s="542"/>
      <c r="EQO112" s="542"/>
      <c r="EQP112" s="542"/>
      <c r="EQQ112" s="542"/>
      <c r="EQR112" s="542"/>
      <c r="EQS112" s="542"/>
      <c r="EQT112" s="542"/>
      <c r="EQU112" s="542"/>
      <c r="EQV112" s="542"/>
      <c r="EQW112" s="542"/>
      <c r="EQX112" s="542"/>
      <c r="EQY112" s="542"/>
      <c r="EQZ112" s="542"/>
      <c r="ERA112" s="542"/>
      <c r="ERB112" s="542"/>
      <c r="ERC112" s="542"/>
      <c r="ERD112" s="542"/>
      <c r="ERE112" s="542"/>
      <c r="ERF112" s="542"/>
      <c r="ERG112" s="542"/>
      <c r="ERH112" s="542"/>
      <c r="ERI112" s="542"/>
      <c r="ERJ112" s="542"/>
      <c r="ERK112" s="542"/>
      <c r="ERL112" s="542"/>
      <c r="ERM112" s="542"/>
      <c r="ERN112" s="542"/>
      <c r="ERO112" s="542"/>
      <c r="ERP112" s="542"/>
      <c r="ERQ112" s="542"/>
      <c r="ERR112" s="542"/>
      <c r="ERS112" s="542"/>
      <c r="ERT112" s="542"/>
      <c r="ERU112" s="542"/>
      <c r="ERV112" s="542"/>
      <c r="ERW112" s="542"/>
      <c r="ERX112" s="542"/>
      <c r="ERY112" s="542"/>
      <c r="ERZ112" s="542"/>
      <c r="ESA112" s="542"/>
      <c r="ESB112" s="542"/>
      <c r="ESC112" s="542"/>
      <c r="ESD112" s="542"/>
      <c r="ESE112" s="542"/>
      <c r="ESF112" s="542"/>
      <c r="ESG112" s="542"/>
      <c r="ESH112" s="542"/>
      <c r="ESI112" s="542"/>
      <c r="ESJ112" s="542"/>
      <c r="ESK112" s="542"/>
      <c r="ESL112" s="542"/>
      <c r="ESM112" s="542"/>
      <c r="ESN112" s="542"/>
      <c r="ESO112" s="542"/>
      <c r="ESP112" s="542"/>
      <c r="ESQ112" s="542"/>
      <c r="ESR112" s="542"/>
      <c r="ESS112" s="542"/>
      <c r="EST112" s="542"/>
      <c r="ESU112" s="542"/>
      <c r="ESV112" s="542"/>
      <c r="ESW112" s="542"/>
      <c r="ESX112" s="542"/>
      <c r="ESY112" s="542"/>
      <c r="ESZ112" s="542"/>
      <c r="ETA112" s="542"/>
      <c r="ETB112" s="542"/>
      <c r="ETC112" s="542"/>
      <c r="ETD112" s="542"/>
      <c r="ETE112" s="542"/>
      <c r="ETF112" s="542"/>
      <c r="ETG112" s="542"/>
      <c r="ETH112" s="542"/>
      <c r="ETI112" s="542"/>
      <c r="ETJ112" s="542"/>
      <c r="ETK112" s="542"/>
      <c r="ETL112" s="542"/>
      <c r="ETM112" s="542"/>
      <c r="ETN112" s="542"/>
      <c r="ETO112" s="542"/>
      <c r="ETP112" s="542"/>
      <c r="ETQ112" s="542"/>
      <c r="ETR112" s="542"/>
      <c r="ETS112" s="542"/>
      <c r="ETT112" s="542"/>
      <c r="ETU112" s="542"/>
      <c r="ETV112" s="542"/>
      <c r="ETW112" s="542"/>
      <c r="ETX112" s="542"/>
      <c r="ETY112" s="542"/>
      <c r="ETZ112" s="542"/>
      <c r="EUA112" s="542"/>
      <c r="EUB112" s="542"/>
      <c r="EUC112" s="542"/>
      <c r="EUD112" s="542"/>
      <c r="EUE112" s="542"/>
      <c r="EUF112" s="542"/>
      <c r="EUG112" s="542"/>
      <c r="EUH112" s="542"/>
      <c r="EUI112" s="542"/>
      <c r="EUJ112" s="542"/>
      <c r="EUK112" s="542"/>
      <c r="EUL112" s="542"/>
      <c r="EUM112" s="542"/>
      <c r="EUN112" s="542"/>
      <c r="EUO112" s="542"/>
      <c r="EUP112" s="542"/>
      <c r="EUQ112" s="542"/>
      <c r="EUR112" s="542"/>
      <c r="EUS112" s="542"/>
      <c r="EUT112" s="542"/>
      <c r="EUU112" s="542"/>
      <c r="EUV112" s="542"/>
      <c r="EUW112" s="542"/>
      <c r="EUX112" s="542"/>
      <c r="EUY112" s="542"/>
      <c r="EUZ112" s="542"/>
      <c r="EVA112" s="542"/>
      <c r="EVB112" s="542"/>
      <c r="EVC112" s="542"/>
      <c r="EVD112" s="542"/>
      <c r="EVE112" s="542"/>
      <c r="EVF112" s="542"/>
      <c r="EVG112" s="542"/>
      <c r="EVH112" s="542"/>
      <c r="EVI112" s="542"/>
      <c r="EVJ112" s="542"/>
      <c r="EVK112" s="542"/>
      <c r="EVL112" s="542"/>
      <c r="EVM112" s="542"/>
      <c r="EVN112" s="542"/>
      <c r="EVO112" s="542"/>
      <c r="EVP112" s="542"/>
      <c r="EVQ112" s="542"/>
      <c r="EVR112" s="542"/>
      <c r="EVS112" s="542"/>
      <c r="EVT112" s="542"/>
      <c r="EVU112" s="542"/>
      <c r="EVV112" s="542"/>
      <c r="EVW112" s="542"/>
      <c r="EVX112" s="542"/>
      <c r="EVY112" s="542"/>
      <c r="EVZ112" s="542"/>
      <c r="EWA112" s="542"/>
      <c r="EWB112" s="542"/>
      <c r="EWC112" s="542"/>
      <c r="EWD112" s="542"/>
      <c r="EWE112" s="542"/>
      <c r="EWF112" s="542"/>
      <c r="EWG112" s="542"/>
      <c r="EWH112" s="542"/>
      <c r="EWI112" s="542"/>
      <c r="EWJ112" s="542"/>
      <c r="EWK112" s="542"/>
      <c r="EWL112" s="542"/>
      <c r="EWM112" s="542"/>
      <c r="EWN112" s="542"/>
      <c r="EWO112" s="542"/>
      <c r="EWP112" s="542"/>
      <c r="EWQ112" s="542"/>
      <c r="EWR112" s="542"/>
      <c r="EWS112" s="542"/>
      <c r="EWT112" s="542"/>
      <c r="EWU112" s="542"/>
      <c r="EWV112" s="542"/>
      <c r="EWW112" s="542"/>
      <c r="EWX112" s="542"/>
      <c r="EWY112" s="542"/>
      <c r="EWZ112" s="542"/>
      <c r="EXA112" s="542"/>
      <c r="EXB112" s="542"/>
      <c r="EXC112" s="542"/>
      <c r="EXD112" s="542"/>
      <c r="EXE112" s="542"/>
      <c r="EXF112" s="542"/>
      <c r="EXG112" s="542"/>
      <c r="EXH112" s="542"/>
      <c r="EXI112" s="542"/>
      <c r="EXJ112" s="542"/>
      <c r="EXK112" s="542"/>
      <c r="EXL112" s="542"/>
      <c r="EXM112" s="542"/>
      <c r="EXN112" s="542"/>
      <c r="EXO112" s="542"/>
      <c r="EXP112" s="542"/>
      <c r="EXQ112" s="542"/>
      <c r="EXR112" s="542"/>
      <c r="EXS112" s="542"/>
      <c r="EXT112" s="542"/>
      <c r="EXU112" s="542"/>
      <c r="EXV112" s="542"/>
      <c r="EXW112" s="542"/>
      <c r="EXX112" s="542"/>
      <c r="EXY112" s="542"/>
      <c r="EXZ112" s="542"/>
      <c r="EYA112" s="542"/>
      <c r="EYB112" s="542"/>
      <c r="EYC112" s="542"/>
      <c r="EYD112" s="542"/>
      <c r="EYE112" s="542"/>
      <c r="EYF112" s="542"/>
      <c r="EYG112" s="542"/>
      <c r="EYH112" s="542"/>
      <c r="EYI112" s="542"/>
      <c r="EYJ112" s="542"/>
      <c r="EYK112" s="542"/>
      <c r="EYL112" s="542"/>
      <c r="EYM112" s="542"/>
      <c r="EYN112" s="542"/>
      <c r="EYO112" s="542"/>
      <c r="EYP112" s="542"/>
      <c r="EYQ112" s="542"/>
      <c r="EYR112" s="542"/>
      <c r="EYS112" s="542"/>
      <c r="EYT112" s="542"/>
      <c r="EYU112" s="542"/>
      <c r="EYV112" s="542"/>
      <c r="EYW112" s="542"/>
      <c r="EYX112" s="542"/>
      <c r="EYY112" s="542"/>
      <c r="EYZ112" s="542"/>
      <c r="EZA112" s="542"/>
      <c r="EZB112" s="542"/>
      <c r="EZC112" s="542"/>
      <c r="EZD112" s="542"/>
      <c r="EZE112" s="542"/>
      <c r="EZF112" s="542"/>
      <c r="EZG112" s="542"/>
      <c r="EZH112" s="542"/>
      <c r="EZI112" s="542"/>
      <c r="EZJ112" s="542"/>
      <c r="EZK112" s="542"/>
      <c r="EZL112" s="542"/>
      <c r="EZM112" s="542"/>
      <c r="EZN112" s="542"/>
      <c r="EZO112" s="542"/>
      <c r="EZP112" s="542"/>
      <c r="EZQ112" s="542"/>
      <c r="EZR112" s="542"/>
      <c r="EZS112" s="542"/>
      <c r="EZT112" s="542"/>
      <c r="EZU112" s="542"/>
      <c r="EZV112" s="542"/>
      <c r="EZW112" s="542"/>
      <c r="EZX112" s="542"/>
      <c r="EZY112" s="542"/>
      <c r="EZZ112" s="542"/>
      <c r="FAA112" s="542"/>
      <c r="FAB112" s="542"/>
      <c r="FAC112" s="542"/>
      <c r="FAD112" s="542"/>
      <c r="FAE112" s="542"/>
      <c r="FAF112" s="542"/>
      <c r="FAG112" s="542"/>
      <c r="FAH112" s="542"/>
      <c r="FAI112" s="542"/>
      <c r="FAJ112" s="542"/>
      <c r="FAK112" s="542"/>
      <c r="FAL112" s="542"/>
      <c r="FAM112" s="542"/>
      <c r="FAN112" s="542"/>
      <c r="FAO112" s="542"/>
      <c r="FAP112" s="542"/>
      <c r="FAQ112" s="542"/>
      <c r="FAR112" s="542"/>
      <c r="FAS112" s="542"/>
      <c r="FAT112" s="542"/>
      <c r="FAU112" s="542"/>
      <c r="FAV112" s="542"/>
      <c r="FAW112" s="542"/>
      <c r="FAX112" s="542"/>
      <c r="FAY112" s="542"/>
      <c r="FAZ112" s="542"/>
      <c r="FBA112" s="542"/>
      <c r="FBB112" s="542"/>
      <c r="FBC112" s="542"/>
      <c r="FBD112" s="542"/>
      <c r="FBE112" s="542"/>
      <c r="FBF112" s="542"/>
      <c r="FBG112" s="542"/>
      <c r="FBH112" s="542"/>
      <c r="FBI112" s="542"/>
      <c r="FBJ112" s="542"/>
      <c r="FBK112" s="542"/>
      <c r="FBL112" s="542"/>
      <c r="FBM112" s="542"/>
      <c r="FBN112" s="542"/>
      <c r="FBO112" s="542"/>
      <c r="FBP112" s="542"/>
      <c r="FBQ112" s="542"/>
      <c r="FBR112" s="542"/>
      <c r="FBS112" s="542"/>
      <c r="FBT112" s="542"/>
      <c r="FBU112" s="542"/>
      <c r="FBV112" s="542"/>
      <c r="FBW112" s="542"/>
      <c r="FBX112" s="542"/>
      <c r="FBY112" s="542"/>
      <c r="FBZ112" s="542"/>
      <c r="FCA112" s="542"/>
      <c r="FCB112" s="542"/>
      <c r="FCC112" s="542"/>
      <c r="FCD112" s="542"/>
      <c r="FCE112" s="542"/>
      <c r="FCF112" s="542"/>
      <c r="FCG112" s="542"/>
      <c r="FCH112" s="542"/>
      <c r="FCI112" s="542"/>
      <c r="FCJ112" s="542"/>
      <c r="FCK112" s="542"/>
      <c r="FCL112" s="542"/>
      <c r="FCM112" s="542"/>
      <c r="FCN112" s="542"/>
      <c r="FCO112" s="542"/>
      <c r="FCP112" s="542"/>
      <c r="FCQ112" s="542"/>
      <c r="FCR112" s="542"/>
      <c r="FCS112" s="542"/>
      <c r="FCT112" s="542"/>
      <c r="FCU112" s="542"/>
      <c r="FCV112" s="542"/>
      <c r="FCW112" s="542"/>
      <c r="FCX112" s="542"/>
      <c r="FCY112" s="542"/>
      <c r="FCZ112" s="542"/>
      <c r="FDA112" s="542"/>
      <c r="FDB112" s="542"/>
      <c r="FDC112" s="542"/>
      <c r="FDD112" s="542"/>
      <c r="FDE112" s="542"/>
      <c r="FDF112" s="542"/>
      <c r="FDG112" s="542"/>
      <c r="FDH112" s="542"/>
      <c r="FDI112" s="542"/>
      <c r="FDJ112" s="542"/>
      <c r="FDK112" s="542"/>
      <c r="FDL112" s="542"/>
      <c r="FDM112" s="542"/>
      <c r="FDN112" s="542"/>
      <c r="FDO112" s="542"/>
      <c r="FDP112" s="542"/>
      <c r="FDQ112" s="542"/>
      <c r="FDR112" s="542"/>
      <c r="FDS112" s="542"/>
      <c r="FDT112" s="542"/>
      <c r="FDU112" s="542"/>
      <c r="FDV112" s="542"/>
      <c r="FDW112" s="542"/>
      <c r="FDX112" s="542"/>
      <c r="FDY112" s="542"/>
      <c r="FDZ112" s="542"/>
      <c r="FEA112" s="542"/>
      <c r="FEB112" s="542"/>
      <c r="FEC112" s="542"/>
      <c r="FED112" s="542"/>
      <c r="FEE112" s="542"/>
      <c r="FEF112" s="542"/>
      <c r="FEG112" s="542"/>
      <c r="FEH112" s="542"/>
      <c r="FEI112" s="542"/>
      <c r="FEJ112" s="542"/>
      <c r="FEK112" s="542"/>
      <c r="FEL112" s="542"/>
      <c r="FEM112" s="542"/>
      <c r="FEN112" s="542"/>
      <c r="FEO112" s="542"/>
      <c r="FEP112" s="542"/>
      <c r="FEQ112" s="542"/>
      <c r="FER112" s="542"/>
      <c r="FES112" s="542"/>
      <c r="FET112" s="542"/>
      <c r="FEU112" s="542"/>
      <c r="FEV112" s="542"/>
      <c r="FEW112" s="542"/>
      <c r="FEX112" s="542"/>
      <c r="FEY112" s="542"/>
      <c r="FEZ112" s="542"/>
      <c r="FFA112" s="542"/>
      <c r="FFB112" s="542"/>
      <c r="FFC112" s="542"/>
      <c r="FFD112" s="542"/>
      <c r="FFE112" s="542"/>
      <c r="FFF112" s="542"/>
      <c r="FFG112" s="542"/>
      <c r="FFH112" s="542"/>
      <c r="FFI112" s="542"/>
      <c r="FFJ112" s="542"/>
      <c r="FFK112" s="542"/>
      <c r="FFL112" s="542"/>
      <c r="FFM112" s="542"/>
      <c r="FFN112" s="542"/>
      <c r="FFO112" s="542"/>
      <c r="FFP112" s="542"/>
      <c r="FFQ112" s="542"/>
      <c r="FFR112" s="542"/>
      <c r="FFS112" s="542"/>
      <c r="FFT112" s="542"/>
      <c r="FFU112" s="542"/>
      <c r="FFV112" s="542"/>
      <c r="FFW112" s="542"/>
      <c r="FFX112" s="542"/>
      <c r="FFY112" s="542"/>
      <c r="FFZ112" s="542"/>
      <c r="FGA112" s="542"/>
      <c r="FGB112" s="542"/>
      <c r="FGC112" s="542"/>
      <c r="FGD112" s="542"/>
      <c r="FGE112" s="542"/>
      <c r="FGF112" s="542"/>
      <c r="FGG112" s="542"/>
      <c r="FGH112" s="542"/>
      <c r="FGI112" s="542"/>
      <c r="FGJ112" s="542"/>
      <c r="FGK112" s="542"/>
      <c r="FGL112" s="542"/>
      <c r="FGM112" s="542"/>
      <c r="FGN112" s="542"/>
      <c r="FGO112" s="542"/>
      <c r="FGP112" s="542"/>
      <c r="FGQ112" s="542"/>
      <c r="FGR112" s="542"/>
      <c r="FGS112" s="542"/>
      <c r="FGT112" s="542"/>
      <c r="FGU112" s="542"/>
      <c r="FGV112" s="542"/>
      <c r="FGW112" s="542"/>
      <c r="FGX112" s="542"/>
      <c r="FGY112" s="542"/>
      <c r="FGZ112" s="542"/>
      <c r="FHA112" s="542"/>
      <c r="FHB112" s="542"/>
      <c r="FHC112" s="542"/>
      <c r="FHD112" s="542"/>
      <c r="FHE112" s="542"/>
      <c r="FHF112" s="542"/>
      <c r="FHG112" s="542"/>
      <c r="FHH112" s="542"/>
      <c r="FHI112" s="542"/>
      <c r="FHJ112" s="542"/>
      <c r="FHK112" s="542"/>
      <c r="FHL112" s="542"/>
      <c r="FHM112" s="542"/>
      <c r="FHN112" s="542"/>
      <c r="FHO112" s="542"/>
      <c r="FHP112" s="542"/>
      <c r="FHQ112" s="542"/>
      <c r="FHR112" s="542"/>
      <c r="FHS112" s="542"/>
      <c r="FHT112" s="542"/>
      <c r="FHU112" s="542"/>
      <c r="FHV112" s="542"/>
      <c r="FHW112" s="542"/>
      <c r="FHX112" s="542"/>
      <c r="FHY112" s="542"/>
      <c r="FHZ112" s="542"/>
      <c r="FIA112" s="542"/>
      <c r="FIB112" s="542"/>
      <c r="FIC112" s="542"/>
      <c r="FID112" s="542"/>
      <c r="FIE112" s="542"/>
      <c r="FIF112" s="542"/>
      <c r="FIG112" s="542"/>
      <c r="FIH112" s="542"/>
      <c r="FII112" s="542"/>
      <c r="FIJ112" s="542"/>
      <c r="FIK112" s="542"/>
      <c r="FIL112" s="542"/>
      <c r="FIM112" s="542"/>
      <c r="FIN112" s="542"/>
      <c r="FIO112" s="542"/>
      <c r="FIP112" s="542"/>
      <c r="FIQ112" s="542"/>
      <c r="FIR112" s="542"/>
      <c r="FIS112" s="542"/>
      <c r="FIT112" s="542"/>
      <c r="FIU112" s="542"/>
      <c r="FIV112" s="542"/>
      <c r="FIW112" s="542"/>
      <c r="FIX112" s="542"/>
      <c r="FIY112" s="542"/>
      <c r="FIZ112" s="542"/>
      <c r="FJA112" s="542"/>
      <c r="FJB112" s="542"/>
      <c r="FJC112" s="542"/>
      <c r="FJD112" s="542"/>
      <c r="FJE112" s="542"/>
      <c r="FJF112" s="542"/>
      <c r="FJG112" s="542"/>
      <c r="FJH112" s="542"/>
      <c r="FJI112" s="542"/>
      <c r="FJJ112" s="542"/>
      <c r="FJK112" s="542"/>
      <c r="FJL112" s="542"/>
      <c r="FJM112" s="542"/>
      <c r="FJN112" s="542"/>
      <c r="FJO112" s="542"/>
      <c r="FJP112" s="542"/>
      <c r="FJQ112" s="542"/>
      <c r="FJR112" s="542"/>
      <c r="FJS112" s="542"/>
      <c r="FJT112" s="542"/>
      <c r="FJU112" s="542"/>
      <c r="FJV112" s="542"/>
      <c r="FJW112" s="542"/>
      <c r="FJX112" s="542"/>
      <c r="FJY112" s="542"/>
      <c r="FJZ112" s="542"/>
      <c r="FKA112" s="542"/>
      <c r="FKB112" s="542"/>
      <c r="FKC112" s="542"/>
      <c r="FKD112" s="542"/>
      <c r="FKE112" s="542"/>
      <c r="FKF112" s="542"/>
      <c r="FKG112" s="542"/>
      <c r="FKH112" s="542"/>
      <c r="FKI112" s="542"/>
      <c r="FKJ112" s="542"/>
      <c r="FKK112" s="542"/>
      <c r="FKL112" s="542"/>
      <c r="FKM112" s="542"/>
      <c r="FKN112" s="542"/>
      <c r="FKO112" s="542"/>
      <c r="FKP112" s="542"/>
      <c r="FKQ112" s="542"/>
      <c r="FKR112" s="542"/>
      <c r="FKS112" s="542"/>
      <c r="FKT112" s="542"/>
      <c r="FKU112" s="542"/>
      <c r="FKV112" s="542"/>
      <c r="FKW112" s="542"/>
      <c r="FKX112" s="542"/>
      <c r="FKY112" s="542"/>
      <c r="FKZ112" s="542"/>
      <c r="FLA112" s="542"/>
      <c r="FLB112" s="542"/>
      <c r="FLC112" s="542"/>
      <c r="FLD112" s="542"/>
      <c r="FLE112" s="542"/>
      <c r="FLF112" s="542"/>
      <c r="FLG112" s="542"/>
      <c r="FLH112" s="542"/>
      <c r="FLI112" s="542"/>
      <c r="FLJ112" s="542"/>
      <c r="FLK112" s="542"/>
      <c r="FLL112" s="542"/>
      <c r="FLM112" s="542"/>
      <c r="FLN112" s="542"/>
      <c r="FLO112" s="542"/>
      <c r="FLP112" s="542"/>
      <c r="FLQ112" s="542"/>
      <c r="FLR112" s="542"/>
      <c r="FLS112" s="542"/>
      <c r="FLT112" s="542"/>
      <c r="FLU112" s="542"/>
      <c r="FLV112" s="542"/>
      <c r="FLW112" s="542"/>
      <c r="FLX112" s="542"/>
      <c r="FLY112" s="542"/>
      <c r="FLZ112" s="542"/>
      <c r="FMA112" s="542"/>
      <c r="FMB112" s="542"/>
      <c r="FMC112" s="542"/>
      <c r="FMD112" s="542"/>
      <c r="FME112" s="542"/>
      <c r="FMF112" s="542"/>
      <c r="FMG112" s="542"/>
      <c r="FMH112" s="542"/>
      <c r="FMI112" s="542"/>
      <c r="FMJ112" s="542"/>
      <c r="FMK112" s="542"/>
      <c r="FML112" s="542"/>
      <c r="FMM112" s="542"/>
      <c r="FMN112" s="542"/>
      <c r="FMO112" s="542"/>
      <c r="FMP112" s="542"/>
      <c r="FMQ112" s="542"/>
      <c r="FMR112" s="542"/>
      <c r="FMS112" s="542"/>
      <c r="FMT112" s="542"/>
      <c r="FMU112" s="542"/>
      <c r="FMV112" s="542"/>
      <c r="FMW112" s="542"/>
      <c r="FMX112" s="542"/>
      <c r="FMY112" s="542"/>
      <c r="FMZ112" s="542"/>
      <c r="FNA112" s="542"/>
      <c r="FNB112" s="542"/>
      <c r="FNC112" s="542"/>
      <c r="FND112" s="542"/>
      <c r="FNE112" s="542"/>
      <c r="FNF112" s="542"/>
      <c r="FNG112" s="542"/>
      <c r="FNH112" s="542"/>
      <c r="FNI112" s="542"/>
      <c r="FNJ112" s="542"/>
      <c r="FNK112" s="542"/>
      <c r="FNL112" s="542"/>
      <c r="FNM112" s="542"/>
      <c r="FNN112" s="542"/>
      <c r="FNO112" s="542"/>
      <c r="FNP112" s="542"/>
      <c r="FNQ112" s="542"/>
      <c r="FNR112" s="542"/>
      <c r="FNS112" s="542"/>
      <c r="FNT112" s="542"/>
      <c r="FNU112" s="542"/>
      <c r="FNV112" s="542"/>
      <c r="FNW112" s="542"/>
      <c r="FNX112" s="542"/>
      <c r="FNY112" s="542"/>
      <c r="FNZ112" s="542"/>
      <c r="FOA112" s="542"/>
      <c r="FOB112" s="542"/>
      <c r="FOC112" s="542"/>
      <c r="FOD112" s="542"/>
      <c r="FOE112" s="542"/>
      <c r="FOF112" s="542"/>
      <c r="FOG112" s="542"/>
      <c r="FOH112" s="542"/>
      <c r="FOI112" s="542"/>
      <c r="FOJ112" s="542"/>
      <c r="FOK112" s="542"/>
      <c r="FOL112" s="542"/>
      <c r="FOM112" s="542"/>
      <c r="FON112" s="542"/>
      <c r="FOO112" s="542"/>
      <c r="FOP112" s="542"/>
      <c r="FOQ112" s="542"/>
      <c r="FOR112" s="542"/>
      <c r="FOS112" s="542"/>
      <c r="FOT112" s="542"/>
      <c r="FOU112" s="542"/>
      <c r="FOV112" s="542"/>
      <c r="FOW112" s="542"/>
      <c r="FOX112" s="542"/>
      <c r="FOY112" s="542"/>
      <c r="FOZ112" s="542"/>
      <c r="FPA112" s="542"/>
      <c r="FPB112" s="542"/>
      <c r="FPC112" s="542"/>
      <c r="FPD112" s="542"/>
      <c r="FPE112" s="542"/>
      <c r="FPF112" s="542"/>
      <c r="FPG112" s="542"/>
      <c r="FPH112" s="542"/>
      <c r="FPI112" s="542"/>
      <c r="FPJ112" s="542"/>
      <c r="FPK112" s="542"/>
      <c r="FPL112" s="542"/>
      <c r="FPM112" s="542"/>
      <c r="FPN112" s="542"/>
      <c r="FPO112" s="542"/>
      <c r="FPP112" s="542"/>
      <c r="FPQ112" s="542"/>
      <c r="FPR112" s="542"/>
      <c r="FPS112" s="542"/>
      <c r="FPT112" s="542"/>
      <c r="FPU112" s="542"/>
      <c r="FPV112" s="542"/>
      <c r="FPW112" s="542"/>
      <c r="FPX112" s="542"/>
      <c r="FPY112" s="542"/>
      <c r="FPZ112" s="542"/>
      <c r="FQA112" s="542"/>
      <c r="FQB112" s="542"/>
      <c r="FQC112" s="542"/>
      <c r="FQD112" s="542"/>
      <c r="FQE112" s="542"/>
      <c r="FQF112" s="542"/>
      <c r="FQG112" s="542"/>
      <c r="FQH112" s="542"/>
      <c r="FQI112" s="542"/>
      <c r="FQJ112" s="542"/>
      <c r="FQK112" s="542"/>
      <c r="FQL112" s="542"/>
      <c r="FQM112" s="542"/>
      <c r="FQN112" s="542"/>
      <c r="FQO112" s="542"/>
      <c r="FQP112" s="542"/>
      <c r="FQQ112" s="542"/>
      <c r="FQR112" s="542"/>
      <c r="FQS112" s="542"/>
      <c r="FQT112" s="542"/>
      <c r="FQU112" s="542"/>
      <c r="FQV112" s="542"/>
      <c r="FQW112" s="542"/>
      <c r="FQX112" s="542"/>
      <c r="FQY112" s="542"/>
      <c r="FQZ112" s="542"/>
      <c r="FRA112" s="542"/>
      <c r="FRB112" s="542"/>
      <c r="FRC112" s="542"/>
      <c r="FRD112" s="542"/>
      <c r="FRE112" s="542"/>
      <c r="FRF112" s="542"/>
      <c r="FRG112" s="542"/>
      <c r="FRH112" s="542"/>
      <c r="FRI112" s="542"/>
      <c r="FRJ112" s="542"/>
      <c r="FRK112" s="542"/>
      <c r="FRL112" s="542"/>
      <c r="FRM112" s="542"/>
      <c r="FRN112" s="542"/>
      <c r="FRO112" s="542"/>
      <c r="FRP112" s="542"/>
      <c r="FRQ112" s="542"/>
      <c r="FRR112" s="542"/>
      <c r="FRS112" s="542"/>
      <c r="FRT112" s="542"/>
      <c r="FRU112" s="542"/>
      <c r="FRV112" s="542"/>
      <c r="FRW112" s="542"/>
      <c r="FRX112" s="542"/>
      <c r="FRY112" s="542"/>
      <c r="FRZ112" s="542"/>
      <c r="FSA112" s="542"/>
      <c r="FSB112" s="542"/>
      <c r="FSC112" s="542"/>
      <c r="FSD112" s="542"/>
      <c r="FSE112" s="542"/>
      <c r="FSF112" s="542"/>
      <c r="FSG112" s="542"/>
      <c r="FSH112" s="542"/>
      <c r="FSI112" s="542"/>
      <c r="FSJ112" s="542"/>
      <c r="FSK112" s="542"/>
      <c r="FSL112" s="542"/>
      <c r="FSM112" s="542"/>
      <c r="FSN112" s="542"/>
      <c r="FSO112" s="542"/>
      <c r="FSP112" s="542"/>
      <c r="FSQ112" s="542"/>
      <c r="FSR112" s="542"/>
      <c r="FSS112" s="542"/>
      <c r="FST112" s="542"/>
      <c r="FSU112" s="542"/>
      <c r="FSV112" s="542"/>
      <c r="FSW112" s="542"/>
      <c r="FSX112" s="542"/>
      <c r="FSY112" s="542"/>
      <c r="FSZ112" s="542"/>
      <c r="FTA112" s="542"/>
      <c r="FTB112" s="542"/>
      <c r="FTC112" s="542"/>
      <c r="FTD112" s="542"/>
      <c r="FTE112" s="542"/>
      <c r="FTF112" s="542"/>
      <c r="FTG112" s="542"/>
      <c r="FTH112" s="542"/>
      <c r="FTI112" s="542"/>
      <c r="FTJ112" s="542"/>
      <c r="FTK112" s="542"/>
      <c r="FTL112" s="542"/>
      <c r="FTM112" s="542"/>
      <c r="FTN112" s="542"/>
      <c r="FTO112" s="542"/>
      <c r="FTP112" s="542"/>
      <c r="FTQ112" s="542"/>
      <c r="FTR112" s="542"/>
      <c r="FTS112" s="542"/>
      <c r="FTT112" s="542"/>
      <c r="FTU112" s="542"/>
      <c r="FTV112" s="542"/>
      <c r="FTW112" s="542"/>
      <c r="FTX112" s="542"/>
      <c r="FTY112" s="542"/>
      <c r="FTZ112" s="542"/>
      <c r="FUA112" s="542"/>
      <c r="FUB112" s="542"/>
      <c r="FUC112" s="542"/>
      <c r="FUD112" s="542"/>
      <c r="FUE112" s="542"/>
      <c r="FUF112" s="542"/>
      <c r="FUG112" s="542"/>
      <c r="FUH112" s="542"/>
      <c r="FUI112" s="542"/>
      <c r="FUJ112" s="542"/>
      <c r="FUK112" s="542"/>
      <c r="FUL112" s="542"/>
      <c r="FUM112" s="542"/>
      <c r="FUN112" s="542"/>
      <c r="FUO112" s="542"/>
      <c r="FUP112" s="542"/>
      <c r="FUQ112" s="542"/>
      <c r="FUR112" s="542"/>
      <c r="FUS112" s="542"/>
      <c r="FUT112" s="542"/>
      <c r="FUU112" s="542"/>
      <c r="FUV112" s="542"/>
      <c r="FUW112" s="542"/>
      <c r="FUX112" s="542"/>
      <c r="FUY112" s="542"/>
      <c r="FUZ112" s="542"/>
      <c r="FVA112" s="542"/>
      <c r="FVB112" s="542"/>
      <c r="FVC112" s="542"/>
      <c r="FVD112" s="542"/>
      <c r="FVE112" s="542"/>
      <c r="FVF112" s="542"/>
      <c r="FVG112" s="542"/>
      <c r="FVH112" s="542"/>
      <c r="FVI112" s="542"/>
      <c r="FVJ112" s="542"/>
      <c r="FVK112" s="542"/>
      <c r="FVL112" s="542"/>
      <c r="FVM112" s="542"/>
      <c r="FVN112" s="542"/>
      <c r="FVO112" s="542"/>
      <c r="FVP112" s="542"/>
      <c r="FVQ112" s="542"/>
      <c r="FVR112" s="542"/>
      <c r="FVS112" s="542"/>
      <c r="FVT112" s="542"/>
      <c r="FVU112" s="542"/>
      <c r="FVV112" s="542"/>
      <c r="FVW112" s="542"/>
      <c r="FVX112" s="542"/>
      <c r="FVY112" s="542"/>
      <c r="FVZ112" s="542"/>
      <c r="FWA112" s="542"/>
      <c r="FWB112" s="542"/>
      <c r="FWC112" s="542"/>
      <c r="FWD112" s="542"/>
      <c r="FWE112" s="542"/>
      <c r="FWF112" s="542"/>
      <c r="FWG112" s="542"/>
      <c r="FWH112" s="542"/>
      <c r="FWI112" s="542"/>
      <c r="FWJ112" s="542"/>
      <c r="FWK112" s="542"/>
      <c r="FWL112" s="542"/>
      <c r="FWM112" s="542"/>
      <c r="FWN112" s="542"/>
      <c r="FWO112" s="542"/>
      <c r="FWP112" s="542"/>
      <c r="FWQ112" s="542"/>
      <c r="FWR112" s="542"/>
      <c r="FWS112" s="542"/>
      <c r="FWT112" s="542"/>
      <c r="FWU112" s="542"/>
      <c r="FWV112" s="542"/>
      <c r="FWW112" s="542"/>
      <c r="FWX112" s="542"/>
      <c r="FWY112" s="542"/>
      <c r="FWZ112" s="542"/>
      <c r="FXA112" s="542"/>
      <c r="FXB112" s="542"/>
      <c r="FXC112" s="542"/>
      <c r="FXD112" s="542"/>
      <c r="FXE112" s="542"/>
      <c r="FXF112" s="542"/>
      <c r="FXG112" s="542"/>
      <c r="FXH112" s="542"/>
      <c r="FXI112" s="542"/>
      <c r="FXJ112" s="542"/>
      <c r="FXK112" s="542"/>
      <c r="FXL112" s="542"/>
      <c r="FXM112" s="542"/>
      <c r="FXN112" s="542"/>
      <c r="FXO112" s="542"/>
      <c r="FXP112" s="542"/>
      <c r="FXQ112" s="542"/>
      <c r="FXR112" s="542"/>
      <c r="FXS112" s="542"/>
      <c r="FXT112" s="542"/>
      <c r="FXU112" s="542"/>
      <c r="FXV112" s="542"/>
      <c r="FXW112" s="542"/>
      <c r="FXX112" s="542"/>
      <c r="FXY112" s="542"/>
      <c r="FXZ112" s="542"/>
      <c r="FYA112" s="542"/>
      <c r="FYB112" s="542"/>
      <c r="FYC112" s="542"/>
      <c r="FYD112" s="542"/>
      <c r="FYE112" s="542"/>
      <c r="FYF112" s="542"/>
      <c r="FYG112" s="542"/>
      <c r="FYH112" s="542"/>
      <c r="FYI112" s="542"/>
      <c r="FYJ112" s="542"/>
      <c r="FYK112" s="542"/>
      <c r="FYL112" s="542"/>
      <c r="FYM112" s="542"/>
      <c r="FYN112" s="542"/>
      <c r="FYO112" s="542"/>
      <c r="FYP112" s="542"/>
      <c r="FYQ112" s="542"/>
      <c r="FYR112" s="542"/>
      <c r="FYS112" s="542"/>
      <c r="FYT112" s="542"/>
      <c r="FYU112" s="542"/>
      <c r="FYV112" s="542"/>
      <c r="FYW112" s="542"/>
      <c r="FYX112" s="542"/>
      <c r="FYY112" s="542"/>
      <c r="FYZ112" s="542"/>
      <c r="FZA112" s="542"/>
      <c r="FZB112" s="542"/>
      <c r="FZC112" s="542"/>
      <c r="FZD112" s="542"/>
      <c r="FZE112" s="542"/>
      <c r="FZF112" s="542"/>
      <c r="FZG112" s="542"/>
      <c r="FZH112" s="542"/>
      <c r="FZI112" s="542"/>
      <c r="FZJ112" s="542"/>
      <c r="FZK112" s="542"/>
      <c r="FZL112" s="542"/>
      <c r="FZM112" s="542"/>
      <c r="FZN112" s="542"/>
      <c r="FZO112" s="542"/>
      <c r="FZP112" s="542"/>
      <c r="FZQ112" s="542"/>
      <c r="FZR112" s="542"/>
      <c r="FZS112" s="542"/>
      <c r="FZT112" s="542"/>
      <c r="FZU112" s="542"/>
      <c r="FZV112" s="542"/>
      <c r="FZW112" s="542"/>
      <c r="FZX112" s="542"/>
      <c r="FZY112" s="542"/>
      <c r="FZZ112" s="542"/>
      <c r="GAA112" s="542"/>
      <c r="GAB112" s="542"/>
      <c r="GAC112" s="542"/>
      <c r="GAD112" s="542"/>
      <c r="GAE112" s="542"/>
      <c r="GAF112" s="542"/>
      <c r="GAG112" s="542"/>
      <c r="GAH112" s="542"/>
      <c r="GAI112" s="542"/>
      <c r="GAJ112" s="542"/>
      <c r="GAK112" s="542"/>
      <c r="GAL112" s="542"/>
      <c r="GAM112" s="542"/>
      <c r="GAN112" s="542"/>
      <c r="GAO112" s="542"/>
      <c r="GAP112" s="542"/>
      <c r="GAQ112" s="542"/>
      <c r="GAR112" s="542"/>
      <c r="GAS112" s="542"/>
      <c r="GAT112" s="542"/>
      <c r="GAU112" s="542"/>
      <c r="GAV112" s="542"/>
      <c r="GAW112" s="542"/>
      <c r="GAX112" s="542"/>
      <c r="GAY112" s="542"/>
      <c r="GAZ112" s="542"/>
      <c r="GBA112" s="542"/>
      <c r="GBB112" s="542"/>
      <c r="GBC112" s="542"/>
      <c r="GBD112" s="542"/>
      <c r="GBE112" s="542"/>
      <c r="GBF112" s="542"/>
      <c r="GBG112" s="542"/>
      <c r="GBH112" s="542"/>
      <c r="GBI112" s="542"/>
      <c r="GBJ112" s="542"/>
      <c r="GBK112" s="542"/>
      <c r="GBL112" s="542"/>
      <c r="GBM112" s="542"/>
      <c r="GBN112" s="542"/>
      <c r="GBO112" s="542"/>
      <c r="GBP112" s="542"/>
      <c r="GBQ112" s="542"/>
      <c r="GBR112" s="542"/>
      <c r="GBS112" s="542"/>
      <c r="GBT112" s="542"/>
      <c r="GBU112" s="542"/>
      <c r="GBV112" s="542"/>
      <c r="GBW112" s="542"/>
      <c r="GBX112" s="542"/>
      <c r="GBY112" s="542"/>
      <c r="GBZ112" s="542"/>
      <c r="GCA112" s="542"/>
      <c r="GCB112" s="542"/>
      <c r="GCC112" s="542"/>
      <c r="GCD112" s="542"/>
      <c r="GCE112" s="542"/>
      <c r="GCF112" s="542"/>
      <c r="GCG112" s="542"/>
      <c r="GCH112" s="542"/>
      <c r="GCI112" s="542"/>
      <c r="GCJ112" s="542"/>
      <c r="GCK112" s="542"/>
      <c r="GCL112" s="542"/>
      <c r="GCM112" s="542"/>
      <c r="GCN112" s="542"/>
      <c r="GCO112" s="542"/>
      <c r="GCP112" s="542"/>
      <c r="GCQ112" s="542"/>
      <c r="GCR112" s="542"/>
      <c r="GCS112" s="542"/>
      <c r="GCT112" s="542"/>
      <c r="GCU112" s="542"/>
      <c r="GCV112" s="542"/>
      <c r="GCW112" s="542"/>
      <c r="GCX112" s="542"/>
      <c r="GCY112" s="542"/>
      <c r="GCZ112" s="542"/>
      <c r="GDA112" s="542"/>
      <c r="GDB112" s="542"/>
      <c r="GDC112" s="542"/>
      <c r="GDD112" s="542"/>
      <c r="GDE112" s="542"/>
      <c r="GDF112" s="542"/>
      <c r="GDG112" s="542"/>
      <c r="GDH112" s="542"/>
      <c r="GDI112" s="542"/>
      <c r="GDJ112" s="542"/>
      <c r="GDK112" s="542"/>
      <c r="GDL112" s="542"/>
      <c r="GDM112" s="542"/>
      <c r="GDN112" s="542"/>
      <c r="GDO112" s="542"/>
      <c r="GDP112" s="542"/>
      <c r="GDQ112" s="542"/>
      <c r="GDR112" s="542"/>
      <c r="GDS112" s="542"/>
      <c r="GDT112" s="542"/>
      <c r="GDU112" s="542"/>
      <c r="GDV112" s="542"/>
      <c r="GDW112" s="542"/>
      <c r="GDX112" s="542"/>
      <c r="GDY112" s="542"/>
      <c r="GDZ112" s="542"/>
      <c r="GEA112" s="542"/>
      <c r="GEB112" s="542"/>
      <c r="GEC112" s="542"/>
      <c r="GED112" s="542"/>
      <c r="GEE112" s="542"/>
      <c r="GEF112" s="542"/>
      <c r="GEG112" s="542"/>
      <c r="GEH112" s="542"/>
      <c r="GEI112" s="542"/>
      <c r="GEJ112" s="542"/>
      <c r="GEK112" s="542"/>
      <c r="GEL112" s="542"/>
      <c r="GEM112" s="542"/>
      <c r="GEN112" s="542"/>
      <c r="GEO112" s="542"/>
      <c r="GEP112" s="542"/>
      <c r="GEQ112" s="542"/>
      <c r="GER112" s="542"/>
      <c r="GES112" s="542"/>
      <c r="GET112" s="542"/>
      <c r="GEU112" s="542"/>
      <c r="GEV112" s="542"/>
      <c r="GEW112" s="542"/>
      <c r="GEX112" s="542"/>
      <c r="GEY112" s="542"/>
      <c r="GEZ112" s="542"/>
      <c r="GFA112" s="542"/>
      <c r="GFB112" s="542"/>
      <c r="GFC112" s="542"/>
      <c r="GFD112" s="542"/>
      <c r="GFE112" s="542"/>
      <c r="GFF112" s="542"/>
      <c r="GFG112" s="542"/>
      <c r="GFH112" s="542"/>
      <c r="GFI112" s="542"/>
      <c r="GFJ112" s="542"/>
      <c r="GFK112" s="542"/>
      <c r="GFL112" s="542"/>
      <c r="GFM112" s="542"/>
      <c r="GFN112" s="542"/>
      <c r="GFO112" s="542"/>
      <c r="GFP112" s="542"/>
      <c r="GFQ112" s="542"/>
      <c r="GFR112" s="542"/>
      <c r="GFS112" s="542"/>
      <c r="GFT112" s="542"/>
      <c r="GFU112" s="542"/>
      <c r="GFV112" s="542"/>
      <c r="GFW112" s="542"/>
      <c r="GFX112" s="542"/>
      <c r="GFY112" s="542"/>
      <c r="GFZ112" s="542"/>
      <c r="GGA112" s="542"/>
      <c r="GGB112" s="542"/>
      <c r="GGC112" s="542"/>
      <c r="GGD112" s="542"/>
      <c r="GGE112" s="542"/>
      <c r="GGF112" s="542"/>
      <c r="GGG112" s="542"/>
      <c r="GGH112" s="542"/>
      <c r="GGI112" s="542"/>
      <c r="GGJ112" s="542"/>
      <c r="GGK112" s="542"/>
      <c r="GGL112" s="542"/>
      <c r="GGM112" s="542"/>
      <c r="GGN112" s="542"/>
      <c r="GGO112" s="542"/>
      <c r="GGP112" s="542"/>
      <c r="GGQ112" s="542"/>
      <c r="GGR112" s="542"/>
      <c r="GGS112" s="542"/>
      <c r="GGT112" s="542"/>
      <c r="GGU112" s="542"/>
      <c r="GGV112" s="542"/>
      <c r="GGW112" s="542"/>
      <c r="GGX112" s="542"/>
      <c r="GGY112" s="542"/>
      <c r="GGZ112" s="542"/>
      <c r="GHA112" s="542"/>
      <c r="GHB112" s="542"/>
      <c r="GHC112" s="542"/>
      <c r="GHD112" s="542"/>
      <c r="GHE112" s="542"/>
      <c r="GHF112" s="542"/>
      <c r="GHG112" s="542"/>
      <c r="GHH112" s="542"/>
      <c r="GHI112" s="542"/>
      <c r="GHJ112" s="542"/>
      <c r="GHK112" s="542"/>
      <c r="GHL112" s="542"/>
      <c r="GHM112" s="542"/>
      <c r="GHN112" s="542"/>
      <c r="GHO112" s="542"/>
      <c r="GHP112" s="542"/>
      <c r="GHQ112" s="542"/>
      <c r="GHR112" s="542"/>
      <c r="GHS112" s="542"/>
      <c r="GHT112" s="542"/>
      <c r="GHU112" s="542"/>
      <c r="GHV112" s="542"/>
      <c r="GHW112" s="542"/>
      <c r="GHX112" s="542"/>
      <c r="GHY112" s="542"/>
      <c r="GHZ112" s="542"/>
      <c r="GIA112" s="542"/>
      <c r="GIB112" s="542"/>
      <c r="GIC112" s="542"/>
      <c r="GID112" s="542"/>
      <c r="GIE112" s="542"/>
      <c r="GIF112" s="542"/>
      <c r="GIG112" s="542"/>
      <c r="GIH112" s="542"/>
      <c r="GII112" s="542"/>
      <c r="GIJ112" s="542"/>
      <c r="GIK112" s="542"/>
      <c r="GIL112" s="542"/>
      <c r="GIM112" s="542"/>
      <c r="GIN112" s="542"/>
      <c r="GIO112" s="542"/>
      <c r="GIP112" s="542"/>
      <c r="GIQ112" s="542"/>
      <c r="GIR112" s="542"/>
      <c r="GIS112" s="542"/>
      <c r="GIT112" s="542"/>
      <c r="GIU112" s="542"/>
      <c r="GIV112" s="542"/>
      <c r="GIW112" s="542"/>
      <c r="GIX112" s="542"/>
      <c r="GIY112" s="542"/>
      <c r="GIZ112" s="542"/>
      <c r="GJA112" s="542"/>
      <c r="GJB112" s="542"/>
      <c r="GJC112" s="542"/>
      <c r="GJD112" s="542"/>
      <c r="GJE112" s="542"/>
      <c r="GJF112" s="542"/>
      <c r="GJG112" s="542"/>
      <c r="GJH112" s="542"/>
      <c r="GJI112" s="542"/>
      <c r="GJJ112" s="542"/>
      <c r="GJK112" s="542"/>
      <c r="GJL112" s="542"/>
      <c r="GJM112" s="542"/>
      <c r="GJN112" s="542"/>
      <c r="GJO112" s="542"/>
      <c r="GJP112" s="542"/>
      <c r="GJQ112" s="542"/>
      <c r="GJR112" s="542"/>
      <c r="GJS112" s="542"/>
      <c r="GJT112" s="542"/>
      <c r="GJU112" s="542"/>
      <c r="GJV112" s="542"/>
      <c r="GJW112" s="542"/>
      <c r="GJX112" s="542"/>
      <c r="GJY112" s="542"/>
      <c r="GJZ112" s="542"/>
      <c r="GKA112" s="542"/>
      <c r="GKB112" s="542"/>
      <c r="GKC112" s="542"/>
      <c r="GKD112" s="542"/>
      <c r="GKE112" s="542"/>
      <c r="GKF112" s="542"/>
      <c r="GKG112" s="542"/>
      <c r="GKH112" s="542"/>
      <c r="GKI112" s="542"/>
      <c r="GKJ112" s="542"/>
      <c r="GKK112" s="542"/>
      <c r="GKL112" s="542"/>
      <c r="GKM112" s="542"/>
      <c r="GKN112" s="542"/>
      <c r="GKO112" s="542"/>
      <c r="GKP112" s="542"/>
      <c r="GKQ112" s="542"/>
      <c r="GKR112" s="542"/>
      <c r="GKS112" s="542"/>
      <c r="GKT112" s="542"/>
      <c r="GKU112" s="542"/>
      <c r="GKV112" s="542"/>
      <c r="GKW112" s="542"/>
      <c r="GKX112" s="542"/>
      <c r="GKY112" s="542"/>
      <c r="GKZ112" s="542"/>
      <c r="GLA112" s="542"/>
      <c r="GLB112" s="542"/>
      <c r="GLC112" s="542"/>
      <c r="GLD112" s="542"/>
      <c r="GLE112" s="542"/>
      <c r="GLF112" s="542"/>
      <c r="GLG112" s="542"/>
      <c r="GLH112" s="542"/>
      <c r="GLI112" s="542"/>
      <c r="GLJ112" s="542"/>
      <c r="GLK112" s="542"/>
      <c r="GLL112" s="542"/>
      <c r="GLM112" s="542"/>
      <c r="GLN112" s="542"/>
      <c r="GLO112" s="542"/>
      <c r="GLP112" s="542"/>
      <c r="GLQ112" s="542"/>
      <c r="GLR112" s="542"/>
      <c r="GLS112" s="542"/>
      <c r="GLT112" s="542"/>
      <c r="GLU112" s="542"/>
      <c r="GLV112" s="542"/>
      <c r="GLW112" s="542"/>
      <c r="GLX112" s="542"/>
      <c r="GLY112" s="542"/>
      <c r="GLZ112" s="542"/>
      <c r="GMA112" s="542"/>
      <c r="GMB112" s="542"/>
      <c r="GMC112" s="542"/>
      <c r="GMD112" s="542"/>
      <c r="GME112" s="542"/>
      <c r="GMF112" s="542"/>
      <c r="GMG112" s="542"/>
      <c r="GMH112" s="542"/>
      <c r="GMI112" s="542"/>
      <c r="GMJ112" s="542"/>
      <c r="GMK112" s="542"/>
      <c r="GML112" s="542"/>
      <c r="GMM112" s="542"/>
      <c r="GMN112" s="542"/>
      <c r="GMO112" s="542"/>
      <c r="GMP112" s="542"/>
      <c r="GMQ112" s="542"/>
      <c r="GMR112" s="542"/>
      <c r="GMS112" s="542"/>
      <c r="GMT112" s="542"/>
      <c r="GMU112" s="542"/>
      <c r="GMV112" s="542"/>
      <c r="GMW112" s="542"/>
      <c r="GMX112" s="542"/>
      <c r="GMY112" s="542"/>
      <c r="GMZ112" s="542"/>
      <c r="GNA112" s="542"/>
      <c r="GNB112" s="542"/>
      <c r="GNC112" s="542"/>
      <c r="GND112" s="542"/>
      <c r="GNE112" s="542"/>
      <c r="GNF112" s="542"/>
      <c r="GNG112" s="542"/>
      <c r="GNH112" s="542"/>
      <c r="GNI112" s="542"/>
      <c r="GNJ112" s="542"/>
      <c r="GNK112" s="542"/>
      <c r="GNL112" s="542"/>
      <c r="GNM112" s="542"/>
      <c r="GNN112" s="542"/>
      <c r="GNO112" s="542"/>
      <c r="GNP112" s="542"/>
      <c r="GNQ112" s="542"/>
      <c r="GNR112" s="542"/>
      <c r="GNS112" s="542"/>
      <c r="GNT112" s="542"/>
      <c r="GNU112" s="542"/>
      <c r="GNV112" s="542"/>
      <c r="GNW112" s="542"/>
      <c r="GNX112" s="542"/>
      <c r="GNY112" s="542"/>
      <c r="GNZ112" s="542"/>
      <c r="GOA112" s="542"/>
      <c r="GOB112" s="542"/>
      <c r="GOC112" s="542"/>
      <c r="GOD112" s="542"/>
      <c r="GOE112" s="542"/>
      <c r="GOF112" s="542"/>
      <c r="GOG112" s="542"/>
      <c r="GOH112" s="542"/>
      <c r="GOI112" s="542"/>
      <c r="GOJ112" s="542"/>
      <c r="GOK112" s="542"/>
      <c r="GOL112" s="542"/>
      <c r="GOM112" s="542"/>
      <c r="GON112" s="542"/>
      <c r="GOO112" s="542"/>
      <c r="GOP112" s="542"/>
      <c r="GOQ112" s="542"/>
      <c r="GOR112" s="542"/>
      <c r="GOS112" s="542"/>
      <c r="GOT112" s="542"/>
      <c r="GOU112" s="542"/>
      <c r="GOV112" s="542"/>
      <c r="GOW112" s="542"/>
      <c r="GOX112" s="542"/>
      <c r="GOY112" s="542"/>
      <c r="GOZ112" s="542"/>
      <c r="GPA112" s="542"/>
      <c r="GPB112" s="542"/>
      <c r="GPC112" s="542"/>
      <c r="GPD112" s="542"/>
      <c r="GPE112" s="542"/>
      <c r="GPF112" s="542"/>
      <c r="GPG112" s="542"/>
      <c r="GPH112" s="542"/>
      <c r="GPI112" s="542"/>
      <c r="GPJ112" s="542"/>
      <c r="GPK112" s="542"/>
      <c r="GPL112" s="542"/>
      <c r="GPM112" s="542"/>
      <c r="GPN112" s="542"/>
      <c r="GPO112" s="542"/>
      <c r="GPP112" s="542"/>
      <c r="GPQ112" s="542"/>
      <c r="GPR112" s="542"/>
      <c r="GPS112" s="542"/>
      <c r="GPT112" s="542"/>
      <c r="GPU112" s="542"/>
      <c r="GPV112" s="542"/>
      <c r="GPW112" s="542"/>
      <c r="GPX112" s="542"/>
      <c r="GPY112" s="542"/>
      <c r="GPZ112" s="542"/>
      <c r="GQA112" s="542"/>
      <c r="GQB112" s="542"/>
      <c r="GQC112" s="542"/>
      <c r="GQD112" s="542"/>
      <c r="GQE112" s="542"/>
      <c r="GQF112" s="542"/>
      <c r="GQG112" s="542"/>
      <c r="GQH112" s="542"/>
      <c r="GQI112" s="542"/>
      <c r="GQJ112" s="542"/>
      <c r="GQK112" s="542"/>
      <c r="GQL112" s="542"/>
      <c r="GQM112" s="542"/>
      <c r="GQN112" s="542"/>
      <c r="GQO112" s="542"/>
      <c r="GQP112" s="542"/>
      <c r="GQQ112" s="542"/>
      <c r="GQR112" s="542"/>
      <c r="GQS112" s="542"/>
      <c r="GQT112" s="542"/>
      <c r="GQU112" s="542"/>
      <c r="GQV112" s="542"/>
      <c r="GQW112" s="542"/>
      <c r="GQX112" s="542"/>
      <c r="GQY112" s="542"/>
      <c r="GQZ112" s="542"/>
      <c r="GRA112" s="542"/>
      <c r="GRB112" s="542"/>
      <c r="GRC112" s="542"/>
      <c r="GRD112" s="542"/>
      <c r="GRE112" s="542"/>
      <c r="GRF112" s="542"/>
      <c r="GRG112" s="542"/>
      <c r="GRH112" s="542"/>
      <c r="GRI112" s="542"/>
      <c r="GRJ112" s="542"/>
      <c r="GRK112" s="542"/>
      <c r="GRL112" s="542"/>
      <c r="GRM112" s="542"/>
      <c r="GRN112" s="542"/>
      <c r="GRO112" s="542"/>
      <c r="GRP112" s="542"/>
      <c r="GRQ112" s="542"/>
      <c r="GRR112" s="542"/>
      <c r="GRS112" s="542"/>
      <c r="GRT112" s="542"/>
      <c r="GRU112" s="542"/>
      <c r="GRV112" s="542"/>
      <c r="GRW112" s="542"/>
      <c r="GRX112" s="542"/>
      <c r="GRY112" s="542"/>
      <c r="GRZ112" s="542"/>
      <c r="GSA112" s="542"/>
      <c r="GSB112" s="542"/>
      <c r="GSC112" s="542"/>
      <c r="GSD112" s="542"/>
      <c r="GSE112" s="542"/>
      <c r="GSF112" s="542"/>
      <c r="GSG112" s="542"/>
      <c r="GSH112" s="542"/>
      <c r="GSI112" s="542"/>
      <c r="GSJ112" s="542"/>
      <c r="GSK112" s="542"/>
      <c r="GSL112" s="542"/>
      <c r="GSM112" s="542"/>
      <c r="GSN112" s="542"/>
      <c r="GSO112" s="542"/>
      <c r="GSP112" s="542"/>
      <c r="GSQ112" s="542"/>
      <c r="GSR112" s="542"/>
      <c r="GSS112" s="542"/>
      <c r="GST112" s="542"/>
      <c r="GSU112" s="542"/>
      <c r="GSV112" s="542"/>
      <c r="GSW112" s="542"/>
      <c r="GSX112" s="542"/>
      <c r="GSY112" s="542"/>
      <c r="GSZ112" s="542"/>
      <c r="GTA112" s="542"/>
      <c r="GTB112" s="542"/>
      <c r="GTC112" s="542"/>
      <c r="GTD112" s="542"/>
      <c r="GTE112" s="542"/>
      <c r="GTF112" s="542"/>
      <c r="GTG112" s="542"/>
      <c r="GTH112" s="542"/>
      <c r="GTI112" s="542"/>
      <c r="GTJ112" s="542"/>
      <c r="GTK112" s="542"/>
      <c r="GTL112" s="542"/>
      <c r="GTM112" s="542"/>
      <c r="GTN112" s="542"/>
      <c r="GTO112" s="542"/>
      <c r="GTP112" s="542"/>
      <c r="GTQ112" s="542"/>
      <c r="GTR112" s="542"/>
      <c r="GTS112" s="542"/>
      <c r="GTT112" s="542"/>
      <c r="GTU112" s="542"/>
      <c r="GTV112" s="542"/>
      <c r="GTW112" s="542"/>
      <c r="GTX112" s="542"/>
      <c r="GTY112" s="542"/>
      <c r="GTZ112" s="542"/>
      <c r="GUA112" s="542"/>
      <c r="GUB112" s="542"/>
      <c r="GUC112" s="542"/>
      <c r="GUD112" s="542"/>
      <c r="GUE112" s="542"/>
      <c r="GUF112" s="542"/>
      <c r="GUG112" s="542"/>
      <c r="GUH112" s="542"/>
      <c r="GUI112" s="542"/>
      <c r="GUJ112" s="542"/>
      <c r="GUK112" s="542"/>
      <c r="GUL112" s="542"/>
      <c r="GUM112" s="542"/>
      <c r="GUN112" s="542"/>
      <c r="GUO112" s="542"/>
      <c r="GUP112" s="542"/>
      <c r="GUQ112" s="542"/>
      <c r="GUR112" s="542"/>
      <c r="GUS112" s="542"/>
      <c r="GUT112" s="542"/>
      <c r="GUU112" s="542"/>
      <c r="GUV112" s="542"/>
      <c r="GUW112" s="542"/>
      <c r="GUX112" s="542"/>
      <c r="GUY112" s="542"/>
      <c r="GUZ112" s="542"/>
      <c r="GVA112" s="542"/>
      <c r="GVB112" s="542"/>
      <c r="GVC112" s="542"/>
      <c r="GVD112" s="542"/>
      <c r="GVE112" s="542"/>
      <c r="GVF112" s="542"/>
      <c r="GVG112" s="542"/>
      <c r="GVH112" s="542"/>
      <c r="GVI112" s="542"/>
      <c r="GVJ112" s="542"/>
      <c r="GVK112" s="542"/>
      <c r="GVL112" s="542"/>
      <c r="GVM112" s="542"/>
      <c r="GVN112" s="542"/>
      <c r="GVO112" s="542"/>
      <c r="GVP112" s="542"/>
      <c r="GVQ112" s="542"/>
      <c r="GVR112" s="542"/>
      <c r="GVS112" s="542"/>
      <c r="GVT112" s="542"/>
      <c r="GVU112" s="542"/>
      <c r="GVV112" s="542"/>
      <c r="GVW112" s="542"/>
      <c r="GVX112" s="542"/>
      <c r="GVY112" s="542"/>
      <c r="GVZ112" s="542"/>
      <c r="GWA112" s="542"/>
      <c r="GWB112" s="542"/>
      <c r="GWC112" s="542"/>
      <c r="GWD112" s="542"/>
      <c r="GWE112" s="542"/>
      <c r="GWF112" s="542"/>
      <c r="GWG112" s="542"/>
      <c r="GWH112" s="542"/>
      <c r="GWI112" s="542"/>
      <c r="GWJ112" s="542"/>
      <c r="GWK112" s="542"/>
      <c r="GWL112" s="542"/>
      <c r="GWM112" s="542"/>
      <c r="GWN112" s="542"/>
      <c r="GWO112" s="542"/>
      <c r="GWP112" s="542"/>
      <c r="GWQ112" s="542"/>
      <c r="GWR112" s="542"/>
      <c r="GWS112" s="542"/>
      <c r="GWT112" s="542"/>
      <c r="GWU112" s="542"/>
      <c r="GWV112" s="542"/>
      <c r="GWW112" s="542"/>
      <c r="GWX112" s="542"/>
      <c r="GWY112" s="542"/>
      <c r="GWZ112" s="542"/>
      <c r="GXA112" s="542"/>
      <c r="GXB112" s="542"/>
      <c r="GXC112" s="542"/>
      <c r="GXD112" s="542"/>
      <c r="GXE112" s="542"/>
      <c r="GXF112" s="542"/>
      <c r="GXG112" s="542"/>
      <c r="GXH112" s="542"/>
      <c r="GXI112" s="542"/>
      <c r="GXJ112" s="542"/>
      <c r="GXK112" s="542"/>
      <c r="GXL112" s="542"/>
      <c r="GXM112" s="542"/>
      <c r="GXN112" s="542"/>
      <c r="GXO112" s="542"/>
      <c r="GXP112" s="542"/>
      <c r="GXQ112" s="542"/>
      <c r="GXR112" s="542"/>
      <c r="GXS112" s="542"/>
      <c r="GXT112" s="542"/>
      <c r="GXU112" s="542"/>
      <c r="GXV112" s="542"/>
      <c r="GXW112" s="542"/>
      <c r="GXX112" s="542"/>
      <c r="GXY112" s="542"/>
      <c r="GXZ112" s="542"/>
      <c r="GYA112" s="542"/>
      <c r="GYB112" s="542"/>
      <c r="GYC112" s="542"/>
      <c r="GYD112" s="542"/>
      <c r="GYE112" s="542"/>
      <c r="GYF112" s="542"/>
      <c r="GYG112" s="542"/>
      <c r="GYH112" s="542"/>
      <c r="GYI112" s="542"/>
      <c r="GYJ112" s="542"/>
      <c r="GYK112" s="542"/>
      <c r="GYL112" s="542"/>
      <c r="GYM112" s="542"/>
      <c r="GYN112" s="542"/>
      <c r="GYO112" s="542"/>
      <c r="GYP112" s="542"/>
      <c r="GYQ112" s="542"/>
      <c r="GYR112" s="542"/>
      <c r="GYS112" s="542"/>
      <c r="GYT112" s="542"/>
      <c r="GYU112" s="542"/>
      <c r="GYV112" s="542"/>
      <c r="GYW112" s="542"/>
      <c r="GYX112" s="542"/>
      <c r="GYY112" s="542"/>
      <c r="GYZ112" s="542"/>
      <c r="GZA112" s="542"/>
      <c r="GZB112" s="542"/>
      <c r="GZC112" s="542"/>
      <c r="GZD112" s="542"/>
      <c r="GZE112" s="542"/>
      <c r="GZF112" s="542"/>
      <c r="GZG112" s="542"/>
      <c r="GZH112" s="542"/>
      <c r="GZI112" s="542"/>
      <c r="GZJ112" s="542"/>
      <c r="GZK112" s="542"/>
      <c r="GZL112" s="542"/>
      <c r="GZM112" s="542"/>
      <c r="GZN112" s="542"/>
      <c r="GZO112" s="542"/>
      <c r="GZP112" s="542"/>
      <c r="GZQ112" s="542"/>
      <c r="GZR112" s="542"/>
      <c r="GZS112" s="542"/>
      <c r="GZT112" s="542"/>
      <c r="GZU112" s="542"/>
      <c r="GZV112" s="542"/>
      <c r="GZW112" s="542"/>
      <c r="GZX112" s="542"/>
      <c r="GZY112" s="542"/>
      <c r="GZZ112" s="542"/>
      <c r="HAA112" s="542"/>
      <c r="HAB112" s="542"/>
      <c r="HAC112" s="542"/>
      <c r="HAD112" s="542"/>
      <c r="HAE112" s="542"/>
      <c r="HAF112" s="542"/>
      <c r="HAG112" s="542"/>
      <c r="HAH112" s="542"/>
      <c r="HAI112" s="542"/>
      <c r="HAJ112" s="542"/>
      <c r="HAK112" s="542"/>
      <c r="HAL112" s="542"/>
      <c r="HAM112" s="542"/>
      <c r="HAN112" s="542"/>
      <c r="HAO112" s="542"/>
      <c r="HAP112" s="542"/>
      <c r="HAQ112" s="542"/>
      <c r="HAR112" s="542"/>
      <c r="HAS112" s="542"/>
      <c r="HAT112" s="542"/>
      <c r="HAU112" s="542"/>
      <c r="HAV112" s="542"/>
      <c r="HAW112" s="542"/>
      <c r="HAX112" s="542"/>
      <c r="HAY112" s="542"/>
      <c r="HAZ112" s="542"/>
      <c r="HBA112" s="542"/>
      <c r="HBB112" s="542"/>
      <c r="HBC112" s="542"/>
      <c r="HBD112" s="542"/>
      <c r="HBE112" s="542"/>
      <c r="HBF112" s="542"/>
      <c r="HBG112" s="542"/>
      <c r="HBH112" s="542"/>
      <c r="HBI112" s="542"/>
      <c r="HBJ112" s="542"/>
      <c r="HBK112" s="542"/>
      <c r="HBL112" s="542"/>
      <c r="HBM112" s="542"/>
      <c r="HBN112" s="542"/>
      <c r="HBO112" s="542"/>
      <c r="HBP112" s="542"/>
      <c r="HBQ112" s="542"/>
      <c r="HBR112" s="542"/>
      <c r="HBS112" s="542"/>
      <c r="HBT112" s="542"/>
      <c r="HBU112" s="542"/>
      <c r="HBV112" s="542"/>
      <c r="HBW112" s="542"/>
      <c r="HBX112" s="542"/>
      <c r="HBY112" s="542"/>
      <c r="HBZ112" s="542"/>
      <c r="HCA112" s="542"/>
      <c r="HCB112" s="542"/>
      <c r="HCC112" s="542"/>
      <c r="HCD112" s="542"/>
      <c r="HCE112" s="542"/>
      <c r="HCF112" s="542"/>
      <c r="HCG112" s="542"/>
      <c r="HCH112" s="542"/>
      <c r="HCI112" s="542"/>
      <c r="HCJ112" s="542"/>
      <c r="HCK112" s="542"/>
      <c r="HCL112" s="542"/>
      <c r="HCM112" s="542"/>
      <c r="HCN112" s="542"/>
      <c r="HCO112" s="542"/>
      <c r="HCP112" s="542"/>
      <c r="HCQ112" s="542"/>
      <c r="HCR112" s="542"/>
      <c r="HCS112" s="542"/>
      <c r="HCT112" s="542"/>
      <c r="HCU112" s="542"/>
      <c r="HCV112" s="542"/>
      <c r="HCW112" s="542"/>
      <c r="HCX112" s="542"/>
      <c r="HCY112" s="542"/>
      <c r="HCZ112" s="542"/>
      <c r="HDA112" s="542"/>
      <c r="HDB112" s="542"/>
      <c r="HDC112" s="542"/>
      <c r="HDD112" s="542"/>
      <c r="HDE112" s="542"/>
      <c r="HDF112" s="542"/>
      <c r="HDG112" s="542"/>
      <c r="HDH112" s="542"/>
      <c r="HDI112" s="542"/>
      <c r="HDJ112" s="542"/>
      <c r="HDK112" s="542"/>
      <c r="HDL112" s="542"/>
      <c r="HDM112" s="542"/>
      <c r="HDN112" s="542"/>
      <c r="HDO112" s="542"/>
      <c r="HDP112" s="542"/>
      <c r="HDQ112" s="542"/>
      <c r="HDR112" s="542"/>
      <c r="HDS112" s="542"/>
      <c r="HDT112" s="542"/>
      <c r="HDU112" s="542"/>
      <c r="HDV112" s="542"/>
      <c r="HDW112" s="542"/>
      <c r="HDX112" s="542"/>
      <c r="HDY112" s="542"/>
      <c r="HDZ112" s="542"/>
      <c r="HEA112" s="542"/>
      <c r="HEB112" s="542"/>
      <c r="HEC112" s="542"/>
      <c r="HED112" s="542"/>
      <c r="HEE112" s="542"/>
      <c r="HEF112" s="542"/>
      <c r="HEG112" s="542"/>
      <c r="HEH112" s="542"/>
      <c r="HEI112" s="542"/>
      <c r="HEJ112" s="542"/>
      <c r="HEK112" s="542"/>
      <c r="HEL112" s="542"/>
      <c r="HEM112" s="542"/>
      <c r="HEN112" s="542"/>
      <c r="HEO112" s="542"/>
      <c r="HEP112" s="542"/>
      <c r="HEQ112" s="542"/>
      <c r="HER112" s="542"/>
      <c r="HES112" s="542"/>
      <c r="HET112" s="542"/>
      <c r="HEU112" s="542"/>
      <c r="HEV112" s="542"/>
      <c r="HEW112" s="542"/>
      <c r="HEX112" s="542"/>
      <c r="HEY112" s="542"/>
      <c r="HEZ112" s="542"/>
      <c r="HFA112" s="542"/>
      <c r="HFB112" s="542"/>
      <c r="HFC112" s="542"/>
      <c r="HFD112" s="542"/>
      <c r="HFE112" s="542"/>
      <c r="HFF112" s="542"/>
      <c r="HFG112" s="542"/>
      <c r="HFH112" s="542"/>
      <c r="HFI112" s="542"/>
      <c r="HFJ112" s="542"/>
      <c r="HFK112" s="542"/>
      <c r="HFL112" s="542"/>
      <c r="HFM112" s="542"/>
      <c r="HFN112" s="542"/>
      <c r="HFO112" s="542"/>
      <c r="HFP112" s="542"/>
      <c r="HFQ112" s="542"/>
      <c r="HFR112" s="542"/>
      <c r="HFS112" s="542"/>
      <c r="HFT112" s="542"/>
      <c r="HFU112" s="542"/>
      <c r="HFV112" s="542"/>
      <c r="HFW112" s="542"/>
      <c r="HFX112" s="542"/>
      <c r="HFY112" s="542"/>
      <c r="HFZ112" s="542"/>
      <c r="HGA112" s="542"/>
      <c r="HGB112" s="542"/>
      <c r="HGC112" s="542"/>
      <c r="HGD112" s="542"/>
      <c r="HGE112" s="542"/>
      <c r="HGF112" s="542"/>
      <c r="HGG112" s="542"/>
      <c r="HGH112" s="542"/>
      <c r="HGI112" s="542"/>
      <c r="HGJ112" s="542"/>
      <c r="HGK112" s="542"/>
      <c r="HGL112" s="542"/>
      <c r="HGM112" s="542"/>
      <c r="HGN112" s="542"/>
      <c r="HGO112" s="542"/>
      <c r="HGP112" s="542"/>
      <c r="HGQ112" s="542"/>
      <c r="HGR112" s="542"/>
      <c r="HGS112" s="542"/>
      <c r="HGT112" s="542"/>
      <c r="HGU112" s="542"/>
      <c r="HGV112" s="542"/>
      <c r="HGW112" s="542"/>
      <c r="HGX112" s="542"/>
      <c r="HGY112" s="542"/>
      <c r="HGZ112" s="542"/>
      <c r="HHA112" s="542"/>
      <c r="HHB112" s="542"/>
      <c r="HHC112" s="542"/>
      <c r="HHD112" s="542"/>
      <c r="HHE112" s="542"/>
      <c r="HHF112" s="542"/>
      <c r="HHG112" s="542"/>
      <c r="HHH112" s="542"/>
      <c r="HHI112" s="542"/>
      <c r="HHJ112" s="542"/>
      <c r="HHK112" s="542"/>
      <c r="HHL112" s="542"/>
      <c r="HHM112" s="542"/>
      <c r="HHN112" s="542"/>
      <c r="HHO112" s="542"/>
      <c r="HHP112" s="542"/>
      <c r="HHQ112" s="542"/>
      <c r="HHR112" s="542"/>
      <c r="HHS112" s="542"/>
      <c r="HHT112" s="542"/>
      <c r="HHU112" s="542"/>
      <c r="HHV112" s="542"/>
      <c r="HHW112" s="542"/>
      <c r="HHX112" s="542"/>
      <c r="HHY112" s="542"/>
      <c r="HHZ112" s="542"/>
      <c r="HIA112" s="542"/>
      <c r="HIB112" s="542"/>
      <c r="HIC112" s="542"/>
      <c r="HID112" s="542"/>
      <c r="HIE112" s="542"/>
      <c r="HIF112" s="542"/>
      <c r="HIG112" s="542"/>
      <c r="HIH112" s="542"/>
      <c r="HII112" s="542"/>
      <c r="HIJ112" s="542"/>
      <c r="HIK112" s="542"/>
      <c r="HIL112" s="542"/>
      <c r="HIM112" s="542"/>
      <c r="HIN112" s="542"/>
      <c r="HIO112" s="542"/>
      <c r="HIP112" s="542"/>
      <c r="HIQ112" s="542"/>
      <c r="HIR112" s="542"/>
      <c r="HIS112" s="542"/>
      <c r="HIT112" s="542"/>
      <c r="HIU112" s="542"/>
      <c r="HIV112" s="542"/>
      <c r="HIW112" s="542"/>
      <c r="HIX112" s="542"/>
      <c r="HIY112" s="542"/>
      <c r="HIZ112" s="542"/>
      <c r="HJA112" s="542"/>
      <c r="HJB112" s="542"/>
      <c r="HJC112" s="542"/>
      <c r="HJD112" s="542"/>
      <c r="HJE112" s="542"/>
      <c r="HJF112" s="542"/>
      <c r="HJG112" s="542"/>
      <c r="HJH112" s="542"/>
      <c r="HJI112" s="542"/>
      <c r="HJJ112" s="542"/>
      <c r="HJK112" s="542"/>
      <c r="HJL112" s="542"/>
      <c r="HJM112" s="542"/>
      <c r="HJN112" s="542"/>
      <c r="HJO112" s="542"/>
      <c r="HJP112" s="542"/>
      <c r="HJQ112" s="542"/>
      <c r="HJR112" s="542"/>
      <c r="HJS112" s="542"/>
      <c r="HJT112" s="542"/>
      <c r="HJU112" s="542"/>
      <c r="HJV112" s="542"/>
      <c r="HJW112" s="542"/>
      <c r="HJX112" s="542"/>
      <c r="HJY112" s="542"/>
      <c r="HJZ112" s="542"/>
      <c r="HKA112" s="542"/>
      <c r="HKB112" s="542"/>
      <c r="HKC112" s="542"/>
      <c r="HKD112" s="542"/>
      <c r="HKE112" s="542"/>
      <c r="HKF112" s="542"/>
      <c r="HKG112" s="542"/>
      <c r="HKH112" s="542"/>
      <c r="HKI112" s="542"/>
      <c r="HKJ112" s="542"/>
      <c r="HKK112" s="542"/>
      <c r="HKL112" s="542"/>
      <c r="HKM112" s="542"/>
      <c r="HKN112" s="542"/>
      <c r="HKO112" s="542"/>
      <c r="HKP112" s="542"/>
      <c r="HKQ112" s="542"/>
      <c r="HKR112" s="542"/>
      <c r="HKS112" s="542"/>
      <c r="HKT112" s="542"/>
      <c r="HKU112" s="542"/>
      <c r="HKV112" s="542"/>
      <c r="HKW112" s="542"/>
      <c r="HKX112" s="542"/>
      <c r="HKY112" s="542"/>
      <c r="HKZ112" s="542"/>
      <c r="HLA112" s="542"/>
      <c r="HLB112" s="542"/>
      <c r="HLC112" s="542"/>
      <c r="HLD112" s="542"/>
      <c r="HLE112" s="542"/>
      <c r="HLF112" s="542"/>
      <c r="HLG112" s="542"/>
      <c r="HLH112" s="542"/>
      <c r="HLI112" s="542"/>
      <c r="HLJ112" s="542"/>
      <c r="HLK112" s="542"/>
      <c r="HLL112" s="542"/>
      <c r="HLM112" s="542"/>
      <c r="HLN112" s="542"/>
      <c r="HLO112" s="542"/>
      <c r="HLP112" s="542"/>
      <c r="HLQ112" s="542"/>
      <c r="HLR112" s="542"/>
      <c r="HLS112" s="542"/>
      <c r="HLT112" s="542"/>
      <c r="HLU112" s="542"/>
      <c r="HLV112" s="542"/>
      <c r="HLW112" s="542"/>
      <c r="HLX112" s="542"/>
      <c r="HLY112" s="542"/>
      <c r="HLZ112" s="542"/>
      <c r="HMA112" s="542"/>
      <c r="HMB112" s="542"/>
      <c r="HMC112" s="542"/>
      <c r="HMD112" s="542"/>
      <c r="HME112" s="542"/>
      <c r="HMF112" s="542"/>
      <c r="HMG112" s="542"/>
      <c r="HMH112" s="542"/>
      <c r="HMI112" s="542"/>
      <c r="HMJ112" s="542"/>
      <c r="HMK112" s="542"/>
      <c r="HML112" s="542"/>
      <c r="HMM112" s="542"/>
      <c r="HMN112" s="542"/>
      <c r="HMO112" s="542"/>
      <c r="HMP112" s="542"/>
      <c r="HMQ112" s="542"/>
      <c r="HMR112" s="542"/>
      <c r="HMS112" s="542"/>
      <c r="HMT112" s="542"/>
      <c r="HMU112" s="542"/>
      <c r="HMV112" s="542"/>
      <c r="HMW112" s="542"/>
      <c r="HMX112" s="542"/>
      <c r="HMY112" s="542"/>
      <c r="HMZ112" s="542"/>
      <c r="HNA112" s="542"/>
      <c r="HNB112" s="542"/>
      <c r="HNC112" s="542"/>
      <c r="HND112" s="542"/>
      <c r="HNE112" s="542"/>
      <c r="HNF112" s="542"/>
      <c r="HNG112" s="542"/>
      <c r="HNH112" s="542"/>
      <c r="HNI112" s="542"/>
      <c r="HNJ112" s="542"/>
      <c r="HNK112" s="542"/>
      <c r="HNL112" s="542"/>
      <c r="HNM112" s="542"/>
      <c r="HNN112" s="542"/>
      <c r="HNO112" s="542"/>
      <c r="HNP112" s="542"/>
      <c r="HNQ112" s="542"/>
      <c r="HNR112" s="542"/>
      <c r="HNS112" s="542"/>
      <c r="HNT112" s="542"/>
      <c r="HNU112" s="542"/>
      <c r="HNV112" s="542"/>
      <c r="HNW112" s="542"/>
      <c r="HNX112" s="542"/>
      <c r="HNY112" s="542"/>
      <c r="HNZ112" s="542"/>
      <c r="HOA112" s="542"/>
      <c r="HOB112" s="542"/>
      <c r="HOC112" s="542"/>
      <c r="HOD112" s="542"/>
      <c r="HOE112" s="542"/>
      <c r="HOF112" s="542"/>
      <c r="HOG112" s="542"/>
      <c r="HOH112" s="542"/>
      <c r="HOI112" s="542"/>
      <c r="HOJ112" s="542"/>
      <c r="HOK112" s="542"/>
      <c r="HOL112" s="542"/>
      <c r="HOM112" s="542"/>
      <c r="HON112" s="542"/>
      <c r="HOO112" s="542"/>
      <c r="HOP112" s="542"/>
      <c r="HOQ112" s="542"/>
      <c r="HOR112" s="542"/>
      <c r="HOS112" s="542"/>
      <c r="HOT112" s="542"/>
      <c r="HOU112" s="542"/>
      <c r="HOV112" s="542"/>
      <c r="HOW112" s="542"/>
      <c r="HOX112" s="542"/>
      <c r="HOY112" s="542"/>
      <c r="HOZ112" s="542"/>
      <c r="HPA112" s="542"/>
      <c r="HPB112" s="542"/>
      <c r="HPC112" s="542"/>
      <c r="HPD112" s="542"/>
      <c r="HPE112" s="542"/>
      <c r="HPF112" s="542"/>
      <c r="HPG112" s="542"/>
      <c r="HPH112" s="542"/>
      <c r="HPI112" s="542"/>
      <c r="HPJ112" s="542"/>
      <c r="HPK112" s="542"/>
      <c r="HPL112" s="542"/>
      <c r="HPM112" s="542"/>
      <c r="HPN112" s="542"/>
      <c r="HPO112" s="542"/>
      <c r="HPP112" s="542"/>
      <c r="HPQ112" s="542"/>
      <c r="HPR112" s="542"/>
      <c r="HPS112" s="542"/>
      <c r="HPT112" s="542"/>
      <c r="HPU112" s="542"/>
      <c r="HPV112" s="542"/>
      <c r="HPW112" s="542"/>
      <c r="HPX112" s="542"/>
      <c r="HPY112" s="542"/>
      <c r="HPZ112" s="542"/>
      <c r="HQA112" s="542"/>
      <c r="HQB112" s="542"/>
      <c r="HQC112" s="542"/>
      <c r="HQD112" s="542"/>
      <c r="HQE112" s="542"/>
      <c r="HQF112" s="542"/>
      <c r="HQG112" s="542"/>
      <c r="HQH112" s="542"/>
      <c r="HQI112" s="542"/>
      <c r="HQJ112" s="542"/>
      <c r="HQK112" s="542"/>
      <c r="HQL112" s="542"/>
      <c r="HQM112" s="542"/>
      <c r="HQN112" s="542"/>
      <c r="HQO112" s="542"/>
      <c r="HQP112" s="542"/>
      <c r="HQQ112" s="542"/>
      <c r="HQR112" s="542"/>
      <c r="HQS112" s="542"/>
      <c r="HQT112" s="542"/>
      <c r="HQU112" s="542"/>
      <c r="HQV112" s="542"/>
      <c r="HQW112" s="542"/>
      <c r="HQX112" s="542"/>
      <c r="HQY112" s="542"/>
      <c r="HQZ112" s="542"/>
      <c r="HRA112" s="542"/>
      <c r="HRB112" s="542"/>
      <c r="HRC112" s="542"/>
      <c r="HRD112" s="542"/>
      <c r="HRE112" s="542"/>
      <c r="HRF112" s="542"/>
      <c r="HRG112" s="542"/>
      <c r="HRH112" s="542"/>
      <c r="HRI112" s="542"/>
      <c r="HRJ112" s="542"/>
      <c r="HRK112" s="542"/>
      <c r="HRL112" s="542"/>
      <c r="HRM112" s="542"/>
      <c r="HRN112" s="542"/>
      <c r="HRO112" s="542"/>
      <c r="HRP112" s="542"/>
      <c r="HRQ112" s="542"/>
      <c r="HRR112" s="542"/>
      <c r="HRS112" s="542"/>
      <c r="HRT112" s="542"/>
      <c r="HRU112" s="542"/>
      <c r="HRV112" s="542"/>
      <c r="HRW112" s="542"/>
      <c r="HRX112" s="542"/>
      <c r="HRY112" s="542"/>
      <c r="HRZ112" s="542"/>
      <c r="HSA112" s="542"/>
      <c r="HSB112" s="542"/>
      <c r="HSC112" s="542"/>
      <c r="HSD112" s="542"/>
      <c r="HSE112" s="542"/>
      <c r="HSF112" s="542"/>
      <c r="HSG112" s="542"/>
      <c r="HSH112" s="542"/>
      <c r="HSI112" s="542"/>
      <c r="HSJ112" s="542"/>
      <c r="HSK112" s="542"/>
      <c r="HSL112" s="542"/>
      <c r="HSM112" s="542"/>
      <c r="HSN112" s="542"/>
      <c r="HSO112" s="542"/>
      <c r="HSP112" s="542"/>
      <c r="HSQ112" s="542"/>
      <c r="HSR112" s="542"/>
      <c r="HSS112" s="542"/>
      <c r="HST112" s="542"/>
      <c r="HSU112" s="542"/>
      <c r="HSV112" s="542"/>
      <c r="HSW112" s="542"/>
      <c r="HSX112" s="542"/>
      <c r="HSY112" s="542"/>
      <c r="HSZ112" s="542"/>
      <c r="HTA112" s="542"/>
      <c r="HTB112" s="542"/>
      <c r="HTC112" s="542"/>
      <c r="HTD112" s="542"/>
      <c r="HTE112" s="542"/>
      <c r="HTF112" s="542"/>
      <c r="HTG112" s="542"/>
      <c r="HTH112" s="542"/>
      <c r="HTI112" s="542"/>
      <c r="HTJ112" s="542"/>
      <c r="HTK112" s="542"/>
      <c r="HTL112" s="542"/>
      <c r="HTM112" s="542"/>
      <c r="HTN112" s="542"/>
      <c r="HTO112" s="542"/>
      <c r="HTP112" s="542"/>
      <c r="HTQ112" s="542"/>
      <c r="HTR112" s="542"/>
      <c r="HTS112" s="542"/>
      <c r="HTT112" s="542"/>
      <c r="HTU112" s="542"/>
      <c r="HTV112" s="542"/>
      <c r="HTW112" s="542"/>
      <c r="HTX112" s="542"/>
      <c r="HTY112" s="542"/>
      <c r="HTZ112" s="542"/>
      <c r="HUA112" s="542"/>
      <c r="HUB112" s="542"/>
      <c r="HUC112" s="542"/>
      <c r="HUD112" s="542"/>
      <c r="HUE112" s="542"/>
      <c r="HUF112" s="542"/>
      <c r="HUG112" s="542"/>
      <c r="HUH112" s="542"/>
      <c r="HUI112" s="542"/>
      <c r="HUJ112" s="542"/>
      <c r="HUK112" s="542"/>
      <c r="HUL112" s="542"/>
      <c r="HUM112" s="542"/>
      <c r="HUN112" s="542"/>
      <c r="HUO112" s="542"/>
      <c r="HUP112" s="542"/>
      <c r="HUQ112" s="542"/>
      <c r="HUR112" s="542"/>
      <c r="HUS112" s="542"/>
      <c r="HUT112" s="542"/>
      <c r="HUU112" s="542"/>
      <c r="HUV112" s="542"/>
      <c r="HUW112" s="542"/>
      <c r="HUX112" s="542"/>
      <c r="HUY112" s="542"/>
      <c r="HUZ112" s="542"/>
      <c r="HVA112" s="542"/>
      <c r="HVB112" s="542"/>
      <c r="HVC112" s="542"/>
      <c r="HVD112" s="542"/>
      <c r="HVE112" s="542"/>
      <c r="HVF112" s="542"/>
      <c r="HVG112" s="542"/>
      <c r="HVH112" s="542"/>
      <c r="HVI112" s="542"/>
      <c r="HVJ112" s="542"/>
      <c r="HVK112" s="542"/>
      <c r="HVL112" s="542"/>
      <c r="HVM112" s="542"/>
      <c r="HVN112" s="542"/>
      <c r="HVO112" s="542"/>
      <c r="HVP112" s="542"/>
      <c r="HVQ112" s="542"/>
      <c r="HVR112" s="542"/>
      <c r="HVS112" s="542"/>
      <c r="HVT112" s="542"/>
      <c r="HVU112" s="542"/>
      <c r="HVV112" s="542"/>
      <c r="HVW112" s="542"/>
      <c r="HVX112" s="542"/>
      <c r="HVY112" s="542"/>
      <c r="HVZ112" s="542"/>
      <c r="HWA112" s="542"/>
      <c r="HWB112" s="542"/>
      <c r="HWC112" s="542"/>
      <c r="HWD112" s="542"/>
      <c r="HWE112" s="542"/>
      <c r="HWF112" s="542"/>
      <c r="HWG112" s="542"/>
      <c r="HWH112" s="542"/>
      <c r="HWI112" s="542"/>
      <c r="HWJ112" s="542"/>
      <c r="HWK112" s="542"/>
      <c r="HWL112" s="542"/>
      <c r="HWM112" s="542"/>
      <c r="HWN112" s="542"/>
      <c r="HWO112" s="542"/>
      <c r="HWP112" s="542"/>
      <c r="HWQ112" s="542"/>
      <c r="HWR112" s="542"/>
      <c r="HWS112" s="542"/>
      <c r="HWT112" s="542"/>
      <c r="HWU112" s="542"/>
      <c r="HWV112" s="542"/>
      <c r="HWW112" s="542"/>
      <c r="HWX112" s="542"/>
      <c r="HWY112" s="542"/>
      <c r="HWZ112" s="542"/>
      <c r="HXA112" s="542"/>
      <c r="HXB112" s="542"/>
      <c r="HXC112" s="542"/>
      <c r="HXD112" s="542"/>
      <c r="HXE112" s="542"/>
      <c r="HXF112" s="542"/>
      <c r="HXG112" s="542"/>
      <c r="HXH112" s="542"/>
      <c r="HXI112" s="542"/>
      <c r="HXJ112" s="542"/>
      <c r="HXK112" s="542"/>
      <c r="HXL112" s="542"/>
      <c r="HXM112" s="542"/>
      <c r="HXN112" s="542"/>
      <c r="HXO112" s="542"/>
      <c r="HXP112" s="542"/>
      <c r="HXQ112" s="542"/>
      <c r="HXR112" s="542"/>
      <c r="HXS112" s="542"/>
      <c r="HXT112" s="542"/>
      <c r="HXU112" s="542"/>
      <c r="HXV112" s="542"/>
      <c r="HXW112" s="542"/>
      <c r="HXX112" s="542"/>
      <c r="HXY112" s="542"/>
      <c r="HXZ112" s="542"/>
      <c r="HYA112" s="542"/>
      <c r="HYB112" s="542"/>
      <c r="HYC112" s="542"/>
      <c r="HYD112" s="542"/>
      <c r="HYE112" s="542"/>
      <c r="HYF112" s="542"/>
      <c r="HYG112" s="542"/>
      <c r="HYH112" s="542"/>
      <c r="HYI112" s="542"/>
      <c r="HYJ112" s="542"/>
      <c r="HYK112" s="542"/>
      <c r="HYL112" s="542"/>
      <c r="HYM112" s="542"/>
      <c r="HYN112" s="542"/>
      <c r="HYO112" s="542"/>
      <c r="HYP112" s="542"/>
      <c r="HYQ112" s="542"/>
      <c r="HYR112" s="542"/>
      <c r="HYS112" s="542"/>
      <c r="HYT112" s="542"/>
      <c r="HYU112" s="542"/>
      <c r="HYV112" s="542"/>
      <c r="HYW112" s="542"/>
      <c r="HYX112" s="542"/>
      <c r="HYY112" s="542"/>
      <c r="HYZ112" s="542"/>
      <c r="HZA112" s="542"/>
      <c r="HZB112" s="542"/>
      <c r="HZC112" s="542"/>
      <c r="HZD112" s="542"/>
      <c r="HZE112" s="542"/>
      <c r="HZF112" s="542"/>
      <c r="HZG112" s="542"/>
      <c r="HZH112" s="542"/>
      <c r="HZI112" s="542"/>
      <c r="HZJ112" s="542"/>
      <c r="HZK112" s="542"/>
      <c r="HZL112" s="542"/>
      <c r="HZM112" s="542"/>
      <c r="HZN112" s="542"/>
      <c r="HZO112" s="542"/>
      <c r="HZP112" s="542"/>
      <c r="HZQ112" s="542"/>
      <c r="HZR112" s="542"/>
      <c r="HZS112" s="542"/>
      <c r="HZT112" s="542"/>
      <c r="HZU112" s="542"/>
      <c r="HZV112" s="542"/>
      <c r="HZW112" s="542"/>
      <c r="HZX112" s="542"/>
      <c r="HZY112" s="542"/>
      <c r="HZZ112" s="542"/>
      <c r="IAA112" s="542"/>
      <c r="IAB112" s="542"/>
      <c r="IAC112" s="542"/>
      <c r="IAD112" s="542"/>
      <c r="IAE112" s="542"/>
      <c r="IAF112" s="542"/>
      <c r="IAG112" s="542"/>
      <c r="IAH112" s="542"/>
      <c r="IAI112" s="542"/>
      <c r="IAJ112" s="542"/>
      <c r="IAK112" s="542"/>
      <c r="IAL112" s="542"/>
      <c r="IAM112" s="542"/>
      <c r="IAN112" s="542"/>
      <c r="IAO112" s="542"/>
      <c r="IAP112" s="542"/>
      <c r="IAQ112" s="542"/>
      <c r="IAR112" s="542"/>
      <c r="IAS112" s="542"/>
      <c r="IAT112" s="542"/>
      <c r="IAU112" s="542"/>
      <c r="IAV112" s="542"/>
      <c r="IAW112" s="542"/>
      <c r="IAX112" s="542"/>
      <c r="IAY112" s="542"/>
      <c r="IAZ112" s="542"/>
      <c r="IBA112" s="542"/>
      <c r="IBB112" s="542"/>
      <c r="IBC112" s="542"/>
      <c r="IBD112" s="542"/>
      <c r="IBE112" s="542"/>
      <c r="IBF112" s="542"/>
      <c r="IBG112" s="542"/>
      <c r="IBH112" s="542"/>
      <c r="IBI112" s="542"/>
      <c r="IBJ112" s="542"/>
      <c r="IBK112" s="542"/>
      <c r="IBL112" s="542"/>
      <c r="IBM112" s="542"/>
      <c r="IBN112" s="542"/>
      <c r="IBO112" s="542"/>
      <c r="IBP112" s="542"/>
      <c r="IBQ112" s="542"/>
      <c r="IBR112" s="542"/>
      <c r="IBS112" s="542"/>
      <c r="IBT112" s="542"/>
      <c r="IBU112" s="542"/>
      <c r="IBV112" s="542"/>
      <c r="IBW112" s="542"/>
      <c r="IBX112" s="542"/>
      <c r="IBY112" s="542"/>
      <c r="IBZ112" s="542"/>
      <c r="ICA112" s="542"/>
      <c r="ICB112" s="542"/>
      <c r="ICC112" s="542"/>
      <c r="ICD112" s="542"/>
      <c r="ICE112" s="542"/>
      <c r="ICF112" s="542"/>
      <c r="ICG112" s="542"/>
      <c r="ICH112" s="542"/>
      <c r="ICI112" s="542"/>
      <c r="ICJ112" s="542"/>
      <c r="ICK112" s="542"/>
      <c r="ICL112" s="542"/>
      <c r="ICM112" s="542"/>
      <c r="ICN112" s="542"/>
      <c r="ICO112" s="542"/>
      <c r="ICP112" s="542"/>
      <c r="ICQ112" s="542"/>
      <c r="ICR112" s="542"/>
      <c r="ICS112" s="542"/>
      <c r="ICT112" s="542"/>
      <c r="ICU112" s="542"/>
      <c r="ICV112" s="542"/>
      <c r="ICW112" s="542"/>
      <c r="ICX112" s="542"/>
      <c r="ICY112" s="542"/>
      <c r="ICZ112" s="542"/>
      <c r="IDA112" s="542"/>
      <c r="IDB112" s="542"/>
      <c r="IDC112" s="542"/>
      <c r="IDD112" s="542"/>
      <c r="IDE112" s="542"/>
      <c r="IDF112" s="542"/>
      <c r="IDG112" s="542"/>
      <c r="IDH112" s="542"/>
      <c r="IDI112" s="542"/>
      <c r="IDJ112" s="542"/>
      <c r="IDK112" s="542"/>
      <c r="IDL112" s="542"/>
      <c r="IDM112" s="542"/>
      <c r="IDN112" s="542"/>
      <c r="IDO112" s="542"/>
      <c r="IDP112" s="542"/>
      <c r="IDQ112" s="542"/>
      <c r="IDR112" s="542"/>
      <c r="IDS112" s="542"/>
      <c r="IDT112" s="542"/>
      <c r="IDU112" s="542"/>
      <c r="IDV112" s="542"/>
      <c r="IDW112" s="542"/>
      <c r="IDX112" s="542"/>
      <c r="IDY112" s="542"/>
      <c r="IDZ112" s="542"/>
      <c r="IEA112" s="542"/>
      <c r="IEB112" s="542"/>
      <c r="IEC112" s="542"/>
      <c r="IED112" s="542"/>
      <c r="IEE112" s="542"/>
      <c r="IEF112" s="542"/>
      <c r="IEG112" s="542"/>
      <c r="IEH112" s="542"/>
      <c r="IEI112" s="542"/>
      <c r="IEJ112" s="542"/>
      <c r="IEK112" s="542"/>
      <c r="IEL112" s="542"/>
      <c r="IEM112" s="542"/>
      <c r="IEN112" s="542"/>
      <c r="IEO112" s="542"/>
      <c r="IEP112" s="542"/>
      <c r="IEQ112" s="542"/>
      <c r="IER112" s="542"/>
      <c r="IES112" s="542"/>
      <c r="IET112" s="542"/>
      <c r="IEU112" s="542"/>
      <c r="IEV112" s="542"/>
      <c r="IEW112" s="542"/>
      <c r="IEX112" s="542"/>
      <c r="IEY112" s="542"/>
      <c r="IEZ112" s="542"/>
      <c r="IFA112" s="542"/>
      <c r="IFB112" s="542"/>
      <c r="IFC112" s="542"/>
      <c r="IFD112" s="542"/>
      <c r="IFE112" s="542"/>
      <c r="IFF112" s="542"/>
      <c r="IFG112" s="542"/>
      <c r="IFH112" s="542"/>
      <c r="IFI112" s="542"/>
      <c r="IFJ112" s="542"/>
      <c r="IFK112" s="542"/>
      <c r="IFL112" s="542"/>
      <c r="IFM112" s="542"/>
      <c r="IFN112" s="542"/>
      <c r="IFO112" s="542"/>
      <c r="IFP112" s="542"/>
      <c r="IFQ112" s="542"/>
      <c r="IFR112" s="542"/>
      <c r="IFS112" s="542"/>
      <c r="IFT112" s="542"/>
      <c r="IFU112" s="542"/>
      <c r="IFV112" s="542"/>
      <c r="IFW112" s="542"/>
      <c r="IFX112" s="542"/>
      <c r="IFY112" s="542"/>
      <c r="IFZ112" s="542"/>
      <c r="IGA112" s="542"/>
      <c r="IGB112" s="542"/>
      <c r="IGC112" s="542"/>
      <c r="IGD112" s="542"/>
      <c r="IGE112" s="542"/>
      <c r="IGF112" s="542"/>
      <c r="IGG112" s="542"/>
      <c r="IGH112" s="542"/>
      <c r="IGI112" s="542"/>
      <c r="IGJ112" s="542"/>
      <c r="IGK112" s="542"/>
      <c r="IGL112" s="542"/>
      <c r="IGM112" s="542"/>
      <c r="IGN112" s="542"/>
      <c r="IGO112" s="542"/>
      <c r="IGP112" s="542"/>
      <c r="IGQ112" s="542"/>
      <c r="IGR112" s="542"/>
      <c r="IGS112" s="542"/>
      <c r="IGT112" s="542"/>
      <c r="IGU112" s="542"/>
      <c r="IGV112" s="542"/>
      <c r="IGW112" s="542"/>
      <c r="IGX112" s="542"/>
      <c r="IGY112" s="542"/>
      <c r="IGZ112" s="542"/>
      <c r="IHA112" s="542"/>
      <c r="IHB112" s="542"/>
      <c r="IHC112" s="542"/>
      <c r="IHD112" s="542"/>
      <c r="IHE112" s="542"/>
      <c r="IHF112" s="542"/>
      <c r="IHG112" s="542"/>
      <c r="IHH112" s="542"/>
      <c r="IHI112" s="542"/>
      <c r="IHJ112" s="542"/>
      <c r="IHK112" s="542"/>
      <c r="IHL112" s="542"/>
      <c r="IHM112" s="542"/>
      <c r="IHN112" s="542"/>
      <c r="IHO112" s="542"/>
      <c r="IHP112" s="542"/>
      <c r="IHQ112" s="542"/>
      <c r="IHR112" s="542"/>
      <c r="IHS112" s="542"/>
      <c r="IHT112" s="542"/>
      <c r="IHU112" s="542"/>
      <c r="IHV112" s="542"/>
      <c r="IHW112" s="542"/>
      <c r="IHX112" s="542"/>
      <c r="IHY112" s="542"/>
      <c r="IHZ112" s="542"/>
      <c r="IIA112" s="542"/>
      <c r="IIB112" s="542"/>
      <c r="IIC112" s="542"/>
      <c r="IID112" s="542"/>
      <c r="IIE112" s="542"/>
      <c r="IIF112" s="542"/>
      <c r="IIG112" s="542"/>
      <c r="IIH112" s="542"/>
      <c r="III112" s="542"/>
      <c r="IIJ112" s="542"/>
      <c r="IIK112" s="542"/>
      <c r="IIL112" s="542"/>
      <c r="IIM112" s="542"/>
      <c r="IIN112" s="542"/>
      <c r="IIO112" s="542"/>
      <c r="IIP112" s="542"/>
      <c r="IIQ112" s="542"/>
      <c r="IIR112" s="542"/>
      <c r="IIS112" s="542"/>
      <c r="IIT112" s="542"/>
      <c r="IIU112" s="542"/>
      <c r="IIV112" s="542"/>
      <c r="IIW112" s="542"/>
      <c r="IIX112" s="542"/>
      <c r="IIY112" s="542"/>
      <c r="IIZ112" s="542"/>
      <c r="IJA112" s="542"/>
      <c r="IJB112" s="542"/>
      <c r="IJC112" s="542"/>
      <c r="IJD112" s="542"/>
      <c r="IJE112" s="542"/>
      <c r="IJF112" s="542"/>
      <c r="IJG112" s="542"/>
      <c r="IJH112" s="542"/>
      <c r="IJI112" s="542"/>
      <c r="IJJ112" s="542"/>
      <c r="IJK112" s="542"/>
      <c r="IJL112" s="542"/>
      <c r="IJM112" s="542"/>
      <c r="IJN112" s="542"/>
      <c r="IJO112" s="542"/>
      <c r="IJP112" s="542"/>
      <c r="IJQ112" s="542"/>
      <c r="IJR112" s="542"/>
      <c r="IJS112" s="542"/>
      <c r="IJT112" s="542"/>
      <c r="IJU112" s="542"/>
      <c r="IJV112" s="542"/>
      <c r="IJW112" s="542"/>
      <c r="IJX112" s="542"/>
      <c r="IJY112" s="542"/>
      <c r="IJZ112" s="542"/>
      <c r="IKA112" s="542"/>
      <c r="IKB112" s="542"/>
      <c r="IKC112" s="542"/>
      <c r="IKD112" s="542"/>
      <c r="IKE112" s="542"/>
      <c r="IKF112" s="542"/>
      <c r="IKG112" s="542"/>
      <c r="IKH112" s="542"/>
      <c r="IKI112" s="542"/>
      <c r="IKJ112" s="542"/>
      <c r="IKK112" s="542"/>
      <c r="IKL112" s="542"/>
      <c r="IKM112" s="542"/>
      <c r="IKN112" s="542"/>
      <c r="IKO112" s="542"/>
      <c r="IKP112" s="542"/>
      <c r="IKQ112" s="542"/>
      <c r="IKR112" s="542"/>
      <c r="IKS112" s="542"/>
      <c r="IKT112" s="542"/>
      <c r="IKU112" s="542"/>
      <c r="IKV112" s="542"/>
      <c r="IKW112" s="542"/>
      <c r="IKX112" s="542"/>
      <c r="IKY112" s="542"/>
      <c r="IKZ112" s="542"/>
      <c r="ILA112" s="542"/>
      <c r="ILB112" s="542"/>
      <c r="ILC112" s="542"/>
      <c r="ILD112" s="542"/>
      <c r="ILE112" s="542"/>
      <c r="ILF112" s="542"/>
      <c r="ILG112" s="542"/>
      <c r="ILH112" s="542"/>
      <c r="ILI112" s="542"/>
      <c r="ILJ112" s="542"/>
      <c r="ILK112" s="542"/>
      <c r="ILL112" s="542"/>
      <c r="ILM112" s="542"/>
      <c r="ILN112" s="542"/>
      <c r="ILO112" s="542"/>
      <c r="ILP112" s="542"/>
      <c r="ILQ112" s="542"/>
      <c r="ILR112" s="542"/>
      <c r="ILS112" s="542"/>
      <c r="ILT112" s="542"/>
      <c r="ILU112" s="542"/>
      <c r="ILV112" s="542"/>
      <c r="ILW112" s="542"/>
      <c r="ILX112" s="542"/>
      <c r="ILY112" s="542"/>
      <c r="ILZ112" s="542"/>
      <c r="IMA112" s="542"/>
      <c r="IMB112" s="542"/>
      <c r="IMC112" s="542"/>
      <c r="IMD112" s="542"/>
      <c r="IME112" s="542"/>
      <c r="IMF112" s="542"/>
      <c r="IMG112" s="542"/>
      <c r="IMH112" s="542"/>
      <c r="IMI112" s="542"/>
      <c r="IMJ112" s="542"/>
      <c r="IMK112" s="542"/>
      <c r="IML112" s="542"/>
      <c r="IMM112" s="542"/>
      <c r="IMN112" s="542"/>
      <c r="IMO112" s="542"/>
      <c r="IMP112" s="542"/>
      <c r="IMQ112" s="542"/>
      <c r="IMR112" s="542"/>
      <c r="IMS112" s="542"/>
      <c r="IMT112" s="542"/>
      <c r="IMU112" s="542"/>
      <c r="IMV112" s="542"/>
      <c r="IMW112" s="542"/>
      <c r="IMX112" s="542"/>
      <c r="IMY112" s="542"/>
      <c r="IMZ112" s="542"/>
      <c r="INA112" s="542"/>
      <c r="INB112" s="542"/>
      <c r="INC112" s="542"/>
      <c r="IND112" s="542"/>
      <c r="INE112" s="542"/>
      <c r="INF112" s="542"/>
      <c r="ING112" s="542"/>
      <c r="INH112" s="542"/>
      <c r="INI112" s="542"/>
      <c r="INJ112" s="542"/>
      <c r="INK112" s="542"/>
      <c r="INL112" s="542"/>
      <c r="INM112" s="542"/>
      <c r="INN112" s="542"/>
      <c r="INO112" s="542"/>
      <c r="INP112" s="542"/>
      <c r="INQ112" s="542"/>
      <c r="INR112" s="542"/>
      <c r="INS112" s="542"/>
      <c r="INT112" s="542"/>
      <c r="INU112" s="542"/>
      <c r="INV112" s="542"/>
      <c r="INW112" s="542"/>
      <c r="INX112" s="542"/>
      <c r="INY112" s="542"/>
      <c r="INZ112" s="542"/>
      <c r="IOA112" s="542"/>
      <c r="IOB112" s="542"/>
      <c r="IOC112" s="542"/>
      <c r="IOD112" s="542"/>
      <c r="IOE112" s="542"/>
      <c r="IOF112" s="542"/>
      <c r="IOG112" s="542"/>
      <c r="IOH112" s="542"/>
      <c r="IOI112" s="542"/>
      <c r="IOJ112" s="542"/>
      <c r="IOK112" s="542"/>
      <c r="IOL112" s="542"/>
      <c r="IOM112" s="542"/>
      <c r="ION112" s="542"/>
      <c r="IOO112" s="542"/>
      <c r="IOP112" s="542"/>
      <c r="IOQ112" s="542"/>
      <c r="IOR112" s="542"/>
      <c r="IOS112" s="542"/>
      <c r="IOT112" s="542"/>
      <c r="IOU112" s="542"/>
      <c r="IOV112" s="542"/>
      <c r="IOW112" s="542"/>
      <c r="IOX112" s="542"/>
      <c r="IOY112" s="542"/>
      <c r="IOZ112" s="542"/>
      <c r="IPA112" s="542"/>
      <c r="IPB112" s="542"/>
      <c r="IPC112" s="542"/>
      <c r="IPD112" s="542"/>
      <c r="IPE112" s="542"/>
      <c r="IPF112" s="542"/>
      <c r="IPG112" s="542"/>
      <c r="IPH112" s="542"/>
      <c r="IPI112" s="542"/>
      <c r="IPJ112" s="542"/>
      <c r="IPK112" s="542"/>
      <c r="IPL112" s="542"/>
      <c r="IPM112" s="542"/>
      <c r="IPN112" s="542"/>
      <c r="IPO112" s="542"/>
      <c r="IPP112" s="542"/>
      <c r="IPQ112" s="542"/>
      <c r="IPR112" s="542"/>
      <c r="IPS112" s="542"/>
      <c r="IPT112" s="542"/>
      <c r="IPU112" s="542"/>
      <c r="IPV112" s="542"/>
      <c r="IPW112" s="542"/>
      <c r="IPX112" s="542"/>
      <c r="IPY112" s="542"/>
      <c r="IPZ112" s="542"/>
      <c r="IQA112" s="542"/>
      <c r="IQB112" s="542"/>
      <c r="IQC112" s="542"/>
      <c r="IQD112" s="542"/>
      <c r="IQE112" s="542"/>
      <c r="IQF112" s="542"/>
      <c r="IQG112" s="542"/>
      <c r="IQH112" s="542"/>
      <c r="IQI112" s="542"/>
      <c r="IQJ112" s="542"/>
      <c r="IQK112" s="542"/>
      <c r="IQL112" s="542"/>
      <c r="IQM112" s="542"/>
      <c r="IQN112" s="542"/>
      <c r="IQO112" s="542"/>
      <c r="IQP112" s="542"/>
      <c r="IQQ112" s="542"/>
      <c r="IQR112" s="542"/>
      <c r="IQS112" s="542"/>
      <c r="IQT112" s="542"/>
      <c r="IQU112" s="542"/>
      <c r="IQV112" s="542"/>
      <c r="IQW112" s="542"/>
      <c r="IQX112" s="542"/>
      <c r="IQY112" s="542"/>
      <c r="IQZ112" s="542"/>
      <c r="IRA112" s="542"/>
      <c r="IRB112" s="542"/>
      <c r="IRC112" s="542"/>
      <c r="IRD112" s="542"/>
      <c r="IRE112" s="542"/>
      <c r="IRF112" s="542"/>
      <c r="IRG112" s="542"/>
      <c r="IRH112" s="542"/>
      <c r="IRI112" s="542"/>
      <c r="IRJ112" s="542"/>
      <c r="IRK112" s="542"/>
      <c r="IRL112" s="542"/>
      <c r="IRM112" s="542"/>
      <c r="IRN112" s="542"/>
      <c r="IRO112" s="542"/>
      <c r="IRP112" s="542"/>
      <c r="IRQ112" s="542"/>
      <c r="IRR112" s="542"/>
      <c r="IRS112" s="542"/>
      <c r="IRT112" s="542"/>
      <c r="IRU112" s="542"/>
      <c r="IRV112" s="542"/>
      <c r="IRW112" s="542"/>
      <c r="IRX112" s="542"/>
      <c r="IRY112" s="542"/>
      <c r="IRZ112" s="542"/>
      <c r="ISA112" s="542"/>
      <c r="ISB112" s="542"/>
      <c r="ISC112" s="542"/>
      <c r="ISD112" s="542"/>
      <c r="ISE112" s="542"/>
      <c r="ISF112" s="542"/>
      <c r="ISG112" s="542"/>
      <c r="ISH112" s="542"/>
      <c r="ISI112" s="542"/>
      <c r="ISJ112" s="542"/>
      <c r="ISK112" s="542"/>
      <c r="ISL112" s="542"/>
      <c r="ISM112" s="542"/>
      <c r="ISN112" s="542"/>
      <c r="ISO112" s="542"/>
      <c r="ISP112" s="542"/>
      <c r="ISQ112" s="542"/>
      <c r="ISR112" s="542"/>
      <c r="ISS112" s="542"/>
      <c r="IST112" s="542"/>
      <c r="ISU112" s="542"/>
      <c r="ISV112" s="542"/>
      <c r="ISW112" s="542"/>
      <c r="ISX112" s="542"/>
      <c r="ISY112" s="542"/>
      <c r="ISZ112" s="542"/>
      <c r="ITA112" s="542"/>
      <c r="ITB112" s="542"/>
      <c r="ITC112" s="542"/>
      <c r="ITD112" s="542"/>
      <c r="ITE112" s="542"/>
      <c r="ITF112" s="542"/>
      <c r="ITG112" s="542"/>
      <c r="ITH112" s="542"/>
      <c r="ITI112" s="542"/>
      <c r="ITJ112" s="542"/>
      <c r="ITK112" s="542"/>
      <c r="ITL112" s="542"/>
      <c r="ITM112" s="542"/>
      <c r="ITN112" s="542"/>
      <c r="ITO112" s="542"/>
      <c r="ITP112" s="542"/>
      <c r="ITQ112" s="542"/>
      <c r="ITR112" s="542"/>
      <c r="ITS112" s="542"/>
      <c r="ITT112" s="542"/>
      <c r="ITU112" s="542"/>
      <c r="ITV112" s="542"/>
      <c r="ITW112" s="542"/>
      <c r="ITX112" s="542"/>
      <c r="ITY112" s="542"/>
      <c r="ITZ112" s="542"/>
      <c r="IUA112" s="542"/>
      <c r="IUB112" s="542"/>
      <c r="IUC112" s="542"/>
      <c r="IUD112" s="542"/>
      <c r="IUE112" s="542"/>
      <c r="IUF112" s="542"/>
      <c r="IUG112" s="542"/>
      <c r="IUH112" s="542"/>
      <c r="IUI112" s="542"/>
      <c r="IUJ112" s="542"/>
      <c r="IUK112" s="542"/>
      <c r="IUL112" s="542"/>
      <c r="IUM112" s="542"/>
      <c r="IUN112" s="542"/>
      <c r="IUO112" s="542"/>
      <c r="IUP112" s="542"/>
      <c r="IUQ112" s="542"/>
      <c r="IUR112" s="542"/>
      <c r="IUS112" s="542"/>
      <c r="IUT112" s="542"/>
      <c r="IUU112" s="542"/>
      <c r="IUV112" s="542"/>
      <c r="IUW112" s="542"/>
      <c r="IUX112" s="542"/>
      <c r="IUY112" s="542"/>
      <c r="IUZ112" s="542"/>
      <c r="IVA112" s="542"/>
      <c r="IVB112" s="542"/>
      <c r="IVC112" s="542"/>
      <c r="IVD112" s="542"/>
      <c r="IVE112" s="542"/>
      <c r="IVF112" s="542"/>
      <c r="IVG112" s="542"/>
      <c r="IVH112" s="542"/>
      <c r="IVI112" s="542"/>
      <c r="IVJ112" s="542"/>
      <c r="IVK112" s="542"/>
      <c r="IVL112" s="542"/>
      <c r="IVM112" s="542"/>
      <c r="IVN112" s="542"/>
      <c r="IVO112" s="542"/>
      <c r="IVP112" s="542"/>
      <c r="IVQ112" s="542"/>
      <c r="IVR112" s="542"/>
      <c r="IVS112" s="542"/>
      <c r="IVT112" s="542"/>
      <c r="IVU112" s="542"/>
      <c r="IVV112" s="542"/>
      <c r="IVW112" s="542"/>
      <c r="IVX112" s="542"/>
      <c r="IVY112" s="542"/>
      <c r="IVZ112" s="542"/>
      <c r="IWA112" s="542"/>
      <c r="IWB112" s="542"/>
      <c r="IWC112" s="542"/>
      <c r="IWD112" s="542"/>
      <c r="IWE112" s="542"/>
      <c r="IWF112" s="542"/>
      <c r="IWG112" s="542"/>
      <c r="IWH112" s="542"/>
      <c r="IWI112" s="542"/>
      <c r="IWJ112" s="542"/>
      <c r="IWK112" s="542"/>
      <c r="IWL112" s="542"/>
      <c r="IWM112" s="542"/>
      <c r="IWN112" s="542"/>
      <c r="IWO112" s="542"/>
      <c r="IWP112" s="542"/>
      <c r="IWQ112" s="542"/>
      <c r="IWR112" s="542"/>
      <c r="IWS112" s="542"/>
      <c r="IWT112" s="542"/>
      <c r="IWU112" s="542"/>
      <c r="IWV112" s="542"/>
      <c r="IWW112" s="542"/>
      <c r="IWX112" s="542"/>
      <c r="IWY112" s="542"/>
      <c r="IWZ112" s="542"/>
      <c r="IXA112" s="542"/>
      <c r="IXB112" s="542"/>
      <c r="IXC112" s="542"/>
      <c r="IXD112" s="542"/>
      <c r="IXE112" s="542"/>
      <c r="IXF112" s="542"/>
      <c r="IXG112" s="542"/>
      <c r="IXH112" s="542"/>
      <c r="IXI112" s="542"/>
      <c r="IXJ112" s="542"/>
      <c r="IXK112" s="542"/>
      <c r="IXL112" s="542"/>
      <c r="IXM112" s="542"/>
      <c r="IXN112" s="542"/>
      <c r="IXO112" s="542"/>
      <c r="IXP112" s="542"/>
      <c r="IXQ112" s="542"/>
      <c r="IXR112" s="542"/>
      <c r="IXS112" s="542"/>
      <c r="IXT112" s="542"/>
      <c r="IXU112" s="542"/>
      <c r="IXV112" s="542"/>
      <c r="IXW112" s="542"/>
      <c r="IXX112" s="542"/>
      <c r="IXY112" s="542"/>
      <c r="IXZ112" s="542"/>
      <c r="IYA112" s="542"/>
      <c r="IYB112" s="542"/>
      <c r="IYC112" s="542"/>
      <c r="IYD112" s="542"/>
      <c r="IYE112" s="542"/>
      <c r="IYF112" s="542"/>
      <c r="IYG112" s="542"/>
      <c r="IYH112" s="542"/>
      <c r="IYI112" s="542"/>
      <c r="IYJ112" s="542"/>
      <c r="IYK112" s="542"/>
      <c r="IYL112" s="542"/>
      <c r="IYM112" s="542"/>
      <c r="IYN112" s="542"/>
      <c r="IYO112" s="542"/>
      <c r="IYP112" s="542"/>
      <c r="IYQ112" s="542"/>
      <c r="IYR112" s="542"/>
      <c r="IYS112" s="542"/>
      <c r="IYT112" s="542"/>
      <c r="IYU112" s="542"/>
      <c r="IYV112" s="542"/>
      <c r="IYW112" s="542"/>
      <c r="IYX112" s="542"/>
      <c r="IYY112" s="542"/>
      <c r="IYZ112" s="542"/>
      <c r="IZA112" s="542"/>
      <c r="IZB112" s="542"/>
      <c r="IZC112" s="542"/>
      <c r="IZD112" s="542"/>
      <c r="IZE112" s="542"/>
      <c r="IZF112" s="542"/>
      <c r="IZG112" s="542"/>
      <c r="IZH112" s="542"/>
      <c r="IZI112" s="542"/>
      <c r="IZJ112" s="542"/>
      <c r="IZK112" s="542"/>
      <c r="IZL112" s="542"/>
      <c r="IZM112" s="542"/>
      <c r="IZN112" s="542"/>
      <c r="IZO112" s="542"/>
      <c r="IZP112" s="542"/>
      <c r="IZQ112" s="542"/>
      <c r="IZR112" s="542"/>
      <c r="IZS112" s="542"/>
      <c r="IZT112" s="542"/>
      <c r="IZU112" s="542"/>
      <c r="IZV112" s="542"/>
      <c r="IZW112" s="542"/>
      <c r="IZX112" s="542"/>
      <c r="IZY112" s="542"/>
      <c r="IZZ112" s="542"/>
      <c r="JAA112" s="542"/>
      <c r="JAB112" s="542"/>
      <c r="JAC112" s="542"/>
      <c r="JAD112" s="542"/>
      <c r="JAE112" s="542"/>
      <c r="JAF112" s="542"/>
      <c r="JAG112" s="542"/>
      <c r="JAH112" s="542"/>
      <c r="JAI112" s="542"/>
      <c r="JAJ112" s="542"/>
      <c r="JAK112" s="542"/>
      <c r="JAL112" s="542"/>
      <c r="JAM112" s="542"/>
      <c r="JAN112" s="542"/>
      <c r="JAO112" s="542"/>
      <c r="JAP112" s="542"/>
      <c r="JAQ112" s="542"/>
      <c r="JAR112" s="542"/>
      <c r="JAS112" s="542"/>
      <c r="JAT112" s="542"/>
      <c r="JAU112" s="542"/>
      <c r="JAV112" s="542"/>
      <c r="JAW112" s="542"/>
      <c r="JAX112" s="542"/>
      <c r="JAY112" s="542"/>
      <c r="JAZ112" s="542"/>
      <c r="JBA112" s="542"/>
      <c r="JBB112" s="542"/>
      <c r="JBC112" s="542"/>
      <c r="JBD112" s="542"/>
      <c r="JBE112" s="542"/>
      <c r="JBF112" s="542"/>
      <c r="JBG112" s="542"/>
      <c r="JBH112" s="542"/>
      <c r="JBI112" s="542"/>
      <c r="JBJ112" s="542"/>
      <c r="JBK112" s="542"/>
      <c r="JBL112" s="542"/>
      <c r="JBM112" s="542"/>
      <c r="JBN112" s="542"/>
      <c r="JBO112" s="542"/>
      <c r="JBP112" s="542"/>
      <c r="JBQ112" s="542"/>
      <c r="JBR112" s="542"/>
      <c r="JBS112" s="542"/>
      <c r="JBT112" s="542"/>
      <c r="JBU112" s="542"/>
      <c r="JBV112" s="542"/>
      <c r="JBW112" s="542"/>
      <c r="JBX112" s="542"/>
      <c r="JBY112" s="542"/>
      <c r="JBZ112" s="542"/>
      <c r="JCA112" s="542"/>
      <c r="JCB112" s="542"/>
      <c r="JCC112" s="542"/>
      <c r="JCD112" s="542"/>
      <c r="JCE112" s="542"/>
      <c r="JCF112" s="542"/>
      <c r="JCG112" s="542"/>
      <c r="JCH112" s="542"/>
      <c r="JCI112" s="542"/>
      <c r="JCJ112" s="542"/>
      <c r="JCK112" s="542"/>
      <c r="JCL112" s="542"/>
      <c r="JCM112" s="542"/>
      <c r="JCN112" s="542"/>
      <c r="JCO112" s="542"/>
      <c r="JCP112" s="542"/>
      <c r="JCQ112" s="542"/>
      <c r="JCR112" s="542"/>
      <c r="JCS112" s="542"/>
      <c r="JCT112" s="542"/>
      <c r="JCU112" s="542"/>
      <c r="JCV112" s="542"/>
      <c r="JCW112" s="542"/>
      <c r="JCX112" s="542"/>
      <c r="JCY112" s="542"/>
      <c r="JCZ112" s="542"/>
      <c r="JDA112" s="542"/>
      <c r="JDB112" s="542"/>
      <c r="JDC112" s="542"/>
      <c r="JDD112" s="542"/>
      <c r="JDE112" s="542"/>
      <c r="JDF112" s="542"/>
      <c r="JDG112" s="542"/>
      <c r="JDH112" s="542"/>
      <c r="JDI112" s="542"/>
      <c r="JDJ112" s="542"/>
      <c r="JDK112" s="542"/>
      <c r="JDL112" s="542"/>
      <c r="JDM112" s="542"/>
      <c r="JDN112" s="542"/>
      <c r="JDO112" s="542"/>
      <c r="JDP112" s="542"/>
      <c r="JDQ112" s="542"/>
      <c r="JDR112" s="542"/>
      <c r="JDS112" s="542"/>
      <c r="JDT112" s="542"/>
      <c r="JDU112" s="542"/>
      <c r="JDV112" s="542"/>
      <c r="JDW112" s="542"/>
      <c r="JDX112" s="542"/>
      <c r="JDY112" s="542"/>
      <c r="JDZ112" s="542"/>
      <c r="JEA112" s="542"/>
      <c r="JEB112" s="542"/>
      <c r="JEC112" s="542"/>
      <c r="JED112" s="542"/>
      <c r="JEE112" s="542"/>
      <c r="JEF112" s="542"/>
      <c r="JEG112" s="542"/>
      <c r="JEH112" s="542"/>
      <c r="JEI112" s="542"/>
      <c r="JEJ112" s="542"/>
      <c r="JEK112" s="542"/>
      <c r="JEL112" s="542"/>
      <c r="JEM112" s="542"/>
      <c r="JEN112" s="542"/>
      <c r="JEO112" s="542"/>
      <c r="JEP112" s="542"/>
      <c r="JEQ112" s="542"/>
      <c r="JER112" s="542"/>
      <c r="JES112" s="542"/>
      <c r="JET112" s="542"/>
      <c r="JEU112" s="542"/>
      <c r="JEV112" s="542"/>
      <c r="JEW112" s="542"/>
      <c r="JEX112" s="542"/>
      <c r="JEY112" s="542"/>
      <c r="JEZ112" s="542"/>
      <c r="JFA112" s="542"/>
      <c r="JFB112" s="542"/>
      <c r="JFC112" s="542"/>
      <c r="JFD112" s="542"/>
      <c r="JFE112" s="542"/>
      <c r="JFF112" s="542"/>
      <c r="JFG112" s="542"/>
      <c r="JFH112" s="542"/>
      <c r="JFI112" s="542"/>
      <c r="JFJ112" s="542"/>
      <c r="JFK112" s="542"/>
      <c r="JFL112" s="542"/>
      <c r="JFM112" s="542"/>
      <c r="JFN112" s="542"/>
      <c r="JFO112" s="542"/>
      <c r="JFP112" s="542"/>
      <c r="JFQ112" s="542"/>
      <c r="JFR112" s="542"/>
      <c r="JFS112" s="542"/>
      <c r="JFT112" s="542"/>
      <c r="JFU112" s="542"/>
      <c r="JFV112" s="542"/>
      <c r="JFW112" s="542"/>
      <c r="JFX112" s="542"/>
      <c r="JFY112" s="542"/>
      <c r="JFZ112" s="542"/>
      <c r="JGA112" s="542"/>
      <c r="JGB112" s="542"/>
      <c r="JGC112" s="542"/>
      <c r="JGD112" s="542"/>
      <c r="JGE112" s="542"/>
      <c r="JGF112" s="542"/>
      <c r="JGG112" s="542"/>
      <c r="JGH112" s="542"/>
      <c r="JGI112" s="542"/>
      <c r="JGJ112" s="542"/>
      <c r="JGK112" s="542"/>
      <c r="JGL112" s="542"/>
      <c r="JGM112" s="542"/>
      <c r="JGN112" s="542"/>
      <c r="JGO112" s="542"/>
      <c r="JGP112" s="542"/>
      <c r="JGQ112" s="542"/>
      <c r="JGR112" s="542"/>
      <c r="JGS112" s="542"/>
      <c r="JGT112" s="542"/>
      <c r="JGU112" s="542"/>
      <c r="JGV112" s="542"/>
      <c r="JGW112" s="542"/>
      <c r="JGX112" s="542"/>
      <c r="JGY112" s="542"/>
      <c r="JGZ112" s="542"/>
      <c r="JHA112" s="542"/>
      <c r="JHB112" s="542"/>
      <c r="JHC112" s="542"/>
      <c r="JHD112" s="542"/>
      <c r="JHE112" s="542"/>
      <c r="JHF112" s="542"/>
      <c r="JHG112" s="542"/>
      <c r="JHH112" s="542"/>
      <c r="JHI112" s="542"/>
      <c r="JHJ112" s="542"/>
      <c r="JHK112" s="542"/>
      <c r="JHL112" s="542"/>
      <c r="JHM112" s="542"/>
      <c r="JHN112" s="542"/>
      <c r="JHO112" s="542"/>
      <c r="JHP112" s="542"/>
      <c r="JHQ112" s="542"/>
      <c r="JHR112" s="542"/>
      <c r="JHS112" s="542"/>
      <c r="JHT112" s="542"/>
      <c r="JHU112" s="542"/>
      <c r="JHV112" s="542"/>
      <c r="JHW112" s="542"/>
      <c r="JHX112" s="542"/>
      <c r="JHY112" s="542"/>
      <c r="JHZ112" s="542"/>
      <c r="JIA112" s="542"/>
      <c r="JIB112" s="542"/>
      <c r="JIC112" s="542"/>
      <c r="JID112" s="542"/>
      <c r="JIE112" s="542"/>
      <c r="JIF112" s="542"/>
      <c r="JIG112" s="542"/>
      <c r="JIH112" s="542"/>
      <c r="JII112" s="542"/>
      <c r="JIJ112" s="542"/>
      <c r="JIK112" s="542"/>
      <c r="JIL112" s="542"/>
      <c r="JIM112" s="542"/>
      <c r="JIN112" s="542"/>
      <c r="JIO112" s="542"/>
      <c r="JIP112" s="542"/>
      <c r="JIQ112" s="542"/>
      <c r="JIR112" s="542"/>
      <c r="JIS112" s="542"/>
      <c r="JIT112" s="542"/>
      <c r="JIU112" s="542"/>
      <c r="JIV112" s="542"/>
      <c r="JIW112" s="542"/>
      <c r="JIX112" s="542"/>
      <c r="JIY112" s="542"/>
      <c r="JIZ112" s="542"/>
      <c r="JJA112" s="542"/>
      <c r="JJB112" s="542"/>
      <c r="JJC112" s="542"/>
      <c r="JJD112" s="542"/>
      <c r="JJE112" s="542"/>
      <c r="JJF112" s="542"/>
      <c r="JJG112" s="542"/>
      <c r="JJH112" s="542"/>
      <c r="JJI112" s="542"/>
      <c r="JJJ112" s="542"/>
      <c r="JJK112" s="542"/>
      <c r="JJL112" s="542"/>
      <c r="JJM112" s="542"/>
      <c r="JJN112" s="542"/>
      <c r="JJO112" s="542"/>
      <c r="JJP112" s="542"/>
      <c r="JJQ112" s="542"/>
      <c r="JJR112" s="542"/>
      <c r="JJS112" s="542"/>
      <c r="JJT112" s="542"/>
      <c r="JJU112" s="542"/>
      <c r="JJV112" s="542"/>
      <c r="JJW112" s="542"/>
      <c r="JJX112" s="542"/>
      <c r="JJY112" s="542"/>
      <c r="JJZ112" s="542"/>
      <c r="JKA112" s="542"/>
      <c r="JKB112" s="542"/>
      <c r="JKC112" s="542"/>
      <c r="JKD112" s="542"/>
      <c r="JKE112" s="542"/>
      <c r="JKF112" s="542"/>
      <c r="JKG112" s="542"/>
      <c r="JKH112" s="542"/>
      <c r="JKI112" s="542"/>
      <c r="JKJ112" s="542"/>
      <c r="JKK112" s="542"/>
      <c r="JKL112" s="542"/>
      <c r="JKM112" s="542"/>
      <c r="JKN112" s="542"/>
      <c r="JKO112" s="542"/>
      <c r="JKP112" s="542"/>
      <c r="JKQ112" s="542"/>
      <c r="JKR112" s="542"/>
      <c r="JKS112" s="542"/>
      <c r="JKT112" s="542"/>
      <c r="JKU112" s="542"/>
      <c r="JKV112" s="542"/>
      <c r="JKW112" s="542"/>
      <c r="JKX112" s="542"/>
      <c r="JKY112" s="542"/>
      <c r="JKZ112" s="542"/>
      <c r="JLA112" s="542"/>
      <c r="JLB112" s="542"/>
      <c r="JLC112" s="542"/>
      <c r="JLD112" s="542"/>
      <c r="JLE112" s="542"/>
      <c r="JLF112" s="542"/>
      <c r="JLG112" s="542"/>
      <c r="JLH112" s="542"/>
      <c r="JLI112" s="542"/>
      <c r="JLJ112" s="542"/>
      <c r="JLK112" s="542"/>
      <c r="JLL112" s="542"/>
      <c r="JLM112" s="542"/>
      <c r="JLN112" s="542"/>
      <c r="JLO112" s="542"/>
      <c r="JLP112" s="542"/>
      <c r="JLQ112" s="542"/>
      <c r="JLR112" s="542"/>
      <c r="JLS112" s="542"/>
      <c r="JLT112" s="542"/>
      <c r="JLU112" s="542"/>
      <c r="JLV112" s="542"/>
      <c r="JLW112" s="542"/>
      <c r="JLX112" s="542"/>
      <c r="JLY112" s="542"/>
      <c r="JLZ112" s="542"/>
      <c r="JMA112" s="542"/>
      <c r="JMB112" s="542"/>
      <c r="JMC112" s="542"/>
      <c r="JMD112" s="542"/>
      <c r="JME112" s="542"/>
      <c r="JMF112" s="542"/>
      <c r="JMG112" s="542"/>
      <c r="JMH112" s="542"/>
      <c r="JMI112" s="542"/>
      <c r="JMJ112" s="542"/>
      <c r="JMK112" s="542"/>
      <c r="JML112" s="542"/>
      <c r="JMM112" s="542"/>
      <c r="JMN112" s="542"/>
      <c r="JMO112" s="542"/>
      <c r="JMP112" s="542"/>
      <c r="JMQ112" s="542"/>
      <c r="JMR112" s="542"/>
      <c r="JMS112" s="542"/>
      <c r="JMT112" s="542"/>
      <c r="JMU112" s="542"/>
      <c r="JMV112" s="542"/>
      <c r="JMW112" s="542"/>
      <c r="JMX112" s="542"/>
      <c r="JMY112" s="542"/>
      <c r="JMZ112" s="542"/>
      <c r="JNA112" s="542"/>
      <c r="JNB112" s="542"/>
      <c r="JNC112" s="542"/>
      <c r="JND112" s="542"/>
      <c r="JNE112" s="542"/>
      <c r="JNF112" s="542"/>
      <c r="JNG112" s="542"/>
      <c r="JNH112" s="542"/>
      <c r="JNI112" s="542"/>
      <c r="JNJ112" s="542"/>
      <c r="JNK112" s="542"/>
      <c r="JNL112" s="542"/>
      <c r="JNM112" s="542"/>
      <c r="JNN112" s="542"/>
      <c r="JNO112" s="542"/>
      <c r="JNP112" s="542"/>
      <c r="JNQ112" s="542"/>
      <c r="JNR112" s="542"/>
      <c r="JNS112" s="542"/>
      <c r="JNT112" s="542"/>
      <c r="JNU112" s="542"/>
      <c r="JNV112" s="542"/>
      <c r="JNW112" s="542"/>
      <c r="JNX112" s="542"/>
      <c r="JNY112" s="542"/>
      <c r="JNZ112" s="542"/>
      <c r="JOA112" s="542"/>
      <c r="JOB112" s="542"/>
      <c r="JOC112" s="542"/>
      <c r="JOD112" s="542"/>
      <c r="JOE112" s="542"/>
      <c r="JOF112" s="542"/>
      <c r="JOG112" s="542"/>
      <c r="JOH112" s="542"/>
      <c r="JOI112" s="542"/>
      <c r="JOJ112" s="542"/>
      <c r="JOK112" s="542"/>
      <c r="JOL112" s="542"/>
      <c r="JOM112" s="542"/>
      <c r="JON112" s="542"/>
      <c r="JOO112" s="542"/>
      <c r="JOP112" s="542"/>
      <c r="JOQ112" s="542"/>
      <c r="JOR112" s="542"/>
      <c r="JOS112" s="542"/>
      <c r="JOT112" s="542"/>
      <c r="JOU112" s="542"/>
      <c r="JOV112" s="542"/>
      <c r="JOW112" s="542"/>
      <c r="JOX112" s="542"/>
      <c r="JOY112" s="542"/>
      <c r="JOZ112" s="542"/>
      <c r="JPA112" s="542"/>
      <c r="JPB112" s="542"/>
      <c r="JPC112" s="542"/>
      <c r="JPD112" s="542"/>
      <c r="JPE112" s="542"/>
      <c r="JPF112" s="542"/>
      <c r="JPG112" s="542"/>
      <c r="JPH112" s="542"/>
      <c r="JPI112" s="542"/>
      <c r="JPJ112" s="542"/>
      <c r="JPK112" s="542"/>
      <c r="JPL112" s="542"/>
      <c r="JPM112" s="542"/>
      <c r="JPN112" s="542"/>
      <c r="JPO112" s="542"/>
      <c r="JPP112" s="542"/>
      <c r="JPQ112" s="542"/>
      <c r="JPR112" s="542"/>
      <c r="JPS112" s="542"/>
      <c r="JPT112" s="542"/>
      <c r="JPU112" s="542"/>
      <c r="JPV112" s="542"/>
      <c r="JPW112" s="542"/>
      <c r="JPX112" s="542"/>
      <c r="JPY112" s="542"/>
      <c r="JPZ112" s="542"/>
      <c r="JQA112" s="542"/>
      <c r="JQB112" s="542"/>
      <c r="JQC112" s="542"/>
      <c r="JQD112" s="542"/>
      <c r="JQE112" s="542"/>
      <c r="JQF112" s="542"/>
      <c r="JQG112" s="542"/>
      <c r="JQH112" s="542"/>
      <c r="JQI112" s="542"/>
      <c r="JQJ112" s="542"/>
      <c r="JQK112" s="542"/>
      <c r="JQL112" s="542"/>
      <c r="JQM112" s="542"/>
      <c r="JQN112" s="542"/>
      <c r="JQO112" s="542"/>
      <c r="JQP112" s="542"/>
      <c r="JQQ112" s="542"/>
      <c r="JQR112" s="542"/>
      <c r="JQS112" s="542"/>
      <c r="JQT112" s="542"/>
      <c r="JQU112" s="542"/>
      <c r="JQV112" s="542"/>
      <c r="JQW112" s="542"/>
      <c r="JQX112" s="542"/>
      <c r="JQY112" s="542"/>
      <c r="JQZ112" s="542"/>
      <c r="JRA112" s="542"/>
      <c r="JRB112" s="542"/>
      <c r="JRC112" s="542"/>
      <c r="JRD112" s="542"/>
      <c r="JRE112" s="542"/>
      <c r="JRF112" s="542"/>
      <c r="JRG112" s="542"/>
      <c r="JRH112" s="542"/>
      <c r="JRI112" s="542"/>
      <c r="JRJ112" s="542"/>
      <c r="JRK112" s="542"/>
      <c r="JRL112" s="542"/>
      <c r="JRM112" s="542"/>
      <c r="JRN112" s="542"/>
      <c r="JRO112" s="542"/>
      <c r="JRP112" s="542"/>
      <c r="JRQ112" s="542"/>
      <c r="JRR112" s="542"/>
      <c r="JRS112" s="542"/>
      <c r="JRT112" s="542"/>
      <c r="JRU112" s="542"/>
      <c r="JRV112" s="542"/>
      <c r="JRW112" s="542"/>
      <c r="JRX112" s="542"/>
      <c r="JRY112" s="542"/>
      <c r="JRZ112" s="542"/>
      <c r="JSA112" s="542"/>
      <c r="JSB112" s="542"/>
      <c r="JSC112" s="542"/>
      <c r="JSD112" s="542"/>
      <c r="JSE112" s="542"/>
      <c r="JSF112" s="542"/>
      <c r="JSG112" s="542"/>
      <c r="JSH112" s="542"/>
      <c r="JSI112" s="542"/>
      <c r="JSJ112" s="542"/>
      <c r="JSK112" s="542"/>
      <c r="JSL112" s="542"/>
      <c r="JSM112" s="542"/>
      <c r="JSN112" s="542"/>
      <c r="JSO112" s="542"/>
      <c r="JSP112" s="542"/>
      <c r="JSQ112" s="542"/>
      <c r="JSR112" s="542"/>
      <c r="JSS112" s="542"/>
      <c r="JST112" s="542"/>
      <c r="JSU112" s="542"/>
      <c r="JSV112" s="542"/>
      <c r="JSW112" s="542"/>
      <c r="JSX112" s="542"/>
      <c r="JSY112" s="542"/>
      <c r="JSZ112" s="542"/>
      <c r="JTA112" s="542"/>
      <c r="JTB112" s="542"/>
      <c r="JTC112" s="542"/>
      <c r="JTD112" s="542"/>
      <c r="JTE112" s="542"/>
      <c r="JTF112" s="542"/>
      <c r="JTG112" s="542"/>
      <c r="JTH112" s="542"/>
      <c r="JTI112" s="542"/>
      <c r="JTJ112" s="542"/>
      <c r="JTK112" s="542"/>
      <c r="JTL112" s="542"/>
      <c r="JTM112" s="542"/>
      <c r="JTN112" s="542"/>
      <c r="JTO112" s="542"/>
      <c r="JTP112" s="542"/>
      <c r="JTQ112" s="542"/>
      <c r="JTR112" s="542"/>
      <c r="JTS112" s="542"/>
      <c r="JTT112" s="542"/>
      <c r="JTU112" s="542"/>
      <c r="JTV112" s="542"/>
      <c r="JTW112" s="542"/>
      <c r="JTX112" s="542"/>
      <c r="JTY112" s="542"/>
      <c r="JTZ112" s="542"/>
      <c r="JUA112" s="542"/>
      <c r="JUB112" s="542"/>
      <c r="JUC112" s="542"/>
      <c r="JUD112" s="542"/>
      <c r="JUE112" s="542"/>
      <c r="JUF112" s="542"/>
      <c r="JUG112" s="542"/>
      <c r="JUH112" s="542"/>
      <c r="JUI112" s="542"/>
      <c r="JUJ112" s="542"/>
      <c r="JUK112" s="542"/>
      <c r="JUL112" s="542"/>
      <c r="JUM112" s="542"/>
      <c r="JUN112" s="542"/>
      <c r="JUO112" s="542"/>
      <c r="JUP112" s="542"/>
      <c r="JUQ112" s="542"/>
      <c r="JUR112" s="542"/>
      <c r="JUS112" s="542"/>
      <c r="JUT112" s="542"/>
      <c r="JUU112" s="542"/>
      <c r="JUV112" s="542"/>
      <c r="JUW112" s="542"/>
      <c r="JUX112" s="542"/>
      <c r="JUY112" s="542"/>
      <c r="JUZ112" s="542"/>
      <c r="JVA112" s="542"/>
      <c r="JVB112" s="542"/>
      <c r="JVC112" s="542"/>
      <c r="JVD112" s="542"/>
      <c r="JVE112" s="542"/>
      <c r="JVF112" s="542"/>
      <c r="JVG112" s="542"/>
      <c r="JVH112" s="542"/>
      <c r="JVI112" s="542"/>
      <c r="JVJ112" s="542"/>
      <c r="JVK112" s="542"/>
      <c r="JVL112" s="542"/>
      <c r="JVM112" s="542"/>
      <c r="JVN112" s="542"/>
      <c r="JVO112" s="542"/>
      <c r="JVP112" s="542"/>
      <c r="JVQ112" s="542"/>
      <c r="JVR112" s="542"/>
      <c r="JVS112" s="542"/>
      <c r="JVT112" s="542"/>
      <c r="JVU112" s="542"/>
      <c r="JVV112" s="542"/>
      <c r="JVW112" s="542"/>
      <c r="JVX112" s="542"/>
      <c r="JVY112" s="542"/>
      <c r="JVZ112" s="542"/>
      <c r="JWA112" s="542"/>
      <c r="JWB112" s="542"/>
      <c r="JWC112" s="542"/>
      <c r="JWD112" s="542"/>
      <c r="JWE112" s="542"/>
      <c r="JWF112" s="542"/>
      <c r="JWG112" s="542"/>
      <c r="JWH112" s="542"/>
      <c r="JWI112" s="542"/>
      <c r="JWJ112" s="542"/>
      <c r="JWK112" s="542"/>
      <c r="JWL112" s="542"/>
      <c r="JWM112" s="542"/>
      <c r="JWN112" s="542"/>
      <c r="JWO112" s="542"/>
      <c r="JWP112" s="542"/>
      <c r="JWQ112" s="542"/>
      <c r="JWR112" s="542"/>
      <c r="JWS112" s="542"/>
      <c r="JWT112" s="542"/>
      <c r="JWU112" s="542"/>
      <c r="JWV112" s="542"/>
      <c r="JWW112" s="542"/>
      <c r="JWX112" s="542"/>
      <c r="JWY112" s="542"/>
      <c r="JWZ112" s="542"/>
      <c r="JXA112" s="542"/>
      <c r="JXB112" s="542"/>
      <c r="JXC112" s="542"/>
      <c r="JXD112" s="542"/>
      <c r="JXE112" s="542"/>
      <c r="JXF112" s="542"/>
      <c r="JXG112" s="542"/>
      <c r="JXH112" s="542"/>
      <c r="JXI112" s="542"/>
      <c r="JXJ112" s="542"/>
      <c r="JXK112" s="542"/>
      <c r="JXL112" s="542"/>
      <c r="JXM112" s="542"/>
      <c r="JXN112" s="542"/>
      <c r="JXO112" s="542"/>
      <c r="JXP112" s="542"/>
      <c r="JXQ112" s="542"/>
      <c r="JXR112" s="542"/>
      <c r="JXS112" s="542"/>
      <c r="JXT112" s="542"/>
      <c r="JXU112" s="542"/>
      <c r="JXV112" s="542"/>
      <c r="JXW112" s="542"/>
      <c r="JXX112" s="542"/>
      <c r="JXY112" s="542"/>
      <c r="JXZ112" s="542"/>
      <c r="JYA112" s="542"/>
      <c r="JYB112" s="542"/>
      <c r="JYC112" s="542"/>
      <c r="JYD112" s="542"/>
      <c r="JYE112" s="542"/>
      <c r="JYF112" s="542"/>
      <c r="JYG112" s="542"/>
      <c r="JYH112" s="542"/>
      <c r="JYI112" s="542"/>
      <c r="JYJ112" s="542"/>
      <c r="JYK112" s="542"/>
      <c r="JYL112" s="542"/>
      <c r="JYM112" s="542"/>
      <c r="JYN112" s="542"/>
      <c r="JYO112" s="542"/>
      <c r="JYP112" s="542"/>
      <c r="JYQ112" s="542"/>
      <c r="JYR112" s="542"/>
      <c r="JYS112" s="542"/>
      <c r="JYT112" s="542"/>
      <c r="JYU112" s="542"/>
      <c r="JYV112" s="542"/>
      <c r="JYW112" s="542"/>
      <c r="JYX112" s="542"/>
      <c r="JYY112" s="542"/>
      <c r="JYZ112" s="542"/>
      <c r="JZA112" s="542"/>
      <c r="JZB112" s="542"/>
      <c r="JZC112" s="542"/>
      <c r="JZD112" s="542"/>
      <c r="JZE112" s="542"/>
      <c r="JZF112" s="542"/>
      <c r="JZG112" s="542"/>
      <c r="JZH112" s="542"/>
      <c r="JZI112" s="542"/>
      <c r="JZJ112" s="542"/>
      <c r="JZK112" s="542"/>
      <c r="JZL112" s="542"/>
      <c r="JZM112" s="542"/>
      <c r="JZN112" s="542"/>
      <c r="JZO112" s="542"/>
      <c r="JZP112" s="542"/>
      <c r="JZQ112" s="542"/>
      <c r="JZR112" s="542"/>
      <c r="JZS112" s="542"/>
      <c r="JZT112" s="542"/>
      <c r="JZU112" s="542"/>
      <c r="JZV112" s="542"/>
      <c r="JZW112" s="542"/>
      <c r="JZX112" s="542"/>
      <c r="JZY112" s="542"/>
      <c r="JZZ112" s="542"/>
      <c r="KAA112" s="542"/>
      <c r="KAB112" s="542"/>
      <c r="KAC112" s="542"/>
      <c r="KAD112" s="542"/>
      <c r="KAE112" s="542"/>
      <c r="KAF112" s="542"/>
      <c r="KAG112" s="542"/>
      <c r="KAH112" s="542"/>
      <c r="KAI112" s="542"/>
      <c r="KAJ112" s="542"/>
      <c r="KAK112" s="542"/>
      <c r="KAL112" s="542"/>
      <c r="KAM112" s="542"/>
      <c r="KAN112" s="542"/>
      <c r="KAO112" s="542"/>
      <c r="KAP112" s="542"/>
      <c r="KAQ112" s="542"/>
      <c r="KAR112" s="542"/>
      <c r="KAS112" s="542"/>
      <c r="KAT112" s="542"/>
      <c r="KAU112" s="542"/>
      <c r="KAV112" s="542"/>
      <c r="KAW112" s="542"/>
      <c r="KAX112" s="542"/>
      <c r="KAY112" s="542"/>
      <c r="KAZ112" s="542"/>
      <c r="KBA112" s="542"/>
      <c r="KBB112" s="542"/>
      <c r="KBC112" s="542"/>
      <c r="KBD112" s="542"/>
      <c r="KBE112" s="542"/>
      <c r="KBF112" s="542"/>
      <c r="KBG112" s="542"/>
      <c r="KBH112" s="542"/>
      <c r="KBI112" s="542"/>
      <c r="KBJ112" s="542"/>
      <c r="KBK112" s="542"/>
      <c r="KBL112" s="542"/>
      <c r="KBM112" s="542"/>
      <c r="KBN112" s="542"/>
      <c r="KBO112" s="542"/>
      <c r="KBP112" s="542"/>
      <c r="KBQ112" s="542"/>
      <c r="KBR112" s="542"/>
      <c r="KBS112" s="542"/>
      <c r="KBT112" s="542"/>
      <c r="KBU112" s="542"/>
      <c r="KBV112" s="542"/>
      <c r="KBW112" s="542"/>
      <c r="KBX112" s="542"/>
      <c r="KBY112" s="542"/>
      <c r="KBZ112" s="542"/>
      <c r="KCA112" s="542"/>
      <c r="KCB112" s="542"/>
      <c r="KCC112" s="542"/>
      <c r="KCD112" s="542"/>
      <c r="KCE112" s="542"/>
      <c r="KCF112" s="542"/>
      <c r="KCG112" s="542"/>
      <c r="KCH112" s="542"/>
      <c r="KCI112" s="542"/>
      <c r="KCJ112" s="542"/>
      <c r="KCK112" s="542"/>
      <c r="KCL112" s="542"/>
      <c r="KCM112" s="542"/>
      <c r="KCN112" s="542"/>
      <c r="KCO112" s="542"/>
      <c r="KCP112" s="542"/>
      <c r="KCQ112" s="542"/>
      <c r="KCR112" s="542"/>
      <c r="KCS112" s="542"/>
      <c r="KCT112" s="542"/>
      <c r="KCU112" s="542"/>
      <c r="KCV112" s="542"/>
      <c r="KCW112" s="542"/>
      <c r="KCX112" s="542"/>
      <c r="KCY112" s="542"/>
      <c r="KCZ112" s="542"/>
      <c r="KDA112" s="542"/>
      <c r="KDB112" s="542"/>
      <c r="KDC112" s="542"/>
      <c r="KDD112" s="542"/>
      <c r="KDE112" s="542"/>
      <c r="KDF112" s="542"/>
      <c r="KDG112" s="542"/>
      <c r="KDH112" s="542"/>
      <c r="KDI112" s="542"/>
      <c r="KDJ112" s="542"/>
      <c r="KDK112" s="542"/>
      <c r="KDL112" s="542"/>
      <c r="KDM112" s="542"/>
      <c r="KDN112" s="542"/>
      <c r="KDO112" s="542"/>
      <c r="KDP112" s="542"/>
      <c r="KDQ112" s="542"/>
      <c r="KDR112" s="542"/>
      <c r="KDS112" s="542"/>
      <c r="KDT112" s="542"/>
      <c r="KDU112" s="542"/>
      <c r="KDV112" s="542"/>
      <c r="KDW112" s="542"/>
      <c r="KDX112" s="542"/>
      <c r="KDY112" s="542"/>
      <c r="KDZ112" s="542"/>
      <c r="KEA112" s="542"/>
      <c r="KEB112" s="542"/>
      <c r="KEC112" s="542"/>
      <c r="KED112" s="542"/>
      <c r="KEE112" s="542"/>
      <c r="KEF112" s="542"/>
      <c r="KEG112" s="542"/>
      <c r="KEH112" s="542"/>
      <c r="KEI112" s="542"/>
      <c r="KEJ112" s="542"/>
      <c r="KEK112" s="542"/>
      <c r="KEL112" s="542"/>
      <c r="KEM112" s="542"/>
      <c r="KEN112" s="542"/>
      <c r="KEO112" s="542"/>
      <c r="KEP112" s="542"/>
      <c r="KEQ112" s="542"/>
      <c r="KER112" s="542"/>
      <c r="KES112" s="542"/>
      <c r="KET112" s="542"/>
      <c r="KEU112" s="542"/>
      <c r="KEV112" s="542"/>
      <c r="KEW112" s="542"/>
      <c r="KEX112" s="542"/>
      <c r="KEY112" s="542"/>
      <c r="KEZ112" s="542"/>
      <c r="KFA112" s="542"/>
      <c r="KFB112" s="542"/>
      <c r="KFC112" s="542"/>
      <c r="KFD112" s="542"/>
      <c r="KFE112" s="542"/>
      <c r="KFF112" s="542"/>
      <c r="KFG112" s="542"/>
      <c r="KFH112" s="542"/>
      <c r="KFI112" s="542"/>
      <c r="KFJ112" s="542"/>
      <c r="KFK112" s="542"/>
      <c r="KFL112" s="542"/>
      <c r="KFM112" s="542"/>
      <c r="KFN112" s="542"/>
      <c r="KFO112" s="542"/>
      <c r="KFP112" s="542"/>
      <c r="KFQ112" s="542"/>
      <c r="KFR112" s="542"/>
      <c r="KFS112" s="542"/>
      <c r="KFT112" s="542"/>
      <c r="KFU112" s="542"/>
      <c r="KFV112" s="542"/>
      <c r="KFW112" s="542"/>
      <c r="KFX112" s="542"/>
      <c r="KFY112" s="542"/>
      <c r="KFZ112" s="542"/>
      <c r="KGA112" s="542"/>
      <c r="KGB112" s="542"/>
      <c r="KGC112" s="542"/>
      <c r="KGD112" s="542"/>
      <c r="KGE112" s="542"/>
      <c r="KGF112" s="542"/>
      <c r="KGG112" s="542"/>
      <c r="KGH112" s="542"/>
      <c r="KGI112" s="542"/>
      <c r="KGJ112" s="542"/>
      <c r="KGK112" s="542"/>
      <c r="KGL112" s="542"/>
      <c r="KGM112" s="542"/>
      <c r="KGN112" s="542"/>
      <c r="KGO112" s="542"/>
      <c r="KGP112" s="542"/>
      <c r="KGQ112" s="542"/>
      <c r="KGR112" s="542"/>
      <c r="KGS112" s="542"/>
      <c r="KGT112" s="542"/>
      <c r="KGU112" s="542"/>
      <c r="KGV112" s="542"/>
      <c r="KGW112" s="542"/>
      <c r="KGX112" s="542"/>
      <c r="KGY112" s="542"/>
      <c r="KGZ112" s="542"/>
      <c r="KHA112" s="542"/>
      <c r="KHB112" s="542"/>
      <c r="KHC112" s="542"/>
      <c r="KHD112" s="542"/>
      <c r="KHE112" s="542"/>
      <c r="KHF112" s="542"/>
      <c r="KHG112" s="542"/>
      <c r="KHH112" s="542"/>
      <c r="KHI112" s="542"/>
      <c r="KHJ112" s="542"/>
      <c r="KHK112" s="542"/>
      <c r="KHL112" s="542"/>
      <c r="KHM112" s="542"/>
      <c r="KHN112" s="542"/>
      <c r="KHO112" s="542"/>
      <c r="KHP112" s="542"/>
      <c r="KHQ112" s="542"/>
      <c r="KHR112" s="542"/>
      <c r="KHS112" s="542"/>
      <c r="KHT112" s="542"/>
      <c r="KHU112" s="542"/>
      <c r="KHV112" s="542"/>
      <c r="KHW112" s="542"/>
      <c r="KHX112" s="542"/>
      <c r="KHY112" s="542"/>
      <c r="KHZ112" s="542"/>
      <c r="KIA112" s="542"/>
      <c r="KIB112" s="542"/>
      <c r="KIC112" s="542"/>
      <c r="KID112" s="542"/>
      <c r="KIE112" s="542"/>
      <c r="KIF112" s="542"/>
      <c r="KIG112" s="542"/>
      <c r="KIH112" s="542"/>
      <c r="KII112" s="542"/>
      <c r="KIJ112" s="542"/>
      <c r="KIK112" s="542"/>
      <c r="KIL112" s="542"/>
      <c r="KIM112" s="542"/>
      <c r="KIN112" s="542"/>
      <c r="KIO112" s="542"/>
      <c r="KIP112" s="542"/>
      <c r="KIQ112" s="542"/>
      <c r="KIR112" s="542"/>
      <c r="KIS112" s="542"/>
      <c r="KIT112" s="542"/>
      <c r="KIU112" s="542"/>
      <c r="KIV112" s="542"/>
      <c r="KIW112" s="542"/>
      <c r="KIX112" s="542"/>
      <c r="KIY112" s="542"/>
      <c r="KIZ112" s="542"/>
      <c r="KJA112" s="542"/>
      <c r="KJB112" s="542"/>
      <c r="KJC112" s="542"/>
      <c r="KJD112" s="542"/>
      <c r="KJE112" s="542"/>
      <c r="KJF112" s="542"/>
      <c r="KJG112" s="542"/>
      <c r="KJH112" s="542"/>
      <c r="KJI112" s="542"/>
      <c r="KJJ112" s="542"/>
      <c r="KJK112" s="542"/>
      <c r="KJL112" s="542"/>
      <c r="KJM112" s="542"/>
      <c r="KJN112" s="542"/>
      <c r="KJO112" s="542"/>
      <c r="KJP112" s="542"/>
      <c r="KJQ112" s="542"/>
      <c r="KJR112" s="542"/>
      <c r="KJS112" s="542"/>
      <c r="KJT112" s="542"/>
      <c r="KJU112" s="542"/>
      <c r="KJV112" s="542"/>
      <c r="KJW112" s="542"/>
      <c r="KJX112" s="542"/>
      <c r="KJY112" s="542"/>
      <c r="KJZ112" s="542"/>
      <c r="KKA112" s="542"/>
      <c r="KKB112" s="542"/>
      <c r="KKC112" s="542"/>
      <c r="KKD112" s="542"/>
      <c r="KKE112" s="542"/>
      <c r="KKF112" s="542"/>
      <c r="KKG112" s="542"/>
      <c r="KKH112" s="542"/>
      <c r="KKI112" s="542"/>
      <c r="KKJ112" s="542"/>
      <c r="KKK112" s="542"/>
      <c r="KKL112" s="542"/>
      <c r="KKM112" s="542"/>
      <c r="KKN112" s="542"/>
      <c r="KKO112" s="542"/>
      <c r="KKP112" s="542"/>
      <c r="KKQ112" s="542"/>
      <c r="KKR112" s="542"/>
      <c r="KKS112" s="542"/>
      <c r="KKT112" s="542"/>
      <c r="KKU112" s="542"/>
      <c r="KKV112" s="542"/>
      <c r="KKW112" s="542"/>
      <c r="KKX112" s="542"/>
      <c r="KKY112" s="542"/>
      <c r="KKZ112" s="542"/>
      <c r="KLA112" s="542"/>
      <c r="KLB112" s="542"/>
      <c r="KLC112" s="542"/>
      <c r="KLD112" s="542"/>
      <c r="KLE112" s="542"/>
      <c r="KLF112" s="542"/>
      <c r="KLG112" s="542"/>
      <c r="KLH112" s="542"/>
      <c r="KLI112" s="542"/>
      <c r="KLJ112" s="542"/>
      <c r="KLK112" s="542"/>
      <c r="KLL112" s="542"/>
      <c r="KLM112" s="542"/>
      <c r="KLN112" s="542"/>
      <c r="KLO112" s="542"/>
      <c r="KLP112" s="542"/>
      <c r="KLQ112" s="542"/>
      <c r="KLR112" s="542"/>
      <c r="KLS112" s="542"/>
      <c r="KLT112" s="542"/>
      <c r="KLU112" s="542"/>
      <c r="KLV112" s="542"/>
      <c r="KLW112" s="542"/>
      <c r="KLX112" s="542"/>
      <c r="KLY112" s="542"/>
      <c r="KLZ112" s="542"/>
      <c r="KMA112" s="542"/>
      <c r="KMB112" s="542"/>
      <c r="KMC112" s="542"/>
      <c r="KMD112" s="542"/>
      <c r="KME112" s="542"/>
      <c r="KMF112" s="542"/>
      <c r="KMG112" s="542"/>
      <c r="KMH112" s="542"/>
      <c r="KMI112" s="542"/>
      <c r="KMJ112" s="542"/>
      <c r="KMK112" s="542"/>
      <c r="KML112" s="542"/>
      <c r="KMM112" s="542"/>
      <c r="KMN112" s="542"/>
      <c r="KMO112" s="542"/>
      <c r="KMP112" s="542"/>
      <c r="KMQ112" s="542"/>
      <c r="KMR112" s="542"/>
      <c r="KMS112" s="542"/>
      <c r="KMT112" s="542"/>
      <c r="KMU112" s="542"/>
      <c r="KMV112" s="542"/>
      <c r="KMW112" s="542"/>
      <c r="KMX112" s="542"/>
      <c r="KMY112" s="542"/>
      <c r="KMZ112" s="542"/>
      <c r="KNA112" s="542"/>
      <c r="KNB112" s="542"/>
      <c r="KNC112" s="542"/>
      <c r="KND112" s="542"/>
      <c r="KNE112" s="542"/>
      <c r="KNF112" s="542"/>
      <c r="KNG112" s="542"/>
      <c r="KNH112" s="542"/>
      <c r="KNI112" s="542"/>
      <c r="KNJ112" s="542"/>
      <c r="KNK112" s="542"/>
      <c r="KNL112" s="542"/>
      <c r="KNM112" s="542"/>
      <c r="KNN112" s="542"/>
      <c r="KNO112" s="542"/>
      <c r="KNP112" s="542"/>
      <c r="KNQ112" s="542"/>
      <c r="KNR112" s="542"/>
      <c r="KNS112" s="542"/>
      <c r="KNT112" s="542"/>
      <c r="KNU112" s="542"/>
      <c r="KNV112" s="542"/>
      <c r="KNW112" s="542"/>
      <c r="KNX112" s="542"/>
      <c r="KNY112" s="542"/>
      <c r="KNZ112" s="542"/>
      <c r="KOA112" s="542"/>
      <c r="KOB112" s="542"/>
      <c r="KOC112" s="542"/>
      <c r="KOD112" s="542"/>
      <c r="KOE112" s="542"/>
      <c r="KOF112" s="542"/>
      <c r="KOG112" s="542"/>
      <c r="KOH112" s="542"/>
      <c r="KOI112" s="542"/>
      <c r="KOJ112" s="542"/>
      <c r="KOK112" s="542"/>
      <c r="KOL112" s="542"/>
      <c r="KOM112" s="542"/>
      <c r="KON112" s="542"/>
      <c r="KOO112" s="542"/>
      <c r="KOP112" s="542"/>
      <c r="KOQ112" s="542"/>
      <c r="KOR112" s="542"/>
      <c r="KOS112" s="542"/>
      <c r="KOT112" s="542"/>
      <c r="KOU112" s="542"/>
      <c r="KOV112" s="542"/>
      <c r="KOW112" s="542"/>
      <c r="KOX112" s="542"/>
      <c r="KOY112" s="542"/>
      <c r="KOZ112" s="542"/>
      <c r="KPA112" s="542"/>
      <c r="KPB112" s="542"/>
      <c r="KPC112" s="542"/>
      <c r="KPD112" s="542"/>
      <c r="KPE112" s="542"/>
      <c r="KPF112" s="542"/>
      <c r="KPG112" s="542"/>
      <c r="KPH112" s="542"/>
      <c r="KPI112" s="542"/>
      <c r="KPJ112" s="542"/>
      <c r="KPK112" s="542"/>
      <c r="KPL112" s="542"/>
      <c r="KPM112" s="542"/>
      <c r="KPN112" s="542"/>
      <c r="KPO112" s="542"/>
      <c r="KPP112" s="542"/>
      <c r="KPQ112" s="542"/>
      <c r="KPR112" s="542"/>
      <c r="KPS112" s="542"/>
      <c r="KPT112" s="542"/>
      <c r="KPU112" s="542"/>
      <c r="KPV112" s="542"/>
      <c r="KPW112" s="542"/>
      <c r="KPX112" s="542"/>
      <c r="KPY112" s="542"/>
      <c r="KPZ112" s="542"/>
      <c r="KQA112" s="542"/>
      <c r="KQB112" s="542"/>
      <c r="KQC112" s="542"/>
      <c r="KQD112" s="542"/>
      <c r="KQE112" s="542"/>
      <c r="KQF112" s="542"/>
      <c r="KQG112" s="542"/>
      <c r="KQH112" s="542"/>
      <c r="KQI112" s="542"/>
      <c r="KQJ112" s="542"/>
      <c r="KQK112" s="542"/>
      <c r="KQL112" s="542"/>
      <c r="KQM112" s="542"/>
      <c r="KQN112" s="542"/>
      <c r="KQO112" s="542"/>
      <c r="KQP112" s="542"/>
      <c r="KQQ112" s="542"/>
      <c r="KQR112" s="542"/>
      <c r="KQS112" s="542"/>
      <c r="KQT112" s="542"/>
      <c r="KQU112" s="542"/>
      <c r="KQV112" s="542"/>
      <c r="KQW112" s="542"/>
      <c r="KQX112" s="542"/>
      <c r="KQY112" s="542"/>
      <c r="KQZ112" s="542"/>
      <c r="KRA112" s="542"/>
      <c r="KRB112" s="542"/>
      <c r="KRC112" s="542"/>
      <c r="KRD112" s="542"/>
      <c r="KRE112" s="542"/>
      <c r="KRF112" s="542"/>
      <c r="KRG112" s="542"/>
      <c r="KRH112" s="542"/>
      <c r="KRI112" s="542"/>
      <c r="KRJ112" s="542"/>
      <c r="KRK112" s="542"/>
      <c r="KRL112" s="542"/>
      <c r="KRM112" s="542"/>
      <c r="KRN112" s="542"/>
      <c r="KRO112" s="542"/>
      <c r="KRP112" s="542"/>
      <c r="KRQ112" s="542"/>
      <c r="KRR112" s="542"/>
      <c r="KRS112" s="542"/>
      <c r="KRT112" s="542"/>
      <c r="KRU112" s="542"/>
      <c r="KRV112" s="542"/>
      <c r="KRW112" s="542"/>
      <c r="KRX112" s="542"/>
      <c r="KRY112" s="542"/>
      <c r="KRZ112" s="542"/>
      <c r="KSA112" s="542"/>
      <c r="KSB112" s="542"/>
      <c r="KSC112" s="542"/>
      <c r="KSD112" s="542"/>
      <c r="KSE112" s="542"/>
      <c r="KSF112" s="542"/>
      <c r="KSG112" s="542"/>
      <c r="KSH112" s="542"/>
      <c r="KSI112" s="542"/>
      <c r="KSJ112" s="542"/>
      <c r="KSK112" s="542"/>
      <c r="KSL112" s="542"/>
      <c r="KSM112" s="542"/>
      <c r="KSN112" s="542"/>
      <c r="KSO112" s="542"/>
      <c r="KSP112" s="542"/>
      <c r="KSQ112" s="542"/>
      <c r="KSR112" s="542"/>
      <c r="KSS112" s="542"/>
      <c r="KST112" s="542"/>
      <c r="KSU112" s="542"/>
      <c r="KSV112" s="542"/>
      <c r="KSW112" s="542"/>
      <c r="KSX112" s="542"/>
      <c r="KSY112" s="542"/>
      <c r="KSZ112" s="542"/>
      <c r="KTA112" s="542"/>
      <c r="KTB112" s="542"/>
      <c r="KTC112" s="542"/>
      <c r="KTD112" s="542"/>
      <c r="KTE112" s="542"/>
      <c r="KTF112" s="542"/>
      <c r="KTG112" s="542"/>
      <c r="KTH112" s="542"/>
      <c r="KTI112" s="542"/>
      <c r="KTJ112" s="542"/>
      <c r="KTK112" s="542"/>
      <c r="KTL112" s="542"/>
      <c r="KTM112" s="542"/>
      <c r="KTN112" s="542"/>
      <c r="KTO112" s="542"/>
      <c r="KTP112" s="542"/>
      <c r="KTQ112" s="542"/>
      <c r="KTR112" s="542"/>
      <c r="KTS112" s="542"/>
      <c r="KTT112" s="542"/>
      <c r="KTU112" s="542"/>
      <c r="KTV112" s="542"/>
      <c r="KTW112" s="542"/>
      <c r="KTX112" s="542"/>
      <c r="KTY112" s="542"/>
      <c r="KTZ112" s="542"/>
      <c r="KUA112" s="542"/>
      <c r="KUB112" s="542"/>
      <c r="KUC112" s="542"/>
      <c r="KUD112" s="542"/>
      <c r="KUE112" s="542"/>
      <c r="KUF112" s="542"/>
      <c r="KUG112" s="542"/>
      <c r="KUH112" s="542"/>
      <c r="KUI112" s="542"/>
      <c r="KUJ112" s="542"/>
      <c r="KUK112" s="542"/>
      <c r="KUL112" s="542"/>
      <c r="KUM112" s="542"/>
      <c r="KUN112" s="542"/>
      <c r="KUO112" s="542"/>
      <c r="KUP112" s="542"/>
      <c r="KUQ112" s="542"/>
      <c r="KUR112" s="542"/>
      <c r="KUS112" s="542"/>
      <c r="KUT112" s="542"/>
      <c r="KUU112" s="542"/>
      <c r="KUV112" s="542"/>
      <c r="KUW112" s="542"/>
      <c r="KUX112" s="542"/>
      <c r="KUY112" s="542"/>
      <c r="KUZ112" s="542"/>
      <c r="KVA112" s="542"/>
      <c r="KVB112" s="542"/>
      <c r="KVC112" s="542"/>
      <c r="KVD112" s="542"/>
      <c r="KVE112" s="542"/>
      <c r="KVF112" s="542"/>
      <c r="KVG112" s="542"/>
      <c r="KVH112" s="542"/>
      <c r="KVI112" s="542"/>
      <c r="KVJ112" s="542"/>
      <c r="KVK112" s="542"/>
      <c r="KVL112" s="542"/>
      <c r="KVM112" s="542"/>
      <c r="KVN112" s="542"/>
      <c r="KVO112" s="542"/>
      <c r="KVP112" s="542"/>
      <c r="KVQ112" s="542"/>
      <c r="KVR112" s="542"/>
      <c r="KVS112" s="542"/>
      <c r="KVT112" s="542"/>
      <c r="KVU112" s="542"/>
      <c r="KVV112" s="542"/>
      <c r="KVW112" s="542"/>
      <c r="KVX112" s="542"/>
      <c r="KVY112" s="542"/>
      <c r="KVZ112" s="542"/>
      <c r="KWA112" s="542"/>
      <c r="KWB112" s="542"/>
      <c r="KWC112" s="542"/>
      <c r="KWD112" s="542"/>
      <c r="KWE112" s="542"/>
      <c r="KWF112" s="542"/>
      <c r="KWG112" s="542"/>
      <c r="KWH112" s="542"/>
      <c r="KWI112" s="542"/>
      <c r="KWJ112" s="542"/>
      <c r="KWK112" s="542"/>
      <c r="KWL112" s="542"/>
      <c r="KWM112" s="542"/>
      <c r="KWN112" s="542"/>
      <c r="KWO112" s="542"/>
      <c r="KWP112" s="542"/>
      <c r="KWQ112" s="542"/>
      <c r="KWR112" s="542"/>
      <c r="KWS112" s="542"/>
      <c r="KWT112" s="542"/>
      <c r="KWU112" s="542"/>
      <c r="KWV112" s="542"/>
      <c r="KWW112" s="542"/>
      <c r="KWX112" s="542"/>
      <c r="KWY112" s="542"/>
      <c r="KWZ112" s="542"/>
      <c r="KXA112" s="542"/>
      <c r="KXB112" s="542"/>
      <c r="KXC112" s="542"/>
      <c r="KXD112" s="542"/>
      <c r="KXE112" s="542"/>
      <c r="KXF112" s="542"/>
      <c r="KXG112" s="542"/>
      <c r="KXH112" s="542"/>
      <c r="KXI112" s="542"/>
      <c r="KXJ112" s="542"/>
      <c r="KXK112" s="542"/>
      <c r="KXL112" s="542"/>
      <c r="KXM112" s="542"/>
      <c r="KXN112" s="542"/>
      <c r="KXO112" s="542"/>
      <c r="KXP112" s="542"/>
      <c r="KXQ112" s="542"/>
      <c r="KXR112" s="542"/>
      <c r="KXS112" s="542"/>
      <c r="KXT112" s="542"/>
      <c r="KXU112" s="542"/>
      <c r="KXV112" s="542"/>
      <c r="KXW112" s="542"/>
      <c r="KXX112" s="542"/>
      <c r="KXY112" s="542"/>
      <c r="KXZ112" s="542"/>
      <c r="KYA112" s="542"/>
      <c r="KYB112" s="542"/>
      <c r="KYC112" s="542"/>
      <c r="KYD112" s="542"/>
      <c r="KYE112" s="542"/>
      <c r="KYF112" s="542"/>
      <c r="KYG112" s="542"/>
      <c r="KYH112" s="542"/>
      <c r="KYI112" s="542"/>
      <c r="KYJ112" s="542"/>
      <c r="KYK112" s="542"/>
      <c r="KYL112" s="542"/>
      <c r="KYM112" s="542"/>
      <c r="KYN112" s="542"/>
      <c r="KYO112" s="542"/>
      <c r="KYP112" s="542"/>
      <c r="KYQ112" s="542"/>
      <c r="KYR112" s="542"/>
      <c r="KYS112" s="542"/>
      <c r="KYT112" s="542"/>
      <c r="KYU112" s="542"/>
      <c r="KYV112" s="542"/>
      <c r="KYW112" s="542"/>
      <c r="KYX112" s="542"/>
      <c r="KYY112" s="542"/>
      <c r="KYZ112" s="542"/>
      <c r="KZA112" s="542"/>
      <c r="KZB112" s="542"/>
      <c r="KZC112" s="542"/>
      <c r="KZD112" s="542"/>
      <c r="KZE112" s="542"/>
      <c r="KZF112" s="542"/>
      <c r="KZG112" s="542"/>
      <c r="KZH112" s="542"/>
      <c r="KZI112" s="542"/>
      <c r="KZJ112" s="542"/>
      <c r="KZK112" s="542"/>
      <c r="KZL112" s="542"/>
      <c r="KZM112" s="542"/>
      <c r="KZN112" s="542"/>
      <c r="KZO112" s="542"/>
      <c r="KZP112" s="542"/>
      <c r="KZQ112" s="542"/>
      <c r="KZR112" s="542"/>
      <c r="KZS112" s="542"/>
      <c r="KZT112" s="542"/>
      <c r="KZU112" s="542"/>
      <c r="KZV112" s="542"/>
      <c r="KZW112" s="542"/>
      <c r="KZX112" s="542"/>
      <c r="KZY112" s="542"/>
      <c r="KZZ112" s="542"/>
      <c r="LAA112" s="542"/>
      <c r="LAB112" s="542"/>
      <c r="LAC112" s="542"/>
      <c r="LAD112" s="542"/>
      <c r="LAE112" s="542"/>
      <c r="LAF112" s="542"/>
      <c r="LAG112" s="542"/>
      <c r="LAH112" s="542"/>
      <c r="LAI112" s="542"/>
      <c r="LAJ112" s="542"/>
      <c r="LAK112" s="542"/>
      <c r="LAL112" s="542"/>
      <c r="LAM112" s="542"/>
      <c r="LAN112" s="542"/>
      <c r="LAO112" s="542"/>
      <c r="LAP112" s="542"/>
      <c r="LAQ112" s="542"/>
      <c r="LAR112" s="542"/>
      <c r="LAS112" s="542"/>
      <c r="LAT112" s="542"/>
      <c r="LAU112" s="542"/>
      <c r="LAV112" s="542"/>
      <c r="LAW112" s="542"/>
      <c r="LAX112" s="542"/>
      <c r="LAY112" s="542"/>
      <c r="LAZ112" s="542"/>
      <c r="LBA112" s="542"/>
      <c r="LBB112" s="542"/>
      <c r="LBC112" s="542"/>
      <c r="LBD112" s="542"/>
      <c r="LBE112" s="542"/>
      <c r="LBF112" s="542"/>
      <c r="LBG112" s="542"/>
      <c r="LBH112" s="542"/>
      <c r="LBI112" s="542"/>
      <c r="LBJ112" s="542"/>
      <c r="LBK112" s="542"/>
      <c r="LBL112" s="542"/>
      <c r="LBM112" s="542"/>
      <c r="LBN112" s="542"/>
      <c r="LBO112" s="542"/>
      <c r="LBP112" s="542"/>
      <c r="LBQ112" s="542"/>
      <c r="LBR112" s="542"/>
      <c r="LBS112" s="542"/>
      <c r="LBT112" s="542"/>
      <c r="LBU112" s="542"/>
      <c r="LBV112" s="542"/>
      <c r="LBW112" s="542"/>
      <c r="LBX112" s="542"/>
      <c r="LBY112" s="542"/>
      <c r="LBZ112" s="542"/>
      <c r="LCA112" s="542"/>
      <c r="LCB112" s="542"/>
      <c r="LCC112" s="542"/>
      <c r="LCD112" s="542"/>
      <c r="LCE112" s="542"/>
      <c r="LCF112" s="542"/>
      <c r="LCG112" s="542"/>
      <c r="LCH112" s="542"/>
      <c r="LCI112" s="542"/>
      <c r="LCJ112" s="542"/>
      <c r="LCK112" s="542"/>
      <c r="LCL112" s="542"/>
      <c r="LCM112" s="542"/>
      <c r="LCN112" s="542"/>
      <c r="LCO112" s="542"/>
      <c r="LCP112" s="542"/>
      <c r="LCQ112" s="542"/>
      <c r="LCR112" s="542"/>
      <c r="LCS112" s="542"/>
      <c r="LCT112" s="542"/>
      <c r="LCU112" s="542"/>
      <c r="LCV112" s="542"/>
      <c r="LCW112" s="542"/>
      <c r="LCX112" s="542"/>
      <c r="LCY112" s="542"/>
      <c r="LCZ112" s="542"/>
      <c r="LDA112" s="542"/>
      <c r="LDB112" s="542"/>
      <c r="LDC112" s="542"/>
      <c r="LDD112" s="542"/>
      <c r="LDE112" s="542"/>
      <c r="LDF112" s="542"/>
      <c r="LDG112" s="542"/>
      <c r="LDH112" s="542"/>
      <c r="LDI112" s="542"/>
      <c r="LDJ112" s="542"/>
      <c r="LDK112" s="542"/>
      <c r="LDL112" s="542"/>
      <c r="LDM112" s="542"/>
      <c r="LDN112" s="542"/>
      <c r="LDO112" s="542"/>
      <c r="LDP112" s="542"/>
      <c r="LDQ112" s="542"/>
      <c r="LDR112" s="542"/>
      <c r="LDS112" s="542"/>
      <c r="LDT112" s="542"/>
      <c r="LDU112" s="542"/>
      <c r="LDV112" s="542"/>
      <c r="LDW112" s="542"/>
      <c r="LDX112" s="542"/>
      <c r="LDY112" s="542"/>
      <c r="LDZ112" s="542"/>
      <c r="LEA112" s="542"/>
      <c r="LEB112" s="542"/>
      <c r="LEC112" s="542"/>
      <c r="LED112" s="542"/>
      <c r="LEE112" s="542"/>
      <c r="LEF112" s="542"/>
      <c r="LEG112" s="542"/>
      <c r="LEH112" s="542"/>
      <c r="LEI112" s="542"/>
      <c r="LEJ112" s="542"/>
      <c r="LEK112" s="542"/>
      <c r="LEL112" s="542"/>
      <c r="LEM112" s="542"/>
      <c r="LEN112" s="542"/>
      <c r="LEO112" s="542"/>
      <c r="LEP112" s="542"/>
      <c r="LEQ112" s="542"/>
      <c r="LER112" s="542"/>
      <c r="LES112" s="542"/>
      <c r="LET112" s="542"/>
      <c r="LEU112" s="542"/>
      <c r="LEV112" s="542"/>
      <c r="LEW112" s="542"/>
      <c r="LEX112" s="542"/>
      <c r="LEY112" s="542"/>
      <c r="LEZ112" s="542"/>
      <c r="LFA112" s="542"/>
      <c r="LFB112" s="542"/>
      <c r="LFC112" s="542"/>
      <c r="LFD112" s="542"/>
      <c r="LFE112" s="542"/>
      <c r="LFF112" s="542"/>
      <c r="LFG112" s="542"/>
      <c r="LFH112" s="542"/>
      <c r="LFI112" s="542"/>
      <c r="LFJ112" s="542"/>
      <c r="LFK112" s="542"/>
      <c r="LFL112" s="542"/>
      <c r="LFM112" s="542"/>
      <c r="LFN112" s="542"/>
      <c r="LFO112" s="542"/>
      <c r="LFP112" s="542"/>
      <c r="LFQ112" s="542"/>
      <c r="LFR112" s="542"/>
      <c r="LFS112" s="542"/>
      <c r="LFT112" s="542"/>
      <c r="LFU112" s="542"/>
      <c r="LFV112" s="542"/>
      <c r="LFW112" s="542"/>
      <c r="LFX112" s="542"/>
      <c r="LFY112" s="542"/>
      <c r="LFZ112" s="542"/>
      <c r="LGA112" s="542"/>
      <c r="LGB112" s="542"/>
      <c r="LGC112" s="542"/>
      <c r="LGD112" s="542"/>
      <c r="LGE112" s="542"/>
      <c r="LGF112" s="542"/>
      <c r="LGG112" s="542"/>
      <c r="LGH112" s="542"/>
      <c r="LGI112" s="542"/>
      <c r="LGJ112" s="542"/>
      <c r="LGK112" s="542"/>
      <c r="LGL112" s="542"/>
      <c r="LGM112" s="542"/>
      <c r="LGN112" s="542"/>
      <c r="LGO112" s="542"/>
      <c r="LGP112" s="542"/>
      <c r="LGQ112" s="542"/>
      <c r="LGR112" s="542"/>
      <c r="LGS112" s="542"/>
      <c r="LGT112" s="542"/>
      <c r="LGU112" s="542"/>
      <c r="LGV112" s="542"/>
      <c r="LGW112" s="542"/>
      <c r="LGX112" s="542"/>
      <c r="LGY112" s="542"/>
      <c r="LGZ112" s="542"/>
      <c r="LHA112" s="542"/>
      <c r="LHB112" s="542"/>
      <c r="LHC112" s="542"/>
      <c r="LHD112" s="542"/>
      <c r="LHE112" s="542"/>
      <c r="LHF112" s="542"/>
      <c r="LHG112" s="542"/>
      <c r="LHH112" s="542"/>
      <c r="LHI112" s="542"/>
      <c r="LHJ112" s="542"/>
      <c r="LHK112" s="542"/>
      <c r="LHL112" s="542"/>
      <c r="LHM112" s="542"/>
      <c r="LHN112" s="542"/>
      <c r="LHO112" s="542"/>
      <c r="LHP112" s="542"/>
      <c r="LHQ112" s="542"/>
      <c r="LHR112" s="542"/>
      <c r="LHS112" s="542"/>
      <c r="LHT112" s="542"/>
      <c r="LHU112" s="542"/>
      <c r="LHV112" s="542"/>
      <c r="LHW112" s="542"/>
      <c r="LHX112" s="542"/>
      <c r="LHY112" s="542"/>
      <c r="LHZ112" s="542"/>
      <c r="LIA112" s="542"/>
      <c r="LIB112" s="542"/>
      <c r="LIC112" s="542"/>
      <c r="LID112" s="542"/>
      <c r="LIE112" s="542"/>
      <c r="LIF112" s="542"/>
      <c r="LIG112" s="542"/>
      <c r="LIH112" s="542"/>
      <c r="LII112" s="542"/>
      <c r="LIJ112" s="542"/>
      <c r="LIK112" s="542"/>
      <c r="LIL112" s="542"/>
      <c r="LIM112" s="542"/>
      <c r="LIN112" s="542"/>
      <c r="LIO112" s="542"/>
      <c r="LIP112" s="542"/>
      <c r="LIQ112" s="542"/>
      <c r="LIR112" s="542"/>
      <c r="LIS112" s="542"/>
      <c r="LIT112" s="542"/>
      <c r="LIU112" s="542"/>
      <c r="LIV112" s="542"/>
      <c r="LIW112" s="542"/>
      <c r="LIX112" s="542"/>
      <c r="LIY112" s="542"/>
      <c r="LIZ112" s="542"/>
      <c r="LJA112" s="542"/>
      <c r="LJB112" s="542"/>
      <c r="LJC112" s="542"/>
      <c r="LJD112" s="542"/>
      <c r="LJE112" s="542"/>
      <c r="LJF112" s="542"/>
      <c r="LJG112" s="542"/>
      <c r="LJH112" s="542"/>
      <c r="LJI112" s="542"/>
      <c r="LJJ112" s="542"/>
      <c r="LJK112" s="542"/>
      <c r="LJL112" s="542"/>
      <c r="LJM112" s="542"/>
      <c r="LJN112" s="542"/>
      <c r="LJO112" s="542"/>
      <c r="LJP112" s="542"/>
      <c r="LJQ112" s="542"/>
      <c r="LJR112" s="542"/>
      <c r="LJS112" s="542"/>
      <c r="LJT112" s="542"/>
      <c r="LJU112" s="542"/>
      <c r="LJV112" s="542"/>
      <c r="LJW112" s="542"/>
      <c r="LJX112" s="542"/>
      <c r="LJY112" s="542"/>
      <c r="LJZ112" s="542"/>
      <c r="LKA112" s="542"/>
      <c r="LKB112" s="542"/>
      <c r="LKC112" s="542"/>
      <c r="LKD112" s="542"/>
      <c r="LKE112" s="542"/>
      <c r="LKF112" s="542"/>
      <c r="LKG112" s="542"/>
      <c r="LKH112" s="542"/>
      <c r="LKI112" s="542"/>
      <c r="LKJ112" s="542"/>
      <c r="LKK112" s="542"/>
      <c r="LKL112" s="542"/>
      <c r="LKM112" s="542"/>
      <c r="LKN112" s="542"/>
      <c r="LKO112" s="542"/>
      <c r="LKP112" s="542"/>
      <c r="LKQ112" s="542"/>
      <c r="LKR112" s="542"/>
      <c r="LKS112" s="542"/>
      <c r="LKT112" s="542"/>
      <c r="LKU112" s="542"/>
      <c r="LKV112" s="542"/>
      <c r="LKW112" s="542"/>
      <c r="LKX112" s="542"/>
      <c r="LKY112" s="542"/>
      <c r="LKZ112" s="542"/>
      <c r="LLA112" s="542"/>
      <c r="LLB112" s="542"/>
      <c r="LLC112" s="542"/>
      <c r="LLD112" s="542"/>
      <c r="LLE112" s="542"/>
      <c r="LLF112" s="542"/>
      <c r="LLG112" s="542"/>
      <c r="LLH112" s="542"/>
      <c r="LLI112" s="542"/>
      <c r="LLJ112" s="542"/>
      <c r="LLK112" s="542"/>
      <c r="LLL112" s="542"/>
      <c r="LLM112" s="542"/>
      <c r="LLN112" s="542"/>
      <c r="LLO112" s="542"/>
      <c r="LLP112" s="542"/>
      <c r="LLQ112" s="542"/>
      <c r="LLR112" s="542"/>
      <c r="LLS112" s="542"/>
      <c r="LLT112" s="542"/>
      <c r="LLU112" s="542"/>
      <c r="LLV112" s="542"/>
      <c r="LLW112" s="542"/>
      <c r="LLX112" s="542"/>
      <c r="LLY112" s="542"/>
      <c r="LLZ112" s="542"/>
      <c r="LMA112" s="542"/>
      <c r="LMB112" s="542"/>
      <c r="LMC112" s="542"/>
      <c r="LMD112" s="542"/>
      <c r="LME112" s="542"/>
      <c r="LMF112" s="542"/>
      <c r="LMG112" s="542"/>
      <c r="LMH112" s="542"/>
      <c r="LMI112" s="542"/>
      <c r="LMJ112" s="542"/>
      <c r="LMK112" s="542"/>
      <c r="LML112" s="542"/>
      <c r="LMM112" s="542"/>
      <c r="LMN112" s="542"/>
      <c r="LMO112" s="542"/>
      <c r="LMP112" s="542"/>
      <c r="LMQ112" s="542"/>
      <c r="LMR112" s="542"/>
      <c r="LMS112" s="542"/>
      <c r="LMT112" s="542"/>
      <c r="LMU112" s="542"/>
      <c r="LMV112" s="542"/>
      <c r="LMW112" s="542"/>
      <c r="LMX112" s="542"/>
      <c r="LMY112" s="542"/>
      <c r="LMZ112" s="542"/>
      <c r="LNA112" s="542"/>
      <c r="LNB112" s="542"/>
      <c r="LNC112" s="542"/>
      <c r="LND112" s="542"/>
      <c r="LNE112" s="542"/>
      <c r="LNF112" s="542"/>
      <c r="LNG112" s="542"/>
      <c r="LNH112" s="542"/>
      <c r="LNI112" s="542"/>
      <c r="LNJ112" s="542"/>
      <c r="LNK112" s="542"/>
      <c r="LNL112" s="542"/>
      <c r="LNM112" s="542"/>
      <c r="LNN112" s="542"/>
      <c r="LNO112" s="542"/>
      <c r="LNP112" s="542"/>
      <c r="LNQ112" s="542"/>
      <c r="LNR112" s="542"/>
      <c r="LNS112" s="542"/>
      <c r="LNT112" s="542"/>
      <c r="LNU112" s="542"/>
      <c r="LNV112" s="542"/>
      <c r="LNW112" s="542"/>
      <c r="LNX112" s="542"/>
      <c r="LNY112" s="542"/>
      <c r="LNZ112" s="542"/>
      <c r="LOA112" s="542"/>
      <c r="LOB112" s="542"/>
      <c r="LOC112" s="542"/>
      <c r="LOD112" s="542"/>
      <c r="LOE112" s="542"/>
      <c r="LOF112" s="542"/>
      <c r="LOG112" s="542"/>
      <c r="LOH112" s="542"/>
      <c r="LOI112" s="542"/>
      <c r="LOJ112" s="542"/>
      <c r="LOK112" s="542"/>
      <c r="LOL112" s="542"/>
      <c r="LOM112" s="542"/>
      <c r="LON112" s="542"/>
      <c r="LOO112" s="542"/>
      <c r="LOP112" s="542"/>
      <c r="LOQ112" s="542"/>
      <c r="LOR112" s="542"/>
      <c r="LOS112" s="542"/>
      <c r="LOT112" s="542"/>
      <c r="LOU112" s="542"/>
      <c r="LOV112" s="542"/>
      <c r="LOW112" s="542"/>
      <c r="LOX112" s="542"/>
      <c r="LOY112" s="542"/>
      <c r="LOZ112" s="542"/>
      <c r="LPA112" s="542"/>
      <c r="LPB112" s="542"/>
      <c r="LPC112" s="542"/>
      <c r="LPD112" s="542"/>
      <c r="LPE112" s="542"/>
      <c r="LPF112" s="542"/>
      <c r="LPG112" s="542"/>
      <c r="LPH112" s="542"/>
      <c r="LPI112" s="542"/>
      <c r="LPJ112" s="542"/>
      <c r="LPK112" s="542"/>
      <c r="LPL112" s="542"/>
      <c r="LPM112" s="542"/>
      <c r="LPN112" s="542"/>
      <c r="LPO112" s="542"/>
      <c r="LPP112" s="542"/>
      <c r="LPQ112" s="542"/>
      <c r="LPR112" s="542"/>
      <c r="LPS112" s="542"/>
      <c r="LPT112" s="542"/>
      <c r="LPU112" s="542"/>
      <c r="LPV112" s="542"/>
      <c r="LPW112" s="542"/>
      <c r="LPX112" s="542"/>
      <c r="LPY112" s="542"/>
      <c r="LPZ112" s="542"/>
      <c r="LQA112" s="542"/>
      <c r="LQB112" s="542"/>
      <c r="LQC112" s="542"/>
      <c r="LQD112" s="542"/>
      <c r="LQE112" s="542"/>
      <c r="LQF112" s="542"/>
      <c r="LQG112" s="542"/>
      <c r="LQH112" s="542"/>
      <c r="LQI112" s="542"/>
      <c r="LQJ112" s="542"/>
      <c r="LQK112" s="542"/>
      <c r="LQL112" s="542"/>
      <c r="LQM112" s="542"/>
      <c r="LQN112" s="542"/>
      <c r="LQO112" s="542"/>
      <c r="LQP112" s="542"/>
      <c r="LQQ112" s="542"/>
      <c r="LQR112" s="542"/>
      <c r="LQS112" s="542"/>
      <c r="LQT112" s="542"/>
      <c r="LQU112" s="542"/>
      <c r="LQV112" s="542"/>
      <c r="LQW112" s="542"/>
      <c r="LQX112" s="542"/>
      <c r="LQY112" s="542"/>
      <c r="LQZ112" s="542"/>
      <c r="LRA112" s="542"/>
      <c r="LRB112" s="542"/>
      <c r="LRC112" s="542"/>
      <c r="LRD112" s="542"/>
      <c r="LRE112" s="542"/>
      <c r="LRF112" s="542"/>
      <c r="LRG112" s="542"/>
      <c r="LRH112" s="542"/>
      <c r="LRI112" s="542"/>
      <c r="LRJ112" s="542"/>
      <c r="LRK112" s="542"/>
      <c r="LRL112" s="542"/>
      <c r="LRM112" s="542"/>
      <c r="LRN112" s="542"/>
      <c r="LRO112" s="542"/>
      <c r="LRP112" s="542"/>
      <c r="LRQ112" s="542"/>
      <c r="LRR112" s="542"/>
      <c r="LRS112" s="542"/>
      <c r="LRT112" s="542"/>
      <c r="LRU112" s="542"/>
      <c r="LRV112" s="542"/>
      <c r="LRW112" s="542"/>
      <c r="LRX112" s="542"/>
      <c r="LRY112" s="542"/>
      <c r="LRZ112" s="542"/>
      <c r="LSA112" s="542"/>
      <c r="LSB112" s="542"/>
      <c r="LSC112" s="542"/>
      <c r="LSD112" s="542"/>
      <c r="LSE112" s="542"/>
      <c r="LSF112" s="542"/>
      <c r="LSG112" s="542"/>
      <c r="LSH112" s="542"/>
      <c r="LSI112" s="542"/>
      <c r="LSJ112" s="542"/>
      <c r="LSK112" s="542"/>
      <c r="LSL112" s="542"/>
      <c r="LSM112" s="542"/>
      <c r="LSN112" s="542"/>
      <c r="LSO112" s="542"/>
      <c r="LSP112" s="542"/>
      <c r="LSQ112" s="542"/>
      <c r="LSR112" s="542"/>
      <c r="LSS112" s="542"/>
      <c r="LST112" s="542"/>
      <c r="LSU112" s="542"/>
      <c r="LSV112" s="542"/>
      <c r="LSW112" s="542"/>
      <c r="LSX112" s="542"/>
      <c r="LSY112" s="542"/>
      <c r="LSZ112" s="542"/>
      <c r="LTA112" s="542"/>
      <c r="LTB112" s="542"/>
      <c r="LTC112" s="542"/>
      <c r="LTD112" s="542"/>
      <c r="LTE112" s="542"/>
      <c r="LTF112" s="542"/>
      <c r="LTG112" s="542"/>
      <c r="LTH112" s="542"/>
      <c r="LTI112" s="542"/>
      <c r="LTJ112" s="542"/>
      <c r="LTK112" s="542"/>
      <c r="LTL112" s="542"/>
      <c r="LTM112" s="542"/>
      <c r="LTN112" s="542"/>
      <c r="LTO112" s="542"/>
      <c r="LTP112" s="542"/>
      <c r="LTQ112" s="542"/>
      <c r="LTR112" s="542"/>
      <c r="LTS112" s="542"/>
      <c r="LTT112" s="542"/>
      <c r="LTU112" s="542"/>
      <c r="LTV112" s="542"/>
      <c r="LTW112" s="542"/>
      <c r="LTX112" s="542"/>
      <c r="LTY112" s="542"/>
      <c r="LTZ112" s="542"/>
      <c r="LUA112" s="542"/>
      <c r="LUB112" s="542"/>
      <c r="LUC112" s="542"/>
      <c r="LUD112" s="542"/>
      <c r="LUE112" s="542"/>
      <c r="LUF112" s="542"/>
      <c r="LUG112" s="542"/>
      <c r="LUH112" s="542"/>
      <c r="LUI112" s="542"/>
      <c r="LUJ112" s="542"/>
      <c r="LUK112" s="542"/>
      <c r="LUL112" s="542"/>
      <c r="LUM112" s="542"/>
      <c r="LUN112" s="542"/>
      <c r="LUO112" s="542"/>
      <c r="LUP112" s="542"/>
      <c r="LUQ112" s="542"/>
      <c r="LUR112" s="542"/>
      <c r="LUS112" s="542"/>
      <c r="LUT112" s="542"/>
      <c r="LUU112" s="542"/>
      <c r="LUV112" s="542"/>
      <c r="LUW112" s="542"/>
      <c r="LUX112" s="542"/>
      <c r="LUY112" s="542"/>
      <c r="LUZ112" s="542"/>
      <c r="LVA112" s="542"/>
      <c r="LVB112" s="542"/>
      <c r="LVC112" s="542"/>
      <c r="LVD112" s="542"/>
      <c r="LVE112" s="542"/>
      <c r="LVF112" s="542"/>
      <c r="LVG112" s="542"/>
      <c r="LVH112" s="542"/>
      <c r="LVI112" s="542"/>
      <c r="LVJ112" s="542"/>
      <c r="LVK112" s="542"/>
      <c r="LVL112" s="542"/>
      <c r="LVM112" s="542"/>
      <c r="LVN112" s="542"/>
      <c r="LVO112" s="542"/>
      <c r="LVP112" s="542"/>
      <c r="LVQ112" s="542"/>
      <c r="LVR112" s="542"/>
      <c r="LVS112" s="542"/>
      <c r="LVT112" s="542"/>
      <c r="LVU112" s="542"/>
      <c r="LVV112" s="542"/>
      <c r="LVW112" s="542"/>
      <c r="LVX112" s="542"/>
      <c r="LVY112" s="542"/>
      <c r="LVZ112" s="542"/>
      <c r="LWA112" s="542"/>
      <c r="LWB112" s="542"/>
      <c r="LWC112" s="542"/>
      <c r="LWD112" s="542"/>
      <c r="LWE112" s="542"/>
      <c r="LWF112" s="542"/>
      <c r="LWG112" s="542"/>
      <c r="LWH112" s="542"/>
      <c r="LWI112" s="542"/>
      <c r="LWJ112" s="542"/>
      <c r="LWK112" s="542"/>
      <c r="LWL112" s="542"/>
      <c r="LWM112" s="542"/>
      <c r="LWN112" s="542"/>
      <c r="LWO112" s="542"/>
      <c r="LWP112" s="542"/>
      <c r="LWQ112" s="542"/>
      <c r="LWR112" s="542"/>
      <c r="LWS112" s="542"/>
      <c r="LWT112" s="542"/>
      <c r="LWU112" s="542"/>
      <c r="LWV112" s="542"/>
      <c r="LWW112" s="542"/>
      <c r="LWX112" s="542"/>
      <c r="LWY112" s="542"/>
      <c r="LWZ112" s="542"/>
      <c r="LXA112" s="542"/>
      <c r="LXB112" s="542"/>
      <c r="LXC112" s="542"/>
      <c r="LXD112" s="542"/>
      <c r="LXE112" s="542"/>
      <c r="LXF112" s="542"/>
      <c r="LXG112" s="542"/>
      <c r="LXH112" s="542"/>
      <c r="LXI112" s="542"/>
      <c r="LXJ112" s="542"/>
      <c r="LXK112" s="542"/>
      <c r="LXL112" s="542"/>
      <c r="LXM112" s="542"/>
      <c r="LXN112" s="542"/>
      <c r="LXO112" s="542"/>
      <c r="LXP112" s="542"/>
      <c r="LXQ112" s="542"/>
      <c r="LXR112" s="542"/>
      <c r="LXS112" s="542"/>
      <c r="LXT112" s="542"/>
      <c r="LXU112" s="542"/>
      <c r="LXV112" s="542"/>
      <c r="LXW112" s="542"/>
      <c r="LXX112" s="542"/>
      <c r="LXY112" s="542"/>
      <c r="LXZ112" s="542"/>
      <c r="LYA112" s="542"/>
      <c r="LYB112" s="542"/>
      <c r="LYC112" s="542"/>
      <c r="LYD112" s="542"/>
      <c r="LYE112" s="542"/>
      <c r="LYF112" s="542"/>
      <c r="LYG112" s="542"/>
      <c r="LYH112" s="542"/>
      <c r="LYI112" s="542"/>
      <c r="LYJ112" s="542"/>
      <c r="LYK112" s="542"/>
      <c r="LYL112" s="542"/>
      <c r="LYM112" s="542"/>
      <c r="LYN112" s="542"/>
      <c r="LYO112" s="542"/>
      <c r="LYP112" s="542"/>
      <c r="LYQ112" s="542"/>
      <c r="LYR112" s="542"/>
      <c r="LYS112" s="542"/>
      <c r="LYT112" s="542"/>
      <c r="LYU112" s="542"/>
      <c r="LYV112" s="542"/>
      <c r="LYW112" s="542"/>
      <c r="LYX112" s="542"/>
      <c r="LYY112" s="542"/>
      <c r="LYZ112" s="542"/>
      <c r="LZA112" s="542"/>
      <c r="LZB112" s="542"/>
      <c r="LZC112" s="542"/>
      <c r="LZD112" s="542"/>
      <c r="LZE112" s="542"/>
      <c r="LZF112" s="542"/>
      <c r="LZG112" s="542"/>
      <c r="LZH112" s="542"/>
      <c r="LZI112" s="542"/>
      <c r="LZJ112" s="542"/>
      <c r="LZK112" s="542"/>
      <c r="LZL112" s="542"/>
      <c r="LZM112" s="542"/>
      <c r="LZN112" s="542"/>
      <c r="LZO112" s="542"/>
      <c r="LZP112" s="542"/>
      <c r="LZQ112" s="542"/>
      <c r="LZR112" s="542"/>
      <c r="LZS112" s="542"/>
      <c r="LZT112" s="542"/>
      <c r="LZU112" s="542"/>
      <c r="LZV112" s="542"/>
      <c r="LZW112" s="542"/>
      <c r="LZX112" s="542"/>
      <c r="LZY112" s="542"/>
      <c r="LZZ112" s="542"/>
      <c r="MAA112" s="542"/>
      <c r="MAB112" s="542"/>
      <c r="MAC112" s="542"/>
      <c r="MAD112" s="542"/>
      <c r="MAE112" s="542"/>
      <c r="MAF112" s="542"/>
      <c r="MAG112" s="542"/>
      <c r="MAH112" s="542"/>
      <c r="MAI112" s="542"/>
      <c r="MAJ112" s="542"/>
      <c r="MAK112" s="542"/>
      <c r="MAL112" s="542"/>
      <c r="MAM112" s="542"/>
      <c r="MAN112" s="542"/>
      <c r="MAO112" s="542"/>
      <c r="MAP112" s="542"/>
      <c r="MAQ112" s="542"/>
      <c r="MAR112" s="542"/>
      <c r="MAS112" s="542"/>
      <c r="MAT112" s="542"/>
      <c r="MAU112" s="542"/>
      <c r="MAV112" s="542"/>
      <c r="MAW112" s="542"/>
      <c r="MAX112" s="542"/>
      <c r="MAY112" s="542"/>
      <c r="MAZ112" s="542"/>
      <c r="MBA112" s="542"/>
      <c r="MBB112" s="542"/>
      <c r="MBC112" s="542"/>
      <c r="MBD112" s="542"/>
      <c r="MBE112" s="542"/>
      <c r="MBF112" s="542"/>
      <c r="MBG112" s="542"/>
      <c r="MBH112" s="542"/>
      <c r="MBI112" s="542"/>
      <c r="MBJ112" s="542"/>
      <c r="MBK112" s="542"/>
      <c r="MBL112" s="542"/>
      <c r="MBM112" s="542"/>
      <c r="MBN112" s="542"/>
      <c r="MBO112" s="542"/>
      <c r="MBP112" s="542"/>
      <c r="MBQ112" s="542"/>
      <c r="MBR112" s="542"/>
      <c r="MBS112" s="542"/>
      <c r="MBT112" s="542"/>
      <c r="MBU112" s="542"/>
      <c r="MBV112" s="542"/>
      <c r="MBW112" s="542"/>
      <c r="MBX112" s="542"/>
      <c r="MBY112" s="542"/>
      <c r="MBZ112" s="542"/>
      <c r="MCA112" s="542"/>
      <c r="MCB112" s="542"/>
      <c r="MCC112" s="542"/>
      <c r="MCD112" s="542"/>
      <c r="MCE112" s="542"/>
      <c r="MCF112" s="542"/>
      <c r="MCG112" s="542"/>
      <c r="MCH112" s="542"/>
      <c r="MCI112" s="542"/>
      <c r="MCJ112" s="542"/>
      <c r="MCK112" s="542"/>
      <c r="MCL112" s="542"/>
      <c r="MCM112" s="542"/>
      <c r="MCN112" s="542"/>
      <c r="MCO112" s="542"/>
      <c r="MCP112" s="542"/>
      <c r="MCQ112" s="542"/>
      <c r="MCR112" s="542"/>
      <c r="MCS112" s="542"/>
      <c r="MCT112" s="542"/>
      <c r="MCU112" s="542"/>
      <c r="MCV112" s="542"/>
      <c r="MCW112" s="542"/>
      <c r="MCX112" s="542"/>
      <c r="MCY112" s="542"/>
      <c r="MCZ112" s="542"/>
      <c r="MDA112" s="542"/>
      <c r="MDB112" s="542"/>
      <c r="MDC112" s="542"/>
      <c r="MDD112" s="542"/>
      <c r="MDE112" s="542"/>
      <c r="MDF112" s="542"/>
      <c r="MDG112" s="542"/>
      <c r="MDH112" s="542"/>
      <c r="MDI112" s="542"/>
      <c r="MDJ112" s="542"/>
      <c r="MDK112" s="542"/>
      <c r="MDL112" s="542"/>
      <c r="MDM112" s="542"/>
      <c r="MDN112" s="542"/>
      <c r="MDO112" s="542"/>
      <c r="MDP112" s="542"/>
      <c r="MDQ112" s="542"/>
      <c r="MDR112" s="542"/>
      <c r="MDS112" s="542"/>
      <c r="MDT112" s="542"/>
      <c r="MDU112" s="542"/>
      <c r="MDV112" s="542"/>
      <c r="MDW112" s="542"/>
      <c r="MDX112" s="542"/>
      <c r="MDY112" s="542"/>
      <c r="MDZ112" s="542"/>
      <c r="MEA112" s="542"/>
      <c r="MEB112" s="542"/>
      <c r="MEC112" s="542"/>
      <c r="MED112" s="542"/>
      <c r="MEE112" s="542"/>
      <c r="MEF112" s="542"/>
      <c r="MEG112" s="542"/>
      <c r="MEH112" s="542"/>
      <c r="MEI112" s="542"/>
      <c r="MEJ112" s="542"/>
      <c r="MEK112" s="542"/>
      <c r="MEL112" s="542"/>
      <c r="MEM112" s="542"/>
      <c r="MEN112" s="542"/>
      <c r="MEO112" s="542"/>
      <c r="MEP112" s="542"/>
      <c r="MEQ112" s="542"/>
      <c r="MER112" s="542"/>
      <c r="MES112" s="542"/>
      <c r="MET112" s="542"/>
      <c r="MEU112" s="542"/>
      <c r="MEV112" s="542"/>
      <c r="MEW112" s="542"/>
      <c r="MEX112" s="542"/>
      <c r="MEY112" s="542"/>
      <c r="MEZ112" s="542"/>
      <c r="MFA112" s="542"/>
      <c r="MFB112" s="542"/>
      <c r="MFC112" s="542"/>
      <c r="MFD112" s="542"/>
      <c r="MFE112" s="542"/>
      <c r="MFF112" s="542"/>
      <c r="MFG112" s="542"/>
      <c r="MFH112" s="542"/>
      <c r="MFI112" s="542"/>
      <c r="MFJ112" s="542"/>
      <c r="MFK112" s="542"/>
      <c r="MFL112" s="542"/>
      <c r="MFM112" s="542"/>
      <c r="MFN112" s="542"/>
      <c r="MFO112" s="542"/>
      <c r="MFP112" s="542"/>
      <c r="MFQ112" s="542"/>
      <c r="MFR112" s="542"/>
      <c r="MFS112" s="542"/>
      <c r="MFT112" s="542"/>
      <c r="MFU112" s="542"/>
      <c r="MFV112" s="542"/>
      <c r="MFW112" s="542"/>
      <c r="MFX112" s="542"/>
      <c r="MFY112" s="542"/>
      <c r="MFZ112" s="542"/>
      <c r="MGA112" s="542"/>
      <c r="MGB112" s="542"/>
      <c r="MGC112" s="542"/>
      <c r="MGD112" s="542"/>
      <c r="MGE112" s="542"/>
      <c r="MGF112" s="542"/>
      <c r="MGG112" s="542"/>
      <c r="MGH112" s="542"/>
      <c r="MGI112" s="542"/>
      <c r="MGJ112" s="542"/>
      <c r="MGK112" s="542"/>
      <c r="MGL112" s="542"/>
      <c r="MGM112" s="542"/>
      <c r="MGN112" s="542"/>
      <c r="MGO112" s="542"/>
      <c r="MGP112" s="542"/>
      <c r="MGQ112" s="542"/>
      <c r="MGR112" s="542"/>
      <c r="MGS112" s="542"/>
      <c r="MGT112" s="542"/>
      <c r="MGU112" s="542"/>
      <c r="MGV112" s="542"/>
      <c r="MGW112" s="542"/>
      <c r="MGX112" s="542"/>
      <c r="MGY112" s="542"/>
      <c r="MGZ112" s="542"/>
      <c r="MHA112" s="542"/>
      <c r="MHB112" s="542"/>
      <c r="MHC112" s="542"/>
      <c r="MHD112" s="542"/>
      <c r="MHE112" s="542"/>
      <c r="MHF112" s="542"/>
      <c r="MHG112" s="542"/>
      <c r="MHH112" s="542"/>
      <c r="MHI112" s="542"/>
      <c r="MHJ112" s="542"/>
      <c r="MHK112" s="542"/>
      <c r="MHL112" s="542"/>
      <c r="MHM112" s="542"/>
      <c r="MHN112" s="542"/>
      <c r="MHO112" s="542"/>
      <c r="MHP112" s="542"/>
      <c r="MHQ112" s="542"/>
      <c r="MHR112" s="542"/>
      <c r="MHS112" s="542"/>
      <c r="MHT112" s="542"/>
      <c r="MHU112" s="542"/>
      <c r="MHV112" s="542"/>
      <c r="MHW112" s="542"/>
      <c r="MHX112" s="542"/>
      <c r="MHY112" s="542"/>
      <c r="MHZ112" s="542"/>
      <c r="MIA112" s="542"/>
      <c r="MIB112" s="542"/>
      <c r="MIC112" s="542"/>
      <c r="MID112" s="542"/>
      <c r="MIE112" s="542"/>
      <c r="MIF112" s="542"/>
      <c r="MIG112" s="542"/>
      <c r="MIH112" s="542"/>
      <c r="MII112" s="542"/>
      <c r="MIJ112" s="542"/>
      <c r="MIK112" s="542"/>
      <c r="MIL112" s="542"/>
      <c r="MIM112" s="542"/>
      <c r="MIN112" s="542"/>
      <c r="MIO112" s="542"/>
      <c r="MIP112" s="542"/>
      <c r="MIQ112" s="542"/>
      <c r="MIR112" s="542"/>
      <c r="MIS112" s="542"/>
      <c r="MIT112" s="542"/>
      <c r="MIU112" s="542"/>
      <c r="MIV112" s="542"/>
      <c r="MIW112" s="542"/>
      <c r="MIX112" s="542"/>
      <c r="MIY112" s="542"/>
      <c r="MIZ112" s="542"/>
      <c r="MJA112" s="542"/>
      <c r="MJB112" s="542"/>
      <c r="MJC112" s="542"/>
      <c r="MJD112" s="542"/>
      <c r="MJE112" s="542"/>
      <c r="MJF112" s="542"/>
      <c r="MJG112" s="542"/>
      <c r="MJH112" s="542"/>
      <c r="MJI112" s="542"/>
      <c r="MJJ112" s="542"/>
      <c r="MJK112" s="542"/>
      <c r="MJL112" s="542"/>
      <c r="MJM112" s="542"/>
      <c r="MJN112" s="542"/>
      <c r="MJO112" s="542"/>
      <c r="MJP112" s="542"/>
      <c r="MJQ112" s="542"/>
      <c r="MJR112" s="542"/>
      <c r="MJS112" s="542"/>
      <c r="MJT112" s="542"/>
      <c r="MJU112" s="542"/>
      <c r="MJV112" s="542"/>
      <c r="MJW112" s="542"/>
      <c r="MJX112" s="542"/>
      <c r="MJY112" s="542"/>
      <c r="MJZ112" s="542"/>
      <c r="MKA112" s="542"/>
      <c r="MKB112" s="542"/>
      <c r="MKC112" s="542"/>
      <c r="MKD112" s="542"/>
      <c r="MKE112" s="542"/>
      <c r="MKF112" s="542"/>
      <c r="MKG112" s="542"/>
      <c r="MKH112" s="542"/>
      <c r="MKI112" s="542"/>
      <c r="MKJ112" s="542"/>
      <c r="MKK112" s="542"/>
      <c r="MKL112" s="542"/>
      <c r="MKM112" s="542"/>
      <c r="MKN112" s="542"/>
      <c r="MKO112" s="542"/>
      <c r="MKP112" s="542"/>
      <c r="MKQ112" s="542"/>
      <c r="MKR112" s="542"/>
      <c r="MKS112" s="542"/>
      <c r="MKT112" s="542"/>
      <c r="MKU112" s="542"/>
      <c r="MKV112" s="542"/>
      <c r="MKW112" s="542"/>
      <c r="MKX112" s="542"/>
      <c r="MKY112" s="542"/>
      <c r="MKZ112" s="542"/>
      <c r="MLA112" s="542"/>
      <c r="MLB112" s="542"/>
      <c r="MLC112" s="542"/>
      <c r="MLD112" s="542"/>
      <c r="MLE112" s="542"/>
      <c r="MLF112" s="542"/>
      <c r="MLG112" s="542"/>
      <c r="MLH112" s="542"/>
      <c r="MLI112" s="542"/>
      <c r="MLJ112" s="542"/>
      <c r="MLK112" s="542"/>
      <c r="MLL112" s="542"/>
      <c r="MLM112" s="542"/>
      <c r="MLN112" s="542"/>
      <c r="MLO112" s="542"/>
      <c r="MLP112" s="542"/>
      <c r="MLQ112" s="542"/>
      <c r="MLR112" s="542"/>
      <c r="MLS112" s="542"/>
      <c r="MLT112" s="542"/>
      <c r="MLU112" s="542"/>
      <c r="MLV112" s="542"/>
      <c r="MLW112" s="542"/>
      <c r="MLX112" s="542"/>
      <c r="MLY112" s="542"/>
      <c r="MLZ112" s="542"/>
      <c r="MMA112" s="542"/>
      <c r="MMB112" s="542"/>
      <c r="MMC112" s="542"/>
      <c r="MMD112" s="542"/>
      <c r="MME112" s="542"/>
      <c r="MMF112" s="542"/>
      <c r="MMG112" s="542"/>
      <c r="MMH112" s="542"/>
      <c r="MMI112" s="542"/>
      <c r="MMJ112" s="542"/>
      <c r="MMK112" s="542"/>
      <c r="MML112" s="542"/>
      <c r="MMM112" s="542"/>
      <c r="MMN112" s="542"/>
      <c r="MMO112" s="542"/>
      <c r="MMP112" s="542"/>
      <c r="MMQ112" s="542"/>
      <c r="MMR112" s="542"/>
      <c r="MMS112" s="542"/>
      <c r="MMT112" s="542"/>
      <c r="MMU112" s="542"/>
      <c r="MMV112" s="542"/>
      <c r="MMW112" s="542"/>
      <c r="MMX112" s="542"/>
      <c r="MMY112" s="542"/>
      <c r="MMZ112" s="542"/>
      <c r="MNA112" s="542"/>
      <c r="MNB112" s="542"/>
      <c r="MNC112" s="542"/>
      <c r="MND112" s="542"/>
      <c r="MNE112" s="542"/>
      <c r="MNF112" s="542"/>
      <c r="MNG112" s="542"/>
      <c r="MNH112" s="542"/>
      <c r="MNI112" s="542"/>
      <c r="MNJ112" s="542"/>
      <c r="MNK112" s="542"/>
      <c r="MNL112" s="542"/>
      <c r="MNM112" s="542"/>
      <c r="MNN112" s="542"/>
      <c r="MNO112" s="542"/>
      <c r="MNP112" s="542"/>
      <c r="MNQ112" s="542"/>
      <c r="MNR112" s="542"/>
      <c r="MNS112" s="542"/>
      <c r="MNT112" s="542"/>
      <c r="MNU112" s="542"/>
      <c r="MNV112" s="542"/>
      <c r="MNW112" s="542"/>
      <c r="MNX112" s="542"/>
      <c r="MNY112" s="542"/>
      <c r="MNZ112" s="542"/>
      <c r="MOA112" s="542"/>
      <c r="MOB112" s="542"/>
      <c r="MOC112" s="542"/>
      <c r="MOD112" s="542"/>
      <c r="MOE112" s="542"/>
      <c r="MOF112" s="542"/>
      <c r="MOG112" s="542"/>
      <c r="MOH112" s="542"/>
      <c r="MOI112" s="542"/>
      <c r="MOJ112" s="542"/>
      <c r="MOK112" s="542"/>
      <c r="MOL112" s="542"/>
      <c r="MOM112" s="542"/>
      <c r="MON112" s="542"/>
      <c r="MOO112" s="542"/>
      <c r="MOP112" s="542"/>
      <c r="MOQ112" s="542"/>
      <c r="MOR112" s="542"/>
      <c r="MOS112" s="542"/>
      <c r="MOT112" s="542"/>
      <c r="MOU112" s="542"/>
      <c r="MOV112" s="542"/>
      <c r="MOW112" s="542"/>
      <c r="MOX112" s="542"/>
      <c r="MOY112" s="542"/>
      <c r="MOZ112" s="542"/>
      <c r="MPA112" s="542"/>
      <c r="MPB112" s="542"/>
      <c r="MPC112" s="542"/>
      <c r="MPD112" s="542"/>
      <c r="MPE112" s="542"/>
      <c r="MPF112" s="542"/>
      <c r="MPG112" s="542"/>
      <c r="MPH112" s="542"/>
      <c r="MPI112" s="542"/>
      <c r="MPJ112" s="542"/>
      <c r="MPK112" s="542"/>
      <c r="MPL112" s="542"/>
      <c r="MPM112" s="542"/>
      <c r="MPN112" s="542"/>
      <c r="MPO112" s="542"/>
      <c r="MPP112" s="542"/>
      <c r="MPQ112" s="542"/>
      <c r="MPR112" s="542"/>
      <c r="MPS112" s="542"/>
      <c r="MPT112" s="542"/>
      <c r="MPU112" s="542"/>
      <c r="MPV112" s="542"/>
      <c r="MPW112" s="542"/>
      <c r="MPX112" s="542"/>
      <c r="MPY112" s="542"/>
      <c r="MPZ112" s="542"/>
      <c r="MQA112" s="542"/>
      <c r="MQB112" s="542"/>
      <c r="MQC112" s="542"/>
      <c r="MQD112" s="542"/>
      <c r="MQE112" s="542"/>
      <c r="MQF112" s="542"/>
      <c r="MQG112" s="542"/>
      <c r="MQH112" s="542"/>
      <c r="MQI112" s="542"/>
      <c r="MQJ112" s="542"/>
      <c r="MQK112" s="542"/>
      <c r="MQL112" s="542"/>
      <c r="MQM112" s="542"/>
      <c r="MQN112" s="542"/>
      <c r="MQO112" s="542"/>
      <c r="MQP112" s="542"/>
      <c r="MQQ112" s="542"/>
      <c r="MQR112" s="542"/>
      <c r="MQS112" s="542"/>
      <c r="MQT112" s="542"/>
      <c r="MQU112" s="542"/>
      <c r="MQV112" s="542"/>
      <c r="MQW112" s="542"/>
      <c r="MQX112" s="542"/>
      <c r="MQY112" s="542"/>
      <c r="MQZ112" s="542"/>
      <c r="MRA112" s="542"/>
      <c r="MRB112" s="542"/>
      <c r="MRC112" s="542"/>
      <c r="MRD112" s="542"/>
      <c r="MRE112" s="542"/>
      <c r="MRF112" s="542"/>
      <c r="MRG112" s="542"/>
      <c r="MRH112" s="542"/>
      <c r="MRI112" s="542"/>
      <c r="MRJ112" s="542"/>
      <c r="MRK112" s="542"/>
      <c r="MRL112" s="542"/>
      <c r="MRM112" s="542"/>
      <c r="MRN112" s="542"/>
      <c r="MRO112" s="542"/>
      <c r="MRP112" s="542"/>
      <c r="MRQ112" s="542"/>
      <c r="MRR112" s="542"/>
      <c r="MRS112" s="542"/>
      <c r="MRT112" s="542"/>
      <c r="MRU112" s="542"/>
      <c r="MRV112" s="542"/>
      <c r="MRW112" s="542"/>
      <c r="MRX112" s="542"/>
      <c r="MRY112" s="542"/>
      <c r="MRZ112" s="542"/>
      <c r="MSA112" s="542"/>
      <c r="MSB112" s="542"/>
      <c r="MSC112" s="542"/>
      <c r="MSD112" s="542"/>
      <c r="MSE112" s="542"/>
      <c r="MSF112" s="542"/>
      <c r="MSG112" s="542"/>
      <c r="MSH112" s="542"/>
      <c r="MSI112" s="542"/>
      <c r="MSJ112" s="542"/>
      <c r="MSK112" s="542"/>
      <c r="MSL112" s="542"/>
      <c r="MSM112" s="542"/>
      <c r="MSN112" s="542"/>
      <c r="MSO112" s="542"/>
      <c r="MSP112" s="542"/>
      <c r="MSQ112" s="542"/>
      <c r="MSR112" s="542"/>
      <c r="MSS112" s="542"/>
      <c r="MST112" s="542"/>
      <c r="MSU112" s="542"/>
      <c r="MSV112" s="542"/>
      <c r="MSW112" s="542"/>
      <c r="MSX112" s="542"/>
      <c r="MSY112" s="542"/>
      <c r="MSZ112" s="542"/>
      <c r="MTA112" s="542"/>
      <c r="MTB112" s="542"/>
      <c r="MTC112" s="542"/>
      <c r="MTD112" s="542"/>
      <c r="MTE112" s="542"/>
      <c r="MTF112" s="542"/>
      <c r="MTG112" s="542"/>
      <c r="MTH112" s="542"/>
      <c r="MTI112" s="542"/>
      <c r="MTJ112" s="542"/>
      <c r="MTK112" s="542"/>
      <c r="MTL112" s="542"/>
      <c r="MTM112" s="542"/>
      <c r="MTN112" s="542"/>
      <c r="MTO112" s="542"/>
      <c r="MTP112" s="542"/>
      <c r="MTQ112" s="542"/>
      <c r="MTR112" s="542"/>
      <c r="MTS112" s="542"/>
      <c r="MTT112" s="542"/>
      <c r="MTU112" s="542"/>
      <c r="MTV112" s="542"/>
      <c r="MTW112" s="542"/>
      <c r="MTX112" s="542"/>
      <c r="MTY112" s="542"/>
      <c r="MTZ112" s="542"/>
      <c r="MUA112" s="542"/>
      <c r="MUB112" s="542"/>
      <c r="MUC112" s="542"/>
      <c r="MUD112" s="542"/>
      <c r="MUE112" s="542"/>
      <c r="MUF112" s="542"/>
      <c r="MUG112" s="542"/>
      <c r="MUH112" s="542"/>
      <c r="MUI112" s="542"/>
      <c r="MUJ112" s="542"/>
      <c r="MUK112" s="542"/>
      <c r="MUL112" s="542"/>
      <c r="MUM112" s="542"/>
      <c r="MUN112" s="542"/>
      <c r="MUO112" s="542"/>
      <c r="MUP112" s="542"/>
      <c r="MUQ112" s="542"/>
      <c r="MUR112" s="542"/>
      <c r="MUS112" s="542"/>
      <c r="MUT112" s="542"/>
      <c r="MUU112" s="542"/>
      <c r="MUV112" s="542"/>
      <c r="MUW112" s="542"/>
      <c r="MUX112" s="542"/>
      <c r="MUY112" s="542"/>
      <c r="MUZ112" s="542"/>
      <c r="MVA112" s="542"/>
      <c r="MVB112" s="542"/>
      <c r="MVC112" s="542"/>
      <c r="MVD112" s="542"/>
      <c r="MVE112" s="542"/>
      <c r="MVF112" s="542"/>
      <c r="MVG112" s="542"/>
      <c r="MVH112" s="542"/>
      <c r="MVI112" s="542"/>
      <c r="MVJ112" s="542"/>
      <c r="MVK112" s="542"/>
      <c r="MVL112" s="542"/>
      <c r="MVM112" s="542"/>
      <c r="MVN112" s="542"/>
      <c r="MVO112" s="542"/>
      <c r="MVP112" s="542"/>
      <c r="MVQ112" s="542"/>
      <c r="MVR112" s="542"/>
      <c r="MVS112" s="542"/>
      <c r="MVT112" s="542"/>
      <c r="MVU112" s="542"/>
      <c r="MVV112" s="542"/>
      <c r="MVW112" s="542"/>
      <c r="MVX112" s="542"/>
      <c r="MVY112" s="542"/>
      <c r="MVZ112" s="542"/>
      <c r="MWA112" s="542"/>
      <c r="MWB112" s="542"/>
      <c r="MWC112" s="542"/>
      <c r="MWD112" s="542"/>
      <c r="MWE112" s="542"/>
      <c r="MWF112" s="542"/>
      <c r="MWG112" s="542"/>
      <c r="MWH112" s="542"/>
      <c r="MWI112" s="542"/>
      <c r="MWJ112" s="542"/>
      <c r="MWK112" s="542"/>
      <c r="MWL112" s="542"/>
      <c r="MWM112" s="542"/>
      <c r="MWN112" s="542"/>
      <c r="MWO112" s="542"/>
      <c r="MWP112" s="542"/>
      <c r="MWQ112" s="542"/>
      <c r="MWR112" s="542"/>
      <c r="MWS112" s="542"/>
      <c r="MWT112" s="542"/>
      <c r="MWU112" s="542"/>
      <c r="MWV112" s="542"/>
      <c r="MWW112" s="542"/>
      <c r="MWX112" s="542"/>
      <c r="MWY112" s="542"/>
      <c r="MWZ112" s="542"/>
      <c r="MXA112" s="542"/>
      <c r="MXB112" s="542"/>
      <c r="MXC112" s="542"/>
      <c r="MXD112" s="542"/>
      <c r="MXE112" s="542"/>
      <c r="MXF112" s="542"/>
      <c r="MXG112" s="542"/>
      <c r="MXH112" s="542"/>
      <c r="MXI112" s="542"/>
      <c r="MXJ112" s="542"/>
      <c r="MXK112" s="542"/>
      <c r="MXL112" s="542"/>
      <c r="MXM112" s="542"/>
      <c r="MXN112" s="542"/>
      <c r="MXO112" s="542"/>
      <c r="MXP112" s="542"/>
      <c r="MXQ112" s="542"/>
      <c r="MXR112" s="542"/>
      <c r="MXS112" s="542"/>
      <c r="MXT112" s="542"/>
      <c r="MXU112" s="542"/>
      <c r="MXV112" s="542"/>
      <c r="MXW112" s="542"/>
      <c r="MXX112" s="542"/>
      <c r="MXY112" s="542"/>
      <c r="MXZ112" s="542"/>
      <c r="MYA112" s="542"/>
      <c r="MYB112" s="542"/>
      <c r="MYC112" s="542"/>
      <c r="MYD112" s="542"/>
      <c r="MYE112" s="542"/>
      <c r="MYF112" s="542"/>
      <c r="MYG112" s="542"/>
      <c r="MYH112" s="542"/>
      <c r="MYI112" s="542"/>
      <c r="MYJ112" s="542"/>
      <c r="MYK112" s="542"/>
      <c r="MYL112" s="542"/>
      <c r="MYM112" s="542"/>
      <c r="MYN112" s="542"/>
      <c r="MYO112" s="542"/>
      <c r="MYP112" s="542"/>
      <c r="MYQ112" s="542"/>
      <c r="MYR112" s="542"/>
      <c r="MYS112" s="542"/>
      <c r="MYT112" s="542"/>
      <c r="MYU112" s="542"/>
      <c r="MYV112" s="542"/>
      <c r="MYW112" s="542"/>
      <c r="MYX112" s="542"/>
      <c r="MYY112" s="542"/>
      <c r="MYZ112" s="542"/>
      <c r="MZA112" s="542"/>
      <c r="MZB112" s="542"/>
      <c r="MZC112" s="542"/>
      <c r="MZD112" s="542"/>
      <c r="MZE112" s="542"/>
      <c r="MZF112" s="542"/>
      <c r="MZG112" s="542"/>
      <c r="MZH112" s="542"/>
      <c r="MZI112" s="542"/>
      <c r="MZJ112" s="542"/>
      <c r="MZK112" s="542"/>
      <c r="MZL112" s="542"/>
      <c r="MZM112" s="542"/>
      <c r="MZN112" s="542"/>
      <c r="MZO112" s="542"/>
      <c r="MZP112" s="542"/>
      <c r="MZQ112" s="542"/>
      <c r="MZR112" s="542"/>
      <c r="MZS112" s="542"/>
      <c r="MZT112" s="542"/>
      <c r="MZU112" s="542"/>
      <c r="MZV112" s="542"/>
      <c r="MZW112" s="542"/>
      <c r="MZX112" s="542"/>
      <c r="MZY112" s="542"/>
      <c r="MZZ112" s="542"/>
      <c r="NAA112" s="542"/>
      <c r="NAB112" s="542"/>
      <c r="NAC112" s="542"/>
      <c r="NAD112" s="542"/>
      <c r="NAE112" s="542"/>
      <c r="NAF112" s="542"/>
      <c r="NAG112" s="542"/>
      <c r="NAH112" s="542"/>
      <c r="NAI112" s="542"/>
      <c r="NAJ112" s="542"/>
      <c r="NAK112" s="542"/>
      <c r="NAL112" s="542"/>
      <c r="NAM112" s="542"/>
      <c r="NAN112" s="542"/>
      <c r="NAO112" s="542"/>
      <c r="NAP112" s="542"/>
      <c r="NAQ112" s="542"/>
      <c r="NAR112" s="542"/>
      <c r="NAS112" s="542"/>
      <c r="NAT112" s="542"/>
      <c r="NAU112" s="542"/>
      <c r="NAV112" s="542"/>
      <c r="NAW112" s="542"/>
      <c r="NAX112" s="542"/>
      <c r="NAY112" s="542"/>
      <c r="NAZ112" s="542"/>
      <c r="NBA112" s="542"/>
      <c r="NBB112" s="542"/>
      <c r="NBC112" s="542"/>
      <c r="NBD112" s="542"/>
      <c r="NBE112" s="542"/>
      <c r="NBF112" s="542"/>
      <c r="NBG112" s="542"/>
      <c r="NBH112" s="542"/>
      <c r="NBI112" s="542"/>
      <c r="NBJ112" s="542"/>
      <c r="NBK112" s="542"/>
      <c r="NBL112" s="542"/>
      <c r="NBM112" s="542"/>
      <c r="NBN112" s="542"/>
      <c r="NBO112" s="542"/>
      <c r="NBP112" s="542"/>
      <c r="NBQ112" s="542"/>
      <c r="NBR112" s="542"/>
      <c r="NBS112" s="542"/>
      <c r="NBT112" s="542"/>
      <c r="NBU112" s="542"/>
      <c r="NBV112" s="542"/>
      <c r="NBW112" s="542"/>
      <c r="NBX112" s="542"/>
      <c r="NBY112" s="542"/>
      <c r="NBZ112" s="542"/>
      <c r="NCA112" s="542"/>
      <c r="NCB112" s="542"/>
      <c r="NCC112" s="542"/>
      <c r="NCD112" s="542"/>
      <c r="NCE112" s="542"/>
      <c r="NCF112" s="542"/>
      <c r="NCG112" s="542"/>
      <c r="NCH112" s="542"/>
      <c r="NCI112" s="542"/>
      <c r="NCJ112" s="542"/>
      <c r="NCK112" s="542"/>
      <c r="NCL112" s="542"/>
      <c r="NCM112" s="542"/>
      <c r="NCN112" s="542"/>
      <c r="NCO112" s="542"/>
      <c r="NCP112" s="542"/>
      <c r="NCQ112" s="542"/>
      <c r="NCR112" s="542"/>
      <c r="NCS112" s="542"/>
      <c r="NCT112" s="542"/>
      <c r="NCU112" s="542"/>
      <c r="NCV112" s="542"/>
      <c r="NCW112" s="542"/>
      <c r="NCX112" s="542"/>
      <c r="NCY112" s="542"/>
      <c r="NCZ112" s="542"/>
      <c r="NDA112" s="542"/>
      <c r="NDB112" s="542"/>
      <c r="NDC112" s="542"/>
      <c r="NDD112" s="542"/>
      <c r="NDE112" s="542"/>
      <c r="NDF112" s="542"/>
      <c r="NDG112" s="542"/>
      <c r="NDH112" s="542"/>
      <c r="NDI112" s="542"/>
      <c r="NDJ112" s="542"/>
      <c r="NDK112" s="542"/>
      <c r="NDL112" s="542"/>
      <c r="NDM112" s="542"/>
      <c r="NDN112" s="542"/>
      <c r="NDO112" s="542"/>
      <c r="NDP112" s="542"/>
      <c r="NDQ112" s="542"/>
      <c r="NDR112" s="542"/>
      <c r="NDS112" s="542"/>
      <c r="NDT112" s="542"/>
      <c r="NDU112" s="542"/>
      <c r="NDV112" s="542"/>
      <c r="NDW112" s="542"/>
      <c r="NDX112" s="542"/>
      <c r="NDY112" s="542"/>
      <c r="NDZ112" s="542"/>
      <c r="NEA112" s="542"/>
      <c r="NEB112" s="542"/>
      <c r="NEC112" s="542"/>
      <c r="NED112" s="542"/>
      <c r="NEE112" s="542"/>
      <c r="NEF112" s="542"/>
      <c r="NEG112" s="542"/>
      <c r="NEH112" s="542"/>
      <c r="NEI112" s="542"/>
      <c r="NEJ112" s="542"/>
      <c r="NEK112" s="542"/>
      <c r="NEL112" s="542"/>
      <c r="NEM112" s="542"/>
      <c r="NEN112" s="542"/>
      <c r="NEO112" s="542"/>
      <c r="NEP112" s="542"/>
      <c r="NEQ112" s="542"/>
      <c r="NER112" s="542"/>
      <c r="NES112" s="542"/>
      <c r="NET112" s="542"/>
      <c r="NEU112" s="542"/>
      <c r="NEV112" s="542"/>
      <c r="NEW112" s="542"/>
      <c r="NEX112" s="542"/>
      <c r="NEY112" s="542"/>
      <c r="NEZ112" s="542"/>
      <c r="NFA112" s="542"/>
      <c r="NFB112" s="542"/>
      <c r="NFC112" s="542"/>
      <c r="NFD112" s="542"/>
      <c r="NFE112" s="542"/>
      <c r="NFF112" s="542"/>
      <c r="NFG112" s="542"/>
      <c r="NFH112" s="542"/>
      <c r="NFI112" s="542"/>
      <c r="NFJ112" s="542"/>
      <c r="NFK112" s="542"/>
      <c r="NFL112" s="542"/>
      <c r="NFM112" s="542"/>
      <c r="NFN112" s="542"/>
      <c r="NFO112" s="542"/>
      <c r="NFP112" s="542"/>
      <c r="NFQ112" s="542"/>
      <c r="NFR112" s="542"/>
      <c r="NFS112" s="542"/>
      <c r="NFT112" s="542"/>
      <c r="NFU112" s="542"/>
      <c r="NFV112" s="542"/>
      <c r="NFW112" s="542"/>
      <c r="NFX112" s="542"/>
      <c r="NFY112" s="542"/>
      <c r="NFZ112" s="542"/>
      <c r="NGA112" s="542"/>
      <c r="NGB112" s="542"/>
      <c r="NGC112" s="542"/>
      <c r="NGD112" s="542"/>
      <c r="NGE112" s="542"/>
      <c r="NGF112" s="542"/>
      <c r="NGG112" s="542"/>
      <c r="NGH112" s="542"/>
      <c r="NGI112" s="542"/>
      <c r="NGJ112" s="542"/>
      <c r="NGK112" s="542"/>
      <c r="NGL112" s="542"/>
      <c r="NGM112" s="542"/>
      <c r="NGN112" s="542"/>
      <c r="NGO112" s="542"/>
      <c r="NGP112" s="542"/>
      <c r="NGQ112" s="542"/>
      <c r="NGR112" s="542"/>
      <c r="NGS112" s="542"/>
      <c r="NGT112" s="542"/>
      <c r="NGU112" s="542"/>
      <c r="NGV112" s="542"/>
      <c r="NGW112" s="542"/>
      <c r="NGX112" s="542"/>
      <c r="NGY112" s="542"/>
      <c r="NGZ112" s="542"/>
      <c r="NHA112" s="542"/>
      <c r="NHB112" s="542"/>
      <c r="NHC112" s="542"/>
      <c r="NHD112" s="542"/>
      <c r="NHE112" s="542"/>
      <c r="NHF112" s="542"/>
      <c r="NHG112" s="542"/>
      <c r="NHH112" s="542"/>
      <c r="NHI112" s="542"/>
      <c r="NHJ112" s="542"/>
      <c r="NHK112" s="542"/>
      <c r="NHL112" s="542"/>
      <c r="NHM112" s="542"/>
      <c r="NHN112" s="542"/>
      <c r="NHO112" s="542"/>
      <c r="NHP112" s="542"/>
      <c r="NHQ112" s="542"/>
      <c r="NHR112" s="542"/>
      <c r="NHS112" s="542"/>
      <c r="NHT112" s="542"/>
      <c r="NHU112" s="542"/>
      <c r="NHV112" s="542"/>
      <c r="NHW112" s="542"/>
      <c r="NHX112" s="542"/>
      <c r="NHY112" s="542"/>
      <c r="NHZ112" s="542"/>
      <c r="NIA112" s="542"/>
      <c r="NIB112" s="542"/>
      <c r="NIC112" s="542"/>
      <c r="NID112" s="542"/>
      <c r="NIE112" s="542"/>
      <c r="NIF112" s="542"/>
      <c r="NIG112" s="542"/>
      <c r="NIH112" s="542"/>
      <c r="NII112" s="542"/>
      <c r="NIJ112" s="542"/>
      <c r="NIK112" s="542"/>
      <c r="NIL112" s="542"/>
      <c r="NIM112" s="542"/>
      <c r="NIN112" s="542"/>
      <c r="NIO112" s="542"/>
      <c r="NIP112" s="542"/>
      <c r="NIQ112" s="542"/>
      <c r="NIR112" s="542"/>
      <c r="NIS112" s="542"/>
      <c r="NIT112" s="542"/>
      <c r="NIU112" s="542"/>
      <c r="NIV112" s="542"/>
      <c r="NIW112" s="542"/>
      <c r="NIX112" s="542"/>
      <c r="NIY112" s="542"/>
      <c r="NIZ112" s="542"/>
      <c r="NJA112" s="542"/>
      <c r="NJB112" s="542"/>
      <c r="NJC112" s="542"/>
      <c r="NJD112" s="542"/>
      <c r="NJE112" s="542"/>
      <c r="NJF112" s="542"/>
      <c r="NJG112" s="542"/>
      <c r="NJH112" s="542"/>
      <c r="NJI112" s="542"/>
      <c r="NJJ112" s="542"/>
      <c r="NJK112" s="542"/>
      <c r="NJL112" s="542"/>
      <c r="NJM112" s="542"/>
      <c r="NJN112" s="542"/>
      <c r="NJO112" s="542"/>
      <c r="NJP112" s="542"/>
      <c r="NJQ112" s="542"/>
      <c r="NJR112" s="542"/>
      <c r="NJS112" s="542"/>
      <c r="NJT112" s="542"/>
      <c r="NJU112" s="542"/>
      <c r="NJV112" s="542"/>
      <c r="NJW112" s="542"/>
      <c r="NJX112" s="542"/>
      <c r="NJY112" s="542"/>
      <c r="NJZ112" s="542"/>
      <c r="NKA112" s="542"/>
      <c r="NKB112" s="542"/>
      <c r="NKC112" s="542"/>
      <c r="NKD112" s="542"/>
      <c r="NKE112" s="542"/>
      <c r="NKF112" s="542"/>
      <c r="NKG112" s="542"/>
      <c r="NKH112" s="542"/>
      <c r="NKI112" s="542"/>
      <c r="NKJ112" s="542"/>
      <c r="NKK112" s="542"/>
      <c r="NKL112" s="542"/>
      <c r="NKM112" s="542"/>
      <c r="NKN112" s="542"/>
      <c r="NKO112" s="542"/>
      <c r="NKP112" s="542"/>
      <c r="NKQ112" s="542"/>
      <c r="NKR112" s="542"/>
      <c r="NKS112" s="542"/>
      <c r="NKT112" s="542"/>
      <c r="NKU112" s="542"/>
      <c r="NKV112" s="542"/>
      <c r="NKW112" s="542"/>
      <c r="NKX112" s="542"/>
      <c r="NKY112" s="542"/>
      <c r="NKZ112" s="542"/>
      <c r="NLA112" s="542"/>
      <c r="NLB112" s="542"/>
      <c r="NLC112" s="542"/>
      <c r="NLD112" s="542"/>
      <c r="NLE112" s="542"/>
      <c r="NLF112" s="542"/>
      <c r="NLG112" s="542"/>
      <c r="NLH112" s="542"/>
      <c r="NLI112" s="542"/>
      <c r="NLJ112" s="542"/>
      <c r="NLK112" s="542"/>
      <c r="NLL112" s="542"/>
      <c r="NLM112" s="542"/>
      <c r="NLN112" s="542"/>
      <c r="NLO112" s="542"/>
      <c r="NLP112" s="542"/>
      <c r="NLQ112" s="542"/>
      <c r="NLR112" s="542"/>
      <c r="NLS112" s="542"/>
      <c r="NLT112" s="542"/>
      <c r="NLU112" s="542"/>
      <c r="NLV112" s="542"/>
      <c r="NLW112" s="542"/>
      <c r="NLX112" s="542"/>
      <c r="NLY112" s="542"/>
      <c r="NLZ112" s="542"/>
      <c r="NMA112" s="542"/>
      <c r="NMB112" s="542"/>
      <c r="NMC112" s="542"/>
      <c r="NMD112" s="542"/>
      <c r="NME112" s="542"/>
      <c r="NMF112" s="542"/>
      <c r="NMG112" s="542"/>
      <c r="NMH112" s="542"/>
      <c r="NMI112" s="542"/>
      <c r="NMJ112" s="542"/>
      <c r="NMK112" s="542"/>
      <c r="NML112" s="542"/>
      <c r="NMM112" s="542"/>
      <c r="NMN112" s="542"/>
      <c r="NMO112" s="542"/>
      <c r="NMP112" s="542"/>
      <c r="NMQ112" s="542"/>
      <c r="NMR112" s="542"/>
      <c r="NMS112" s="542"/>
      <c r="NMT112" s="542"/>
      <c r="NMU112" s="542"/>
      <c r="NMV112" s="542"/>
      <c r="NMW112" s="542"/>
      <c r="NMX112" s="542"/>
      <c r="NMY112" s="542"/>
      <c r="NMZ112" s="542"/>
      <c r="NNA112" s="542"/>
      <c r="NNB112" s="542"/>
      <c r="NNC112" s="542"/>
      <c r="NND112" s="542"/>
      <c r="NNE112" s="542"/>
      <c r="NNF112" s="542"/>
      <c r="NNG112" s="542"/>
      <c r="NNH112" s="542"/>
      <c r="NNI112" s="542"/>
      <c r="NNJ112" s="542"/>
      <c r="NNK112" s="542"/>
      <c r="NNL112" s="542"/>
      <c r="NNM112" s="542"/>
      <c r="NNN112" s="542"/>
      <c r="NNO112" s="542"/>
      <c r="NNP112" s="542"/>
      <c r="NNQ112" s="542"/>
      <c r="NNR112" s="542"/>
      <c r="NNS112" s="542"/>
      <c r="NNT112" s="542"/>
      <c r="NNU112" s="542"/>
      <c r="NNV112" s="542"/>
      <c r="NNW112" s="542"/>
      <c r="NNX112" s="542"/>
      <c r="NNY112" s="542"/>
      <c r="NNZ112" s="542"/>
      <c r="NOA112" s="542"/>
      <c r="NOB112" s="542"/>
      <c r="NOC112" s="542"/>
      <c r="NOD112" s="542"/>
      <c r="NOE112" s="542"/>
      <c r="NOF112" s="542"/>
      <c r="NOG112" s="542"/>
      <c r="NOH112" s="542"/>
      <c r="NOI112" s="542"/>
      <c r="NOJ112" s="542"/>
      <c r="NOK112" s="542"/>
      <c r="NOL112" s="542"/>
      <c r="NOM112" s="542"/>
      <c r="NON112" s="542"/>
      <c r="NOO112" s="542"/>
      <c r="NOP112" s="542"/>
      <c r="NOQ112" s="542"/>
      <c r="NOR112" s="542"/>
      <c r="NOS112" s="542"/>
      <c r="NOT112" s="542"/>
      <c r="NOU112" s="542"/>
      <c r="NOV112" s="542"/>
      <c r="NOW112" s="542"/>
      <c r="NOX112" s="542"/>
      <c r="NOY112" s="542"/>
      <c r="NOZ112" s="542"/>
      <c r="NPA112" s="542"/>
      <c r="NPB112" s="542"/>
      <c r="NPC112" s="542"/>
      <c r="NPD112" s="542"/>
      <c r="NPE112" s="542"/>
      <c r="NPF112" s="542"/>
      <c r="NPG112" s="542"/>
      <c r="NPH112" s="542"/>
      <c r="NPI112" s="542"/>
      <c r="NPJ112" s="542"/>
      <c r="NPK112" s="542"/>
      <c r="NPL112" s="542"/>
      <c r="NPM112" s="542"/>
      <c r="NPN112" s="542"/>
      <c r="NPO112" s="542"/>
      <c r="NPP112" s="542"/>
      <c r="NPQ112" s="542"/>
      <c r="NPR112" s="542"/>
      <c r="NPS112" s="542"/>
      <c r="NPT112" s="542"/>
      <c r="NPU112" s="542"/>
      <c r="NPV112" s="542"/>
      <c r="NPW112" s="542"/>
      <c r="NPX112" s="542"/>
      <c r="NPY112" s="542"/>
      <c r="NPZ112" s="542"/>
      <c r="NQA112" s="542"/>
      <c r="NQB112" s="542"/>
      <c r="NQC112" s="542"/>
      <c r="NQD112" s="542"/>
      <c r="NQE112" s="542"/>
      <c r="NQF112" s="542"/>
      <c r="NQG112" s="542"/>
      <c r="NQH112" s="542"/>
      <c r="NQI112" s="542"/>
      <c r="NQJ112" s="542"/>
      <c r="NQK112" s="542"/>
      <c r="NQL112" s="542"/>
      <c r="NQM112" s="542"/>
      <c r="NQN112" s="542"/>
      <c r="NQO112" s="542"/>
      <c r="NQP112" s="542"/>
      <c r="NQQ112" s="542"/>
      <c r="NQR112" s="542"/>
      <c r="NQS112" s="542"/>
      <c r="NQT112" s="542"/>
      <c r="NQU112" s="542"/>
      <c r="NQV112" s="542"/>
      <c r="NQW112" s="542"/>
      <c r="NQX112" s="542"/>
      <c r="NQY112" s="542"/>
      <c r="NQZ112" s="542"/>
      <c r="NRA112" s="542"/>
      <c r="NRB112" s="542"/>
      <c r="NRC112" s="542"/>
      <c r="NRD112" s="542"/>
      <c r="NRE112" s="542"/>
      <c r="NRF112" s="542"/>
      <c r="NRG112" s="542"/>
      <c r="NRH112" s="542"/>
      <c r="NRI112" s="542"/>
      <c r="NRJ112" s="542"/>
      <c r="NRK112" s="542"/>
      <c r="NRL112" s="542"/>
      <c r="NRM112" s="542"/>
      <c r="NRN112" s="542"/>
      <c r="NRO112" s="542"/>
      <c r="NRP112" s="542"/>
      <c r="NRQ112" s="542"/>
      <c r="NRR112" s="542"/>
      <c r="NRS112" s="542"/>
      <c r="NRT112" s="542"/>
      <c r="NRU112" s="542"/>
      <c r="NRV112" s="542"/>
      <c r="NRW112" s="542"/>
      <c r="NRX112" s="542"/>
      <c r="NRY112" s="542"/>
      <c r="NRZ112" s="542"/>
      <c r="NSA112" s="542"/>
      <c r="NSB112" s="542"/>
      <c r="NSC112" s="542"/>
      <c r="NSD112" s="542"/>
      <c r="NSE112" s="542"/>
      <c r="NSF112" s="542"/>
      <c r="NSG112" s="542"/>
      <c r="NSH112" s="542"/>
      <c r="NSI112" s="542"/>
      <c r="NSJ112" s="542"/>
      <c r="NSK112" s="542"/>
      <c r="NSL112" s="542"/>
      <c r="NSM112" s="542"/>
      <c r="NSN112" s="542"/>
      <c r="NSO112" s="542"/>
      <c r="NSP112" s="542"/>
      <c r="NSQ112" s="542"/>
      <c r="NSR112" s="542"/>
      <c r="NSS112" s="542"/>
      <c r="NST112" s="542"/>
      <c r="NSU112" s="542"/>
      <c r="NSV112" s="542"/>
      <c r="NSW112" s="542"/>
      <c r="NSX112" s="542"/>
      <c r="NSY112" s="542"/>
      <c r="NSZ112" s="542"/>
      <c r="NTA112" s="542"/>
      <c r="NTB112" s="542"/>
      <c r="NTC112" s="542"/>
      <c r="NTD112" s="542"/>
      <c r="NTE112" s="542"/>
      <c r="NTF112" s="542"/>
      <c r="NTG112" s="542"/>
      <c r="NTH112" s="542"/>
      <c r="NTI112" s="542"/>
      <c r="NTJ112" s="542"/>
      <c r="NTK112" s="542"/>
      <c r="NTL112" s="542"/>
      <c r="NTM112" s="542"/>
      <c r="NTN112" s="542"/>
      <c r="NTO112" s="542"/>
      <c r="NTP112" s="542"/>
      <c r="NTQ112" s="542"/>
      <c r="NTR112" s="542"/>
      <c r="NTS112" s="542"/>
      <c r="NTT112" s="542"/>
      <c r="NTU112" s="542"/>
      <c r="NTV112" s="542"/>
      <c r="NTW112" s="542"/>
      <c r="NTX112" s="542"/>
      <c r="NTY112" s="542"/>
      <c r="NTZ112" s="542"/>
      <c r="NUA112" s="542"/>
      <c r="NUB112" s="542"/>
      <c r="NUC112" s="542"/>
      <c r="NUD112" s="542"/>
      <c r="NUE112" s="542"/>
      <c r="NUF112" s="542"/>
      <c r="NUG112" s="542"/>
      <c r="NUH112" s="542"/>
      <c r="NUI112" s="542"/>
      <c r="NUJ112" s="542"/>
      <c r="NUK112" s="542"/>
      <c r="NUL112" s="542"/>
      <c r="NUM112" s="542"/>
      <c r="NUN112" s="542"/>
      <c r="NUO112" s="542"/>
      <c r="NUP112" s="542"/>
      <c r="NUQ112" s="542"/>
      <c r="NUR112" s="542"/>
      <c r="NUS112" s="542"/>
      <c r="NUT112" s="542"/>
      <c r="NUU112" s="542"/>
      <c r="NUV112" s="542"/>
      <c r="NUW112" s="542"/>
      <c r="NUX112" s="542"/>
      <c r="NUY112" s="542"/>
      <c r="NUZ112" s="542"/>
      <c r="NVA112" s="542"/>
      <c r="NVB112" s="542"/>
      <c r="NVC112" s="542"/>
      <c r="NVD112" s="542"/>
      <c r="NVE112" s="542"/>
      <c r="NVF112" s="542"/>
      <c r="NVG112" s="542"/>
      <c r="NVH112" s="542"/>
      <c r="NVI112" s="542"/>
      <c r="NVJ112" s="542"/>
      <c r="NVK112" s="542"/>
      <c r="NVL112" s="542"/>
      <c r="NVM112" s="542"/>
      <c r="NVN112" s="542"/>
      <c r="NVO112" s="542"/>
      <c r="NVP112" s="542"/>
      <c r="NVQ112" s="542"/>
      <c r="NVR112" s="542"/>
      <c r="NVS112" s="542"/>
      <c r="NVT112" s="542"/>
      <c r="NVU112" s="542"/>
      <c r="NVV112" s="542"/>
      <c r="NVW112" s="542"/>
      <c r="NVX112" s="542"/>
      <c r="NVY112" s="542"/>
      <c r="NVZ112" s="542"/>
      <c r="NWA112" s="542"/>
      <c r="NWB112" s="542"/>
      <c r="NWC112" s="542"/>
      <c r="NWD112" s="542"/>
      <c r="NWE112" s="542"/>
      <c r="NWF112" s="542"/>
      <c r="NWG112" s="542"/>
      <c r="NWH112" s="542"/>
      <c r="NWI112" s="542"/>
      <c r="NWJ112" s="542"/>
      <c r="NWK112" s="542"/>
      <c r="NWL112" s="542"/>
      <c r="NWM112" s="542"/>
      <c r="NWN112" s="542"/>
      <c r="NWO112" s="542"/>
      <c r="NWP112" s="542"/>
      <c r="NWQ112" s="542"/>
      <c r="NWR112" s="542"/>
      <c r="NWS112" s="542"/>
      <c r="NWT112" s="542"/>
      <c r="NWU112" s="542"/>
      <c r="NWV112" s="542"/>
      <c r="NWW112" s="542"/>
      <c r="NWX112" s="542"/>
      <c r="NWY112" s="542"/>
      <c r="NWZ112" s="542"/>
      <c r="NXA112" s="542"/>
      <c r="NXB112" s="542"/>
      <c r="NXC112" s="542"/>
      <c r="NXD112" s="542"/>
      <c r="NXE112" s="542"/>
      <c r="NXF112" s="542"/>
      <c r="NXG112" s="542"/>
      <c r="NXH112" s="542"/>
      <c r="NXI112" s="542"/>
      <c r="NXJ112" s="542"/>
      <c r="NXK112" s="542"/>
      <c r="NXL112" s="542"/>
      <c r="NXM112" s="542"/>
      <c r="NXN112" s="542"/>
      <c r="NXO112" s="542"/>
      <c r="NXP112" s="542"/>
      <c r="NXQ112" s="542"/>
      <c r="NXR112" s="542"/>
      <c r="NXS112" s="542"/>
      <c r="NXT112" s="542"/>
      <c r="NXU112" s="542"/>
      <c r="NXV112" s="542"/>
      <c r="NXW112" s="542"/>
      <c r="NXX112" s="542"/>
      <c r="NXY112" s="542"/>
      <c r="NXZ112" s="542"/>
      <c r="NYA112" s="542"/>
      <c r="NYB112" s="542"/>
      <c r="NYC112" s="542"/>
      <c r="NYD112" s="542"/>
      <c r="NYE112" s="542"/>
      <c r="NYF112" s="542"/>
      <c r="NYG112" s="542"/>
      <c r="NYH112" s="542"/>
      <c r="NYI112" s="542"/>
      <c r="NYJ112" s="542"/>
      <c r="NYK112" s="542"/>
      <c r="NYL112" s="542"/>
      <c r="NYM112" s="542"/>
      <c r="NYN112" s="542"/>
      <c r="NYO112" s="542"/>
      <c r="NYP112" s="542"/>
      <c r="NYQ112" s="542"/>
      <c r="NYR112" s="542"/>
      <c r="NYS112" s="542"/>
      <c r="NYT112" s="542"/>
      <c r="NYU112" s="542"/>
      <c r="NYV112" s="542"/>
      <c r="NYW112" s="542"/>
      <c r="NYX112" s="542"/>
      <c r="NYY112" s="542"/>
      <c r="NYZ112" s="542"/>
      <c r="NZA112" s="542"/>
      <c r="NZB112" s="542"/>
      <c r="NZC112" s="542"/>
      <c r="NZD112" s="542"/>
      <c r="NZE112" s="542"/>
      <c r="NZF112" s="542"/>
      <c r="NZG112" s="542"/>
      <c r="NZH112" s="542"/>
      <c r="NZI112" s="542"/>
      <c r="NZJ112" s="542"/>
      <c r="NZK112" s="542"/>
      <c r="NZL112" s="542"/>
      <c r="NZM112" s="542"/>
      <c r="NZN112" s="542"/>
      <c r="NZO112" s="542"/>
      <c r="NZP112" s="542"/>
      <c r="NZQ112" s="542"/>
      <c r="NZR112" s="542"/>
      <c r="NZS112" s="542"/>
      <c r="NZT112" s="542"/>
      <c r="NZU112" s="542"/>
      <c r="NZV112" s="542"/>
      <c r="NZW112" s="542"/>
      <c r="NZX112" s="542"/>
      <c r="NZY112" s="542"/>
      <c r="NZZ112" s="542"/>
      <c r="OAA112" s="542"/>
      <c r="OAB112" s="542"/>
      <c r="OAC112" s="542"/>
      <c r="OAD112" s="542"/>
      <c r="OAE112" s="542"/>
      <c r="OAF112" s="542"/>
      <c r="OAG112" s="542"/>
      <c r="OAH112" s="542"/>
      <c r="OAI112" s="542"/>
      <c r="OAJ112" s="542"/>
      <c r="OAK112" s="542"/>
      <c r="OAL112" s="542"/>
      <c r="OAM112" s="542"/>
      <c r="OAN112" s="542"/>
      <c r="OAO112" s="542"/>
      <c r="OAP112" s="542"/>
      <c r="OAQ112" s="542"/>
      <c r="OAR112" s="542"/>
      <c r="OAS112" s="542"/>
      <c r="OAT112" s="542"/>
      <c r="OAU112" s="542"/>
      <c r="OAV112" s="542"/>
      <c r="OAW112" s="542"/>
      <c r="OAX112" s="542"/>
      <c r="OAY112" s="542"/>
      <c r="OAZ112" s="542"/>
      <c r="OBA112" s="542"/>
      <c r="OBB112" s="542"/>
      <c r="OBC112" s="542"/>
      <c r="OBD112" s="542"/>
      <c r="OBE112" s="542"/>
      <c r="OBF112" s="542"/>
      <c r="OBG112" s="542"/>
      <c r="OBH112" s="542"/>
      <c r="OBI112" s="542"/>
      <c r="OBJ112" s="542"/>
      <c r="OBK112" s="542"/>
      <c r="OBL112" s="542"/>
      <c r="OBM112" s="542"/>
      <c r="OBN112" s="542"/>
      <c r="OBO112" s="542"/>
      <c r="OBP112" s="542"/>
      <c r="OBQ112" s="542"/>
      <c r="OBR112" s="542"/>
      <c r="OBS112" s="542"/>
      <c r="OBT112" s="542"/>
      <c r="OBU112" s="542"/>
      <c r="OBV112" s="542"/>
      <c r="OBW112" s="542"/>
      <c r="OBX112" s="542"/>
      <c r="OBY112" s="542"/>
      <c r="OBZ112" s="542"/>
      <c r="OCA112" s="542"/>
      <c r="OCB112" s="542"/>
      <c r="OCC112" s="542"/>
      <c r="OCD112" s="542"/>
      <c r="OCE112" s="542"/>
      <c r="OCF112" s="542"/>
      <c r="OCG112" s="542"/>
      <c r="OCH112" s="542"/>
      <c r="OCI112" s="542"/>
      <c r="OCJ112" s="542"/>
      <c r="OCK112" s="542"/>
      <c r="OCL112" s="542"/>
      <c r="OCM112" s="542"/>
      <c r="OCN112" s="542"/>
      <c r="OCO112" s="542"/>
      <c r="OCP112" s="542"/>
      <c r="OCQ112" s="542"/>
      <c r="OCR112" s="542"/>
      <c r="OCS112" s="542"/>
      <c r="OCT112" s="542"/>
      <c r="OCU112" s="542"/>
      <c r="OCV112" s="542"/>
      <c r="OCW112" s="542"/>
      <c r="OCX112" s="542"/>
      <c r="OCY112" s="542"/>
      <c r="OCZ112" s="542"/>
      <c r="ODA112" s="542"/>
      <c r="ODB112" s="542"/>
      <c r="ODC112" s="542"/>
      <c r="ODD112" s="542"/>
      <c r="ODE112" s="542"/>
      <c r="ODF112" s="542"/>
      <c r="ODG112" s="542"/>
      <c r="ODH112" s="542"/>
      <c r="ODI112" s="542"/>
      <c r="ODJ112" s="542"/>
      <c r="ODK112" s="542"/>
      <c r="ODL112" s="542"/>
      <c r="ODM112" s="542"/>
      <c r="ODN112" s="542"/>
      <c r="ODO112" s="542"/>
      <c r="ODP112" s="542"/>
      <c r="ODQ112" s="542"/>
      <c r="ODR112" s="542"/>
      <c r="ODS112" s="542"/>
      <c r="ODT112" s="542"/>
      <c r="ODU112" s="542"/>
      <c r="ODV112" s="542"/>
      <c r="ODW112" s="542"/>
      <c r="ODX112" s="542"/>
      <c r="ODY112" s="542"/>
      <c r="ODZ112" s="542"/>
      <c r="OEA112" s="542"/>
      <c r="OEB112" s="542"/>
      <c r="OEC112" s="542"/>
      <c r="OED112" s="542"/>
      <c r="OEE112" s="542"/>
      <c r="OEF112" s="542"/>
      <c r="OEG112" s="542"/>
      <c r="OEH112" s="542"/>
      <c r="OEI112" s="542"/>
      <c r="OEJ112" s="542"/>
      <c r="OEK112" s="542"/>
      <c r="OEL112" s="542"/>
      <c r="OEM112" s="542"/>
      <c r="OEN112" s="542"/>
      <c r="OEO112" s="542"/>
      <c r="OEP112" s="542"/>
      <c r="OEQ112" s="542"/>
      <c r="OER112" s="542"/>
      <c r="OES112" s="542"/>
      <c r="OET112" s="542"/>
      <c r="OEU112" s="542"/>
      <c r="OEV112" s="542"/>
      <c r="OEW112" s="542"/>
      <c r="OEX112" s="542"/>
      <c r="OEY112" s="542"/>
      <c r="OEZ112" s="542"/>
      <c r="OFA112" s="542"/>
      <c r="OFB112" s="542"/>
      <c r="OFC112" s="542"/>
      <c r="OFD112" s="542"/>
      <c r="OFE112" s="542"/>
      <c r="OFF112" s="542"/>
      <c r="OFG112" s="542"/>
      <c r="OFH112" s="542"/>
      <c r="OFI112" s="542"/>
      <c r="OFJ112" s="542"/>
      <c r="OFK112" s="542"/>
      <c r="OFL112" s="542"/>
      <c r="OFM112" s="542"/>
      <c r="OFN112" s="542"/>
      <c r="OFO112" s="542"/>
      <c r="OFP112" s="542"/>
      <c r="OFQ112" s="542"/>
      <c r="OFR112" s="542"/>
      <c r="OFS112" s="542"/>
      <c r="OFT112" s="542"/>
      <c r="OFU112" s="542"/>
      <c r="OFV112" s="542"/>
      <c r="OFW112" s="542"/>
      <c r="OFX112" s="542"/>
      <c r="OFY112" s="542"/>
      <c r="OFZ112" s="542"/>
      <c r="OGA112" s="542"/>
      <c r="OGB112" s="542"/>
      <c r="OGC112" s="542"/>
      <c r="OGD112" s="542"/>
      <c r="OGE112" s="542"/>
      <c r="OGF112" s="542"/>
      <c r="OGG112" s="542"/>
      <c r="OGH112" s="542"/>
      <c r="OGI112" s="542"/>
      <c r="OGJ112" s="542"/>
      <c r="OGK112" s="542"/>
      <c r="OGL112" s="542"/>
      <c r="OGM112" s="542"/>
      <c r="OGN112" s="542"/>
      <c r="OGO112" s="542"/>
      <c r="OGP112" s="542"/>
      <c r="OGQ112" s="542"/>
      <c r="OGR112" s="542"/>
      <c r="OGS112" s="542"/>
      <c r="OGT112" s="542"/>
      <c r="OGU112" s="542"/>
      <c r="OGV112" s="542"/>
      <c r="OGW112" s="542"/>
      <c r="OGX112" s="542"/>
      <c r="OGY112" s="542"/>
      <c r="OGZ112" s="542"/>
      <c r="OHA112" s="542"/>
      <c r="OHB112" s="542"/>
      <c r="OHC112" s="542"/>
      <c r="OHD112" s="542"/>
      <c r="OHE112" s="542"/>
      <c r="OHF112" s="542"/>
      <c r="OHG112" s="542"/>
      <c r="OHH112" s="542"/>
      <c r="OHI112" s="542"/>
      <c r="OHJ112" s="542"/>
      <c r="OHK112" s="542"/>
      <c r="OHL112" s="542"/>
      <c r="OHM112" s="542"/>
      <c r="OHN112" s="542"/>
      <c r="OHO112" s="542"/>
      <c r="OHP112" s="542"/>
      <c r="OHQ112" s="542"/>
      <c r="OHR112" s="542"/>
      <c r="OHS112" s="542"/>
      <c r="OHT112" s="542"/>
      <c r="OHU112" s="542"/>
      <c r="OHV112" s="542"/>
      <c r="OHW112" s="542"/>
      <c r="OHX112" s="542"/>
      <c r="OHY112" s="542"/>
      <c r="OHZ112" s="542"/>
      <c r="OIA112" s="542"/>
      <c r="OIB112" s="542"/>
      <c r="OIC112" s="542"/>
      <c r="OID112" s="542"/>
      <c r="OIE112" s="542"/>
      <c r="OIF112" s="542"/>
      <c r="OIG112" s="542"/>
      <c r="OIH112" s="542"/>
      <c r="OII112" s="542"/>
      <c r="OIJ112" s="542"/>
      <c r="OIK112" s="542"/>
      <c r="OIL112" s="542"/>
      <c r="OIM112" s="542"/>
      <c r="OIN112" s="542"/>
      <c r="OIO112" s="542"/>
      <c r="OIP112" s="542"/>
      <c r="OIQ112" s="542"/>
      <c r="OIR112" s="542"/>
      <c r="OIS112" s="542"/>
      <c r="OIT112" s="542"/>
      <c r="OIU112" s="542"/>
      <c r="OIV112" s="542"/>
      <c r="OIW112" s="542"/>
      <c r="OIX112" s="542"/>
      <c r="OIY112" s="542"/>
      <c r="OIZ112" s="542"/>
      <c r="OJA112" s="542"/>
      <c r="OJB112" s="542"/>
      <c r="OJC112" s="542"/>
      <c r="OJD112" s="542"/>
      <c r="OJE112" s="542"/>
      <c r="OJF112" s="542"/>
      <c r="OJG112" s="542"/>
      <c r="OJH112" s="542"/>
      <c r="OJI112" s="542"/>
      <c r="OJJ112" s="542"/>
      <c r="OJK112" s="542"/>
      <c r="OJL112" s="542"/>
      <c r="OJM112" s="542"/>
      <c r="OJN112" s="542"/>
      <c r="OJO112" s="542"/>
      <c r="OJP112" s="542"/>
      <c r="OJQ112" s="542"/>
      <c r="OJR112" s="542"/>
      <c r="OJS112" s="542"/>
      <c r="OJT112" s="542"/>
      <c r="OJU112" s="542"/>
      <c r="OJV112" s="542"/>
      <c r="OJW112" s="542"/>
      <c r="OJX112" s="542"/>
      <c r="OJY112" s="542"/>
      <c r="OJZ112" s="542"/>
      <c r="OKA112" s="542"/>
      <c r="OKB112" s="542"/>
      <c r="OKC112" s="542"/>
      <c r="OKD112" s="542"/>
      <c r="OKE112" s="542"/>
      <c r="OKF112" s="542"/>
      <c r="OKG112" s="542"/>
      <c r="OKH112" s="542"/>
      <c r="OKI112" s="542"/>
      <c r="OKJ112" s="542"/>
      <c r="OKK112" s="542"/>
      <c r="OKL112" s="542"/>
      <c r="OKM112" s="542"/>
      <c r="OKN112" s="542"/>
      <c r="OKO112" s="542"/>
      <c r="OKP112" s="542"/>
      <c r="OKQ112" s="542"/>
      <c r="OKR112" s="542"/>
      <c r="OKS112" s="542"/>
      <c r="OKT112" s="542"/>
      <c r="OKU112" s="542"/>
      <c r="OKV112" s="542"/>
      <c r="OKW112" s="542"/>
      <c r="OKX112" s="542"/>
      <c r="OKY112" s="542"/>
      <c r="OKZ112" s="542"/>
      <c r="OLA112" s="542"/>
      <c r="OLB112" s="542"/>
      <c r="OLC112" s="542"/>
      <c r="OLD112" s="542"/>
      <c r="OLE112" s="542"/>
      <c r="OLF112" s="542"/>
      <c r="OLG112" s="542"/>
      <c r="OLH112" s="542"/>
      <c r="OLI112" s="542"/>
      <c r="OLJ112" s="542"/>
      <c r="OLK112" s="542"/>
      <c r="OLL112" s="542"/>
      <c r="OLM112" s="542"/>
      <c r="OLN112" s="542"/>
      <c r="OLO112" s="542"/>
      <c r="OLP112" s="542"/>
      <c r="OLQ112" s="542"/>
      <c r="OLR112" s="542"/>
      <c r="OLS112" s="542"/>
      <c r="OLT112" s="542"/>
      <c r="OLU112" s="542"/>
      <c r="OLV112" s="542"/>
      <c r="OLW112" s="542"/>
      <c r="OLX112" s="542"/>
      <c r="OLY112" s="542"/>
      <c r="OLZ112" s="542"/>
      <c r="OMA112" s="542"/>
      <c r="OMB112" s="542"/>
      <c r="OMC112" s="542"/>
      <c r="OMD112" s="542"/>
      <c r="OME112" s="542"/>
      <c r="OMF112" s="542"/>
      <c r="OMG112" s="542"/>
      <c r="OMH112" s="542"/>
      <c r="OMI112" s="542"/>
      <c r="OMJ112" s="542"/>
      <c r="OMK112" s="542"/>
      <c r="OML112" s="542"/>
      <c r="OMM112" s="542"/>
      <c r="OMN112" s="542"/>
      <c r="OMO112" s="542"/>
      <c r="OMP112" s="542"/>
      <c r="OMQ112" s="542"/>
      <c r="OMR112" s="542"/>
      <c r="OMS112" s="542"/>
      <c r="OMT112" s="542"/>
      <c r="OMU112" s="542"/>
      <c r="OMV112" s="542"/>
      <c r="OMW112" s="542"/>
      <c r="OMX112" s="542"/>
      <c r="OMY112" s="542"/>
      <c r="OMZ112" s="542"/>
      <c r="ONA112" s="542"/>
      <c r="ONB112" s="542"/>
      <c r="ONC112" s="542"/>
      <c r="OND112" s="542"/>
      <c r="ONE112" s="542"/>
      <c r="ONF112" s="542"/>
      <c r="ONG112" s="542"/>
      <c r="ONH112" s="542"/>
      <c r="ONI112" s="542"/>
      <c r="ONJ112" s="542"/>
      <c r="ONK112" s="542"/>
      <c r="ONL112" s="542"/>
      <c r="ONM112" s="542"/>
      <c r="ONN112" s="542"/>
      <c r="ONO112" s="542"/>
      <c r="ONP112" s="542"/>
      <c r="ONQ112" s="542"/>
      <c r="ONR112" s="542"/>
      <c r="ONS112" s="542"/>
      <c r="ONT112" s="542"/>
      <c r="ONU112" s="542"/>
      <c r="ONV112" s="542"/>
      <c r="ONW112" s="542"/>
      <c r="ONX112" s="542"/>
      <c r="ONY112" s="542"/>
      <c r="ONZ112" s="542"/>
      <c r="OOA112" s="542"/>
      <c r="OOB112" s="542"/>
      <c r="OOC112" s="542"/>
      <c r="OOD112" s="542"/>
      <c r="OOE112" s="542"/>
      <c r="OOF112" s="542"/>
      <c r="OOG112" s="542"/>
      <c r="OOH112" s="542"/>
      <c r="OOI112" s="542"/>
      <c r="OOJ112" s="542"/>
      <c r="OOK112" s="542"/>
      <c r="OOL112" s="542"/>
      <c r="OOM112" s="542"/>
      <c r="OON112" s="542"/>
      <c r="OOO112" s="542"/>
      <c r="OOP112" s="542"/>
      <c r="OOQ112" s="542"/>
      <c r="OOR112" s="542"/>
      <c r="OOS112" s="542"/>
      <c r="OOT112" s="542"/>
      <c r="OOU112" s="542"/>
      <c r="OOV112" s="542"/>
      <c r="OOW112" s="542"/>
      <c r="OOX112" s="542"/>
      <c r="OOY112" s="542"/>
      <c r="OOZ112" s="542"/>
      <c r="OPA112" s="542"/>
      <c r="OPB112" s="542"/>
      <c r="OPC112" s="542"/>
      <c r="OPD112" s="542"/>
      <c r="OPE112" s="542"/>
      <c r="OPF112" s="542"/>
      <c r="OPG112" s="542"/>
      <c r="OPH112" s="542"/>
      <c r="OPI112" s="542"/>
      <c r="OPJ112" s="542"/>
      <c r="OPK112" s="542"/>
      <c r="OPL112" s="542"/>
      <c r="OPM112" s="542"/>
      <c r="OPN112" s="542"/>
      <c r="OPO112" s="542"/>
      <c r="OPP112" s="542"/>
      <c r="OPQ112" s="542"/>
      <c r="OPR112" s="542"/>
      <c r="OPS112" s="542"/>
      <c r="OPT112" s="542"/>
      <c r="OPU112" s="542"/>
      <c r="OPV112" s="542"/>
      <c r="OPW112" s="542"/>
      <c r="OPX112" s="542"/>
      <c r="OPY112" s="542"/>
      <c r="OPZ112" s="542"/>
      <c r="OQA112" s="542"/>
      <c r="OQB112" s="542"/>
      <c r="OQC112" s="542"/>
      <c r="OQD112" s="542"/>
      <c r="OQE112" s="542"/>
      <c r="OQF112" s="542"/>
      <c r="OQG112" s="542"/>
      <c r="OQH112" s="542"/>
      <c r="OQI112" s="542"/>
      <c r="OQJ112" s="542"/>
      <c r="OQK112" s="542"/>
      <c r="OQL112" s="542"/>
      <c r="OQM112" s="542"/>
      <c r="OQN112" s="542"/>
      <c r="OQO112" s="542"/>
      <c r="OQP112" s="542"/>
      <c r="OQQ112" s="542"/>
      <c r="OQR112" s="542"/>
      <c r="OQS112" s="542"/>
      <c r="OQT112" s="542"/>
      <c r="OQU112" s="542"/>
      <c r="OQV112" s="542"/>
      <c r="OQW112" s="542"/>
      <c r="OQX112" s="542"/>
      <c r="OQY112" s="542"/>
      <c r="OQZ112" s="542"/>
      <c r="ORA112" s="542"/>
      <c r="ORB112" s="542"/>
      <c r="ORC112" s="542"/>
      <c r="ORD112" s="542"/>
      <c r="ORE112" s="542"/>
      <c r="ORF112" s="542"/>
      <c r="ORG112" s="542"/>
      <c r="ORH112" s="542"/>
      <c r="ORI112" s="542"/>
      <c r="ORJ112" s="542"/>
      <c r="ORK112" s="542"/>
      <c r="ORL112" s="542"/>
      <c r="ORM112" s="542"/>
      <c r="ORN112" s="542"/>
      <c r="ORO112" s="542"/>
      <c r="ORP112" s="542"/>
      <c r="ORQ112" s="542"/>
      <c r="ORR112" s="542"/>
      <c r="ORS112" s="542"/>
      <c r="ORT112" s="542"/>
      <c r="ORU112" s="542"/>
      <c r="ORV112" s="542"/>
      <c r="ORW112" s="542"/>
      <c r="ORX112" s="542"/>
      <c r="ORY112" s="542"/>
      <c r="ORZ112" s="542"/>
      <c r="OSA112" s="542"/>
      <c r="OSB112" s="542"/>
      <c r="OSC112" s="542"/>
      <c r="OSD112" s="542"/>
      <c r="OSE112" s="542"/>
      <c r="OSF112" s="542"/>
      <c r="OSG112" s="542"/>
      <c r="OSH112" s="542"/>
      <c r="OSI112" s="542"/>
      <c r="OSJ112" s="542"/>
      <c r="OSK112" s="542"/>
      <c r="OSL112" s="542"/>
      <c r="OSM112" s="542"/>
      <c r="OSN112" s="542"/>
      <c r="OSO112" s="542"/>
      <c r="OSP112" s="542"/>
      <c r="OSQ112" s="542"/>
      <c r="OSR112" s="542"/>
      <c r="OSS112" s="542"/>
      <c r="OST112" s="542"/>
      <c r="OSU112" s="542"/>
      <c r="OSV112" s="542"/>
      <c r="OSW112" s="542"/>
      <c r="OSX112" s="542"/>
      <c r="OSY112" s="542"/>
      <c r="OSZ112" s="542"/>
      <c r="OTA112" s="542"/>
      <c r="OTB112" s="542"/>
      <c r="OTC112" s="542"/>
      <c r="OTD112" s="542"/>
      <c r="OTE112" s="542"/>
      <c r="OTF112" s="542"/>
      <c r="OTG112" s="542"/>
      <c r="OTH112" s="542"/>
      <c r="OTI112" s="542"/>
      <c r="OTJ112" s="542"/>
      <c r="OTK112" s="542"/>
      <c r="OTL112" s="542"/>
      <c r="OTM112" s="542"/>
      <c r="OTN112" s="542"/>
      <c r="OTO112" s="542"/>
      <c r="OTP112" s="542"/>
      <c r="OTQ112" s="542"/>
      <c r="OTR112" s="542"/>
      <c r="OTS112" s="542"/>
      <c r="OTT112" s="542"/>
      <c r="OTU112" s="542"/>
      <c r="OTV112" s="542"/>
      <c r="OTW112" s="542"/>
      <c r="OTX112" s="542"/>
      <c r="OTY112" s="542"/>
      <c r="OTZ112" s="542"/>
      <c r="OUA112" s="542"/>
      <c r="OUB112" s="542"/>
      <c r="OUC112" s="542"/>
      <c r="OUD112" s="542"/>
      <c r="OUE112" s="542"/>
      <c r="OUF112" s="542"/>
      <c r="OUG112" s="542"/>
      <c r="OUH112" s="542"/>
      <c r="OUI112" s="542"/>
      <c r="OUJ112" s="542"/>
      <c r="OUK112" s="542"/>
      <c r="OUL112" s="542"/>
      <c r="OUM112" s="542"/>
      <c r="OUN112" s="542"/>
      <c r="OUO112" s="542"/>
      <c r="OUP112" s="542"/>
      <c r="OUQ112" s="542"/>
      <c r="OUR112" s="542"/>
      <c r="OUS112" s="542"/>
      <c r="OUT112" s="542"/>
      <c r="OUU112" s="542"/>
      <c r="OUV112" s="542"/>
      <c r="OUW112" s="542"/>
      <c r="OUX112" s="542"/>
      <c r="OUY112" s="542"/>
      <c r="OUZ112" s="542"/>
      <c r="OVA112" s="542"/>
      <c r="OVB112" s="542"/>
      <c r="OVC112" s="542"/>
      <c r="OVD112" s="542"/>
      <c r="OVE112" s="542"/>
      <c r="OVF112" s="542"/>
      <c r="OVG112" s="542"/>
      <c r="OVH112" s="542"/>
      <c r="OVI112" s="542"/>
      <c r="OVJ112" s="542"/>
      <c r="OVK112" s="542"/>
      <c r="OVL112" s="542"/>
      <c r="OVM112" s="542"/>
      <c r="OVN112" s="542"/>
      <c r="OVO112" s="542"/>
      <c r="OVP112" s="542"/>
      <c r="OVQ112" s="542"/>
      <c r="OVR112" s="542"/>
      <c r="OVS112" s="542"/>
      <c r="OVT112" s="542"/>
      <c r="OVU112" s="542"/>
      <c r="OVV112" s="542"/>
      <c r="OVW112" s="542"/>
      <c r="OVX112" s="542"/>
      <c r="OVY112" s="542"/>
      <c r="OVZ112" s="542"/>
      <c r="OWA112" s="542"/>
      <c r="OWB112" s="542"/>
      <c r="OWC112" s="542"/>
      <c r="OWD112" s="542"/>
      <c r="OWE112" s="542"/>
      <c r="OWF112" s="542"/>
      <c r="OWG112" s="542"/>
      <c r="OWH112" s="542"/>
      <c r="OWI112" s="542"/>
      <c r="OWJ112" s="542"/>
      <c r="OWK112" s="542"/>
      <c r="OWL112" s="542"/>
      <c r="OWM112" s="542"/>
      <c r="OWN112" s="542"/>
      <c r="OWO112" s="542"/>
      <c r="OWP112" s="542"/>
      <c r="OWQ112" s="542"/>
      <c r="OWR112" s="542"/>
      <c r="OWS112" s="542"/>
      <c r="OWT112" s="542"/>
      <c r="OWU112" s="542"/>
      <c r="OWV112" s="542"/>
      <c r="OWW112" s="542"/>
      <c r="OWX112" s="542"/>
      <c r="OWY112" s="542"/>
      <c r="OWZ112" s="542"/>
      <c r="OXA112" s="542"/>
      <c r="OXB112" s="542"/>
      <c r="OXC112" s="542"/>
      <c r="OXD112" s="542"/>
      <c r="OXE112" s="542"/>
      <c r="OXF112" s="542"/>
      <c r="OXG112" s="542"/>
      <c r="OXH112" s="542"/>
      <c r="OXI112" s="542"/>
      <c r="OXJ112" s="542"/>
      <c r="OXK112" s="542"/>
      <c r="OXL112" s="542"/>
      <c r="OXM112" s="542"/>
      <c r="OXN112" s="542"/>
      <c r="OXO112" s="542"/>
      <c r="OXP112" s="542"/>
      <c r="OXQ112" s="542"/>
      <c r="OXR112" s="542"/>
      <c r="OXS112" s="542"/>
      <c r="OXT112" s="542"/>
      <c r="OXU112" s="542"/>
      <c r="OXV112" s="542"/>
      <c r="OXW112" s="542"/>
      <c r="OXX112" s="542"/>
      <c r="OXY112" s="542"/>
      <c r="OXZ112" s="542"/>
      <c r="OYA112" s="542"/>
      <c r="OYB112" s="542"/>
      <c r="OYC112" s="542"/>
      <c r="OYD112" s="542"/>
      <c r="OYE112" s="542"/>
      <c r="OYF112" s="542"/>
      <c r="OYG112" s="542"/>
      <c r="OYH112" s="542"/>
      <c r="OYI112" s="542"/>
      <c r="OYJ112" s="542"/>
      <c r="OYK112" s="542"/>
      <c r="OYL112" s="542"/>
      <c r="OYM112" s="542"/>
      <c r="OYN112" s="542"/>
      <c r="OYO112" s="542"/>
      <c r="OYP112" s="542"/>
      <c r="OYQ112" s="542"/>
      <c r="OYR112" s="542"/>
      <c r="OYS112" s="542"/>
      <c r="OYT112" s="542"/>
      <c r="OYU112" s="542"/>
      <c r="OYV112" s="542"/>
      <c r="OYW112" s="542"/>
      <c r="OYX112" s="542"/>
      <c r="OYY112" s="542"/>
      <c r="OYZ112" s="542"/>
      <c r="OZA112" s="542"/>
      <c r="OZB112" s="542"/>
      <c r="OZC112" s="542"/>
      <c r="OZD112" s="542"/>
      <c r="OZE112" s="542"/>
      <c r="OZF112" s="542"/>
      <c r="OZG112" s="542"/>
      <c r="OZH112" s="542"/>
      <c r="OZI112" s="542"/>
      <c r="OZJ112" s="542"/>
      <c r="OZK112" s="542"/>
      <c r="OZL112" s="542"/>
      <c r="OZM112" s="542"/>
      <c r="OZN112" s="542"/>
      <c r="OZO112" s="542"/>
      <c r="OZP112" s="542"/>
      <c r="OZQ112" s="542"/>
      <c r="OZR112" s="542"/>
      <c r="OZS112" s="542"/>
      <c r="OZT112" s="542"/>
      <c r="OZU112" s="542"/>
      <c r="OZV112" s="542"/>
      <c r="OZW112" s="542"/>
      <c r="OZX112" s="542"/>
      <c r="OZY112" s="542"/>
      <c r="OZZ112" s="542"/>
      <c r="PAA112" s="542"/>
      <c r="PAB112" s="542"/>
      <c r="PAC112" s="542"/>
      <c r="PAD112" s="542"/>
      <c r="PAE112" s="542"/>
      <c r="PAF112" s="542"/>
      <c r="PAG112" s="542"/>
      <c r="PAH112" s="542"/>
      <c r="PAI112" s="542"/>
      <c r="PAJ112" s="542"/>
      <c r="PAK112" s="542"/>
      <c r="PAL112" s="542"/>
      <c r="PAM112" s="542"/>
      <c r="PAN112" s="542"/>
      <c r="PAO112" s="542"/>
      <c r="PAP112" s="542"/>
      <c r="PAQ112" s="542"/>
      <c r="PAR112" s="542"/>
      <c r="PAS112" s="542"/>
      <c r="PAT112" s="542"/>
      <c r="PAU112" s="542"/>
      <c r="PAV112" s="542"/>
      <c r="PAW112" s="542"/>
      <c r="PAX112" s="542"/>
      <c r="PAY112" s="542"/>
      <c r="PAZ112" s="542"/>
      <c r="PBA112" s="542"/>
      <c r="PBB112" s="542"/>
      <c r="PBC112" s="542"/>
      <c r="PBD112" s="542"/>
      <c r="PBE112" s="542"/>
      <c r="PBF112" s="542"/>
      <c r="PBG112" s="542"/>
      <c r="PBH112" s="542"/>
      <c r="PBI112" s="542"/>
      <c r="PBJ112" s="542"/>
      <c r="PBK112" s="542"/>
      <c r="PBL112" s="542"/>
      <c r="PBM112" s="542"/>
      <c r="PBN112" s="542"/>
      <c r="PBO112" s="542"/>
      <c r="PBP112" s="542"/>
      <c r="PBQ112" s="542"/>
      <c r="PBR112" s="542"/>
      <c r="PBS112" s="542"/>
      <c r="PBT112" s="542"/>
      <c r="PBU112" s="542"/>
      <c r="PBV112" s="542"/>
      <c r="PBW112" s="542"/>
      <c r="PBX112" s="542"/>
      <c r="PBY112" s="542"/>
      <c r="PBZ112" s="542"/>
      <c r="PCA112" s="542"/>
      <c r="PCB112" s="542"/>
      <c r="PCC112" s="542"/>
      <c r="PCD112" s="542"/>
      <c r="PCE112" s="542"/>
      <c r="PCF112" s="542"/>
      <c r="PCG112" s="542"/>
      <c r="PCH112" s="542"/>
      <c r="PCI112" s="542"/>
      <c r="PCJ112" s="542"/>
      <c r="PCK112" s="542"/>
      <c r="PCL112" s="542"/>
      <c r="PCM112" s="542"/>
      <c r="PCN112" s="542"/>
      <c r="PCO112" s="542"/>
      <c r="PCP112" s="542"/>
      <c r="PCQ112" s="542"/>
      <c r="PCR112" s="542"/>
      <c r="PCS112" s="542"/>
      <c r="PCT112" s="542"/>
      <c r="PCU112" s="542"/>
      <c r="PCV112" s="542"/>
      <c r="PCW112" s="542"/>
      <c r="PCX112" s="542"/>
      <c r="PCY112" s="542"/>
      <c r="PCZ112" s="542"/>
      <c r="PDA112" s="542"/>
      <c r="PDB112" s="542"/>
      <c r="PDC112" s="542"/>
      <c r="PDD112" s="542"/>
      <c r="PDE112" s="542"/>
      <c r="PDF112" s="542"/>
      <c r="PDG112" s="542"/>
      <c r="PDH112" s="542"/>
      <c r="PDI112" s="542"/>
      <c r="PDJ112" s="542"/>
      <c r="PDK112" s="542"/>
      <c r="PDL112" s="542"/>
      <c r="PDM112" s="542"/>
      <c r="PDN112" s="542"/>
      <c r="PDO112" s="542"/>
      <c r="PDP112" s="542"/>
      <c r="PDQ112" s="542"/>
      <c r="PDR112" s="542"/>
      <c r="PDS112" s="542"/>
      <c r="PDT112" s="542"/>
      <c r="PDU112" s="542"/>
      <c r="PDV112" s="542"/>
      <c r="PDW112" s="542"/>
      <c r="PDX112" s="542"/>
      <c r="PDY112" s="542"/>
      <c r="PDZ112" s="542"/>
      <c r="PEA112" s="542"/>
      <c r="PEB112" s="542"/>
      <c r="PEC112" s="542"/>
      <c r="PED112" s="542"/>
      <c r="PEE112" s="542"/>
      <c r="PEF112" s="542"/>
      <c r="PEG112" s="542"/>
      <c r="PEH112" s="542"/>
      <c r="PEI112" s="542"/>
      <c r="PEJ112" s="542"/>
      <c r="PEK112" s="542"/>
      <c r="PEL112" s="542"/>
      <c r="PEM112" s="542"/>
      <c r="PEN112" s="542"/>
      <c r="PEO112" s="542"/>
      <c r="PEP112" s="542"/>
      <c r="PEQ112" s="542"/>
      <c r="PER112" s="542"/>
      <c r="PES112" s="542"/>
      <c r="PET112" s="542"/>
      <c r="PEU112" s="542"/>
      <c r="PEV112" s="542"/>
      <c r="PEW112" s="542"/>
      <c r="PEX112" s="542"/>
      <c r="PEY112" s="542"/>
      <c r="PEZ112" s="542"/>
      <c r="PFA112" s="542"/>
      <c r="PFB112" s="542"/>
      <c r="PFC112" s="542"/>
      <c r="PFD112" s="542"/>
      <c r="PFE112" s="542"/>
      <c r="PFF112" s="542"/>
      <c r="PFG112" s="542"/>
      <c r="PFH112" s="542"/>
      <c r="PFI112" s="542"/>
      <c r="PFJ112" s="542"/>
      <c r="PFK112" s="542"/>
      <c r="PFL112" s="542"/>
      <c r="PFM112" s="542"/>
      <c r="PFN112" s="542"/>
      <c r="PFO112" s="542"/>
      <c r="PFP112" s="542"/>
      <c r="PFQ112" s="542"/>
      <c r="PFR112" s="542"/>
      <c r="PFS112" s="542"/>
      <c r="PFT112" s="542"/>
      <c r="PFU112" s="542"/>
      <c r="PFV112" s="542"/>
      <c r="PFW112" s="542"/>
      <c r="PFX112" s="542"/>
      <c r="PFY112" s="542"/>
      <c r="PFZ112" s="542"/>
      <c r="PGA112" s="542"/>
      <c r="PGB112" s="542"/>
      <c r="PGC112" s="542"/>
      <c r="PGD112" s="542"/>
      <c r="PGE112" s="542"/>
      <c r="PGF112" s="542"/>
      <c r="PGG112" s="542"/>
      <c r="PGH112" s="542"/>
      <c r="PGI112" s="542"/>
      <c r="PGJ112" s="542"/>
      <c r="PGK112" s="542"/>
      <c r="PGL112" s="542"/>
      <c r="PGM112" s="542"/>
      <c r="PGN112" s="542"/>
      <c r="PGO112" s="542"/>
      <c r="PGP112" s="542"/>
      <c r="PGQ112" s="542"/>
      <c r="PGR112" s="542"/>
      <c r="PGS112" s="542"/>
      <c r="PGT112" s="542"/>
      <c r="PGU112" s="542"/>
      <c r="PGV112" s="542"/>
      <c r="PGW112" s="542"/>
      <c r="PGX112" s="542"/>
      <c r="PGY112" s="542"/>
      <c r="PGZ112" s="542"/>
      <c r="PHA112" s="542"/>
      <c r="PHB112" s="542"/>
      <c r="PHC112" s="542"/>
      <c r="PHD112" s="542"/>
      <c r="PHE112" s="542"/>
      <c r="PHF112" s="542"/>
      <c r="PHG112" s="542"/>
      <c r="PHH112" s="542"/>
      <c r="PHI112" s="542"/>
      <c r="PHJ112" s="542"/>
      <c r="PHK112" s="542"/>
      <c r="PHL112" s="542"/>
      <c r="PHM112" s="542"/>
      <c r="PHN112" s="542"/>
      <c r="PHO112" s="542"/>
      <c r="PHP112" s="542"/>
      <c r="PHQ112" s="542"/>
      <c r="PHR112" s="542"/>
      <c r="PHS112" s="542"/>
      <c r="PHT112" s="542"/>
      <c r="PHU112" s="542"/>
      <c r="PHV112" s="542"/>
      <c r="PHW112" s="542"/>
      <c r="PHX112" s="542"/>
      <c r="PHY112" s="542"/>
      <c r="PHZ112" s="542"/>
      <c r="PIA112" s="542"/>
      <c r="PIB112" s="542"/>
      <c r="PIC112" s="542"/>
      <c r="PID112" s="542"/>
      <c r="PIE112" s="542"/>
      <c r="PIF112" s="542"/>
      <c r="PIG112" s="542"/>
      <c r="PIH112" s="542"/>
      <c r="PII112" s="542"/>
      <c r="PIJ112" s="542"/>
      <c r="PIK112" s="542"/>
      <c r="PIL112" s="542"/>
      <c r="PIM112" s="542"/>
      <c r="PIN112" s="542"/>
      <c r="PIO112" s="542"/>
      <c r="PIP112" s="542"/>
      <c r="PIQ112" s="542"/>
      <c r="PIR112" s="542"/>
      <c r="PIS112" s="542"/>
      <c r="PIT112" s="542"/>
      <c r="PIU112" s="542"/>
      <c r="PIV112" s="542"/>
      <c r="PIW112" s="542"/>
      <c r="PIX112" s="542"/>
      <c r="PIY112" s="542"/>
      <c r="PIZ112" s="542"/>
      <c r="PJA112" s="542"/>
      <c r="PJB112" s="542"/>
      <c r="PJC112" s="542"/>
      <c r="PJD112" s="542"/>
      <c r="PJE112" s="542"/>
      <c r="PJF112" s="542"/>
      <c r="PJG112" s="542"/>
      <c r="PJH112" s="542"/>
      <c r="PJI112" s="542"/>
      <c r="PJJ112" s="542"/>
      <c r="PJK112" s="542"/>
      <c r="PJL112" s="542"/>
      <c r="PJM112" s="542"/>
      <c r="PJN112" s="542"/>
      <c r="PJO112" s="542"/>
      <c r="PJP112" s="542"/>
      <c r="PJQ112" s="542"/>
      <c r="PJR112" s="542"/>
      <c r="PJS112" s="542"/>
      <c r="PJT112" s="542"/>
      <c r="PJU112" s="542"/>
      <c r="PJV112" s="542"/>
      <c r="PJW112" s="542"/>
      <c r="PJX112" s="542"/>
      <c r="PJY112" s="542"/>
      <c r="PJZ112" s="542"/>
      <c r="PKA112" s="542"/>
      <c r="PKB112" s="542"/>
      <c r="PKC112" s="542"/>
      <c r="PKD112" s="542"/>
      <c r="PKE112" s="542"/>
      <c r="PKF112" s="542"/>
      <c r="PKG112" s="542"/>
      <c r="PKH112" s="542"/>
      <c r="PKI112" s="542"/>
      <c r="PKJ112" s="542"/>
      <c r="PKK112" s="542"/>
      <c r="PKL112" s="542"/>
      <c r="PKM112" s="542"/>
      <c r="PKN112" s="542"/>
      <c r="PKO112" s="542"/>
      <c r="PKP112" s="542"/>
      <c r="PKQ112" s="542"/>
      <c r="PKR112" s="542"/>
      <c r="PKS112" s="542"/>
      <c r="PKT112" s="542"/>
      <c r="PKU112" s="542"/>
      <c r="PKV112" s="542"/>
      <c r="PKW112" s="542"/>
      <c r="PKX112" s="542"/>
      <c r="PKY112" s="542"/>
      <c r="PKZ112" s="542"/>
      <c r="PLA112" s="542"/>
      <c r="PLB112" s="542"/>
      <c r="PLC112" s="542"/>
      <c r="PLD112" s="542"/>
      <c r="PLE112" s="542"/>
      <c r="PLF112" s="542"/>
      <c r="PLG112" s="542"/>
      <c r="PLH112" s="542"/>
      <c r="PLI112" s="542"/>
      <c r="PLJ112" s="542"/>
      <c r="PLK112" s="542"/>
      <c r="PLL112" s="542"/>
      <c r="PLM112" s="542"/>
      <c r="PLN112" s="542"/>
      <c r="PLO112" s="542"/>
      <c r="PLP112" s="542"/>
      <c r="PLQ112" s="542"/>
      <c r="PLR112" s="542"/>
      <c r="PLS112" s="542"/>
      <c r="PLT112" s="542"/>
      <c r="PLU112" s="542"/>
      <c r="PLV112" s="542"/>
      <c r="PLW112" s="542"/>
      <c r="PLX112" s="542"/>
      <c r="PLY112" s="542"/>
      <c r="PLZ112" s="542"/>
      <c r="PMA112" s="542"/>
      <c r="PMB112" s="542"/>
      <c r="PMC112" s="542"/>
      <c r="PMD112" s="542"/>
      <c r="PME112" s="542"/>
      <c r="PMF112" s="542"/>
      <c r="PMG112" s="542"/>
      <c r="PMH112" s="542"/>
      <c r="PMI112" s="542"/>
      <c r="PMJ112" s="542"/>
      <c r="PMK112" s="542"/>
      <c r="PML112" s="542"/>
      <c r="PMM112" s="542"/>
      <c r="PMN112" s="542"/>
      <c r="PMO112" s="542"/>
      <c r="PMP112" s="542"/>
      <c r="PMQ112" s="542"/>
      <c r="PMR112" s="542"/>
      <c r="PMS112" s="542"/>
      <c r="PMT112" s="542"/>
      <c r="PMU112" s="542"/>
      <c r="PMV112" s="542"/>
      <c r="PMW112" s="542"/>
      <c r="PMX112" s="542"/>
      <c r="PMY112" s="542"/>
      <c r="PMZ112" s="542"/>
      <c r="PNA112" s="542"/>
      <c r="PNB112" s="542"/>
      <c r="PNC112" s="542"/>
      <c r="PND112" s="542"/>
      <c r="PNE112" s="542"/>
      <c r="PNF112" s="542"/>
      <c r="PNG112" s="542"/>
      <c r="PNH112" s="542"/>
      <c r="PNI112" s="542"/>
      <c r="PNJ112" s="542"/>
      <c r="PNK112" s="542"/>
      <c r="PNL112" s="542"/>
      <c r="PNM112" s="542"/>
      <c r="PNN112" s="542"/>
      <c r="PNO112" s="542"/>
      <c r="PNP112" s="542"/>
      <c r="PNQ112" s="542"/>
      <c r="PNR112" s="542"/>
      <c r="PNS112" s="542"/>
      <c r="PNT112" s="542"/>
      <c r="PNU112" s="542"/>
      <c r="PNV112" s="542"/>
      <c r="PNW112" s="542"/>
      <c r="PNX112" s="542"/>
      <c r="PNY112" s="542"/>
      <c r="PNZ112" s="542"/>
      <c r="POA112" s="542"/>
      <c r="POB112" s="542"/>
      <c r="POC112" s="542"/>
      <c r="POD112" s="542"/>
      <c r="POE112" s="542"/>
      <c r="POF112" s="542"/>
      <c r="POG112" s="542"/>
      <c r="POH112" s="542"/>
      <c r="POI112" s="542"/>
      <c r="POJ112" s="542"/>
      <c r="POK112" s="542"/>
      <c r="POL112" s="542"/>
      <c r="POM112" s="542"/>
      <c r="PON112" s="542"/>
      <c r="POO112" s="542"/>
      <c r="POP112" s="542"/>
      <c r="POQ112" s="542"/>
      <c r="POR112" s="542"/>
      <c r="POS112" s="542"/>
      <c r="POT112" s="542"/>
      <c r="POU112" s="542"/>
      <c r="POV112" s="542"/>
      <c r="POW112" s="542"/>
      <c r="POX112" s="542"/>
      <c r="POY112" s="542"/>
      <c r="POZ112" s="542"/>
      <c r="PPA112" s="542"/>
      <c r="PPB112" s="542"/>
      <c r="PPC112" s="542"/>
      <c r="PPD112" s="542"/>
      <c r="PPE112" s="542"/>
      <c r="PPF112" s="542"/>
      <c r="PPG112" s="542"/>
      <c r="PPH112" s="542"/>
      <c r="PPI112" s="542"/>
      <c r="PPJ112" s="542"/>
      <c r="PPK112" s="542"/>
      <c r="PPL112" s="542"/>
      <c r="PPM112" s="542"/>
      <c r="PPN112" s="542"/>
      <c r="PPO112" s="542"/>
      <c r="PPP112" s="542"/>
      <c r="PPQ112" s="542"/>
      <c r="PPR112" s="542"/>
      <c r="PPS112" s="542"/>
      <c r="PPT112" s="542"/>
      <c r="PPU112" s="542"/>
      <c r="PPV112" s="542"/>
      <c r="PPW112" s="542"/>
      <c r="PPX112" s="542"/>
      <c r="PPY112" s="542"/>
      <c r="PPZ112" s="542"/>
      <c r="PQA112" s="542"/>
      <c r="PQB112" s="542"/>
      <c r="PQC112" s="542"/>
      <c r="PQD112" s="542"/>
      <c r="PQE112" s="542"/>
      <c r="PQF112" s="542"/>
      <c r="PQG112" s="542"/>
      <c r="PQH112" s="542"/>
      <c r="PQI112" s="542"/>
      <c r="PQJ112" s="542"/>
      <c r="PQK112" s="542"/>
      <c r="PQL112" s="542"/>
      <c r="PQM112" s="542"/>
      <c r="PQN112" s="542"/>
      <c r="PQO112" s="542"/>
      <c r="PQP112" s="542"/>
      <c r="PQQ112" s="542"/>
      <c r="PQR112" s="542"/>
      <c r="PQS112" s="542"/>
      <c r="PQT112" s="542"/>
      <c r="PQU112" s="542"/>
      <c r="PQV112" s="542"/>
      <c r="PQW112" s="542"/>
      <c r="PQX112" s="542"/>
      <c r="PQY112" s="542"/>
      <c r="PQZ112" s="542"/>
      <c r="PRA112" s="542"/>
      <c r="PRB112" s="542"/>
      <c r="PRC112" s="542"/>
      <c r="PRD112" s="542"/>
      <c r="PRE112" s="542"/>
      <c r="PRF112" s="542"/>
      <c r="PRG112" s="542"/>
      <c r="PRH112" s="542"/>
      <c r="PRI112" s="542"/>
      <c r="PRJ112" s="542"/>
      <c r="PRK112" s="542"/>
      <c r="PRL112" s="542"/>
      <c r="PRM112" s="542"/>
      <c r="PRN112" s="542"/>
      <c r="PRO112" s="542"/>
      <c r="PRP112" s="542"/>
      <c r="PRQ112" s="542"/>
      <c r="PRR112" s="542"/>
      <c r="PRS112" s="542"/>
      <c r="PRT112" s="542"/>
      <c r="PRU112" s="542"/>
      <c r="PRV112" s="542"/>
      <c r="PRW112" s="542"/>
      <c r="PRX112" s="542"/>
      <c r="PRY112" s="542"/>
      <c r="PRZ112" s="542"/>
      <c r="PSA112" s="542"/>
      <c r="PSB112" s="542"/>
      <c r="PSC112" s="542"/>
      <c r="PSD112" s="542"/>
      <c r="PSE112" s="542"/>
      <c r="PSF112" s="542"/>
      <c r="PSG112" s="542"/>
      <c r="PSH112" s="542"/>
      <c r="PSI112" s="542"/>
      <c r="PSJ112" s="542"/>
      <c r="PSK112" s="542"/>
      <c r="PSL112" s="542"/>
      <c r="PSM112" s="542"/>
      <c r="PSN112" s="542"/>
      <c r="PSO112" s="542"/>
      <c r="PSP112" s="542"/>
      <c r="PSQ112" s="542"/>
      <c r="PSR112" s="542"/>
      <c r="PSS112" s="542"/>
      <c r="PST112" s="542"/>
      <c r="PSU112" s="542"/>
      <c r="PSV112" s="542"/>
      <c r="PSW112" s="542"/>
      <c r="PSX112" s="542"/>
      <c r="PSY112" s="542"/>
      <c r="PSZ112" s="542"/>
      <c r="PTA112" s="542"/>
      <c r="PTB112" s="542"/>
      <c r="PTC112" s="542"/>
      <c r="PTD112" s="542"/>
      <c r="PTE112" s="542"/>
      <c r="PTF112" s="542"/>
      <c r="PTG112" s="542"/>
      <c r="PTH112" s="542"/>
      <c r="PTI112" s="542"/>
      <c r="PTJ112" s="542"/>
      <c r="PTK112" s="542"/>
      <c r="PTL112" s="542"/>
      <c r="PTM112" s="542"/>
      <c r="PTN112" s="542"/>
      <c r="PTO112" s="542"/>
      <c r="PTP112" s="542"/>
      <c r="PTQ112" s="542"/>
      <c r="PTR112" s="542"/>
      <c r="PTS112" s="542"/>
      <c r="PTT112" s="542"/>
      <c r="PTU112" s="542"/>
      <c r="PTV112" s="542"/>
      <c r="PTW112" s="542"/>
      <c r="PTX112" s="542"/>
      <c r="PTY112" s="542"/>
      <c r="PTZ112" s="542"/>
      <c r="PUA112" s="542"/>
      <c r="PUB112" s="542"/>
      <c r="PUC112" s="542"/>
      <c r="PUD112" s="542"/>
      <c r="PUE112" s="542"/>
      <c r="PUF112" s="542"/>
      <c r="PUG112" s="542"/>
      <c r="PUH112" s="542"/>
      <c r="PUI112" s="542"/>
      <c r="PUJ112" s="542"/>
      <c r="PUK112" s="542"/>
      <c r="PUL112" s="542"/>
      <c r="PUM112" s="542"/>
      <c r="PUN112" s="542"/>
      <c r="PUO112" s="542"/>
      <c r="PUP112" s="542"/>
      <c r="PUQ112" s="542"/>
      <c r="PUR112" s="542"/>
      <c r="PUS112" s="542"/>
      <c r="PUT112" s="542"/>
      <c r="PUU112" s="542"/>
      <c r="PUV112" s="542"/>
      <c r="PUW112" s="542"/>
      <c r="PUX112" s="542"/>
      <c r="PUY112" s="542"/>
      <c r="PUZ112" s="542"/>
      <c r="PVA112" s="542"/>
      <c r="PVB112" s="542"/>
      <c r="PVC112" s="542"/>
      <c r="PVD112" s="542"/>
      <c r="PVE112" s="542"/>
      <c r="PVF112" s="542"/>
      <c r="PVG112" s="542"/>
      <c r="PVH112" s="542"/>
      <c r="PVI112" s="542"/>
      <c r="PVJ112" s="542"/>
      <c r="PVK112" s="542"/>
      <c r="PVL112" s="542"/>
      <c r="PVM112" s="542"/>
      <c r="PVN112" s="542"/>
      <c r="PVO112" s="542"/>
      <c r="PVP112" s="542"/>
      <c r="PVQ112" s="542"/>
      <c r="PVR112" s="542"/>
      <c r="PVS112" s="542"/>
      <c r="PVT112" s="542"/>
      <c r="PVU112" s="542"/>
      <c r="PVV112" s="542"/>
      <c r="PVW112" s="542"/>
      <c r="PVX112" s="542"/>
      <c r="PVY112" s="542"/>
      <c r="PVZ112" s="542"/>
      <c r="PWA112" s="542"/>
      <c r="PWB112" s="542"/>
      <c r="PWC112" s="542"/>
      <c r="PWD112" s="542"/>
      <c r="PWE112" s="542"/>
      <c r="PWF112" s="542"/>
      <c r="PWG112" s="542"/>
      <c r="PWH112" s="542"/>
      <c r="PWI112" s="542"/>
      <c r="PWJ112" s="542"/>
      <c r="PWK112" s="542"/>
      <c r="PWL112" s="542"/>
      <c r="PWM112" s="542"/>
      <c r="PWN112" s="542"/>
      <c r="PWO112" s="542"/>
      <c r="PWP112" s="542"/>
      <c r="PWQ112" s="542"/>
      <c r="PWR112" s="542"/>
      <c r="PWS112" s="542"/>
      <c r="PWT112" s="542"/>
      <c r="PWU112" s="542"/>
      <c r="PWV112" s="542"/>
      <c r="PWW112" s="542"/>
      <c r="PWX112" s="542"/>
      <c r="PWY112" s="542"/>
      <c r="PWZ112" s="542"/>
      <c r="PXA112" s="542"/>
      <c r="PXB112" s="542"/>
      <c r="PXC112" s="542"/>
      <c r="PXD112" s="542"/>
      <c r="PXE112" s="542"/>
      <c r="PXF112" s="542"/>
      <c r="PXG112" s="542"/>
      <c r="PXH112" s="542"/>
      <c r="PXI112" s="542"/>
      <c r="PXJ112" s="542"/>
      <c r="PXK112" s="542"/>
      <c r="PXL112" s="542"/>
      <c r="PXM112" s="542"/>
      <c r="PXN112" s="542"/>
      <c r="PXO112" s="542"/>
      <c r="PXP112" s="542"/>
      <c r="PXQ112" s="542"/>
      <c r="PXR112" s="542"/>
      <c r="PXS112" s="542"/>
      <c r="PXT112" s="542"/>
      <c r="PXU112" s="542"/>
      <c r="PXV112" s="542"/>
      <c r="PXW112" s="542"/>
      <c r="PXX112" s="542"/>
      <c r="PXY112" s="542"/>
      <c r="PXZ112" s="542"/>
      <c r="PYA112" s="542"/>
      <c r="PYB112" s="542"/>
      <c r="PYC112" s="542"/>
      <c r="PYD112" s="542"/>
      <c r="PYE112" s="542"/>
      <c r="PYF112" s="542"/>
      <c r="PYG112" s="542"/>
      <c r="PYH112" s="542"/>
      <c r="PYI112" s="542"/>
      <c r="PYJ112" s="542"/>
      <c r="PYK112" s="542"/>
      <c r="PYL112" s="542"/>
      <c r="PYM112" s="542"/>
      <c r="PYN112" s="542"/>
      <c r="PYO112" s="542"/>
      <c r="PYP112" s="542"/>
      <c r="PYQ112" s="542"/>
      <c r="PYR112" s="542"/>
      <c r="PYS112" s="542"/>
      <c r="PYT112" s="542"/>
      <c r="PYU112" s="542"/>
      <c r="PYV112" s="542"/>
      <c r="PYW112" s="542"/>
      <c r="PYX112" s="542"/>
      <c r="PYY112" s="542"/>
      <c r="PYZ112" s="542"/>
      <c r="PZA112" s="542"/>
      <c r="PZB112" s="542"/>
      <c r="PZC112" s="542"/>
      <c r="PZD112" s="542"/>
      <c r="PZE112" s="542"/>
      <c r="PZF112" s="542"/>
      <c r="PZG112" s="542"/>
      <c r="PZH112" s="542"/>
      <c r="PZI112" s="542"/>
      <c r="PZJ112" s="542"/>
      <c r="PZK112" s="542"/>
      <c r="PZL112" s="542"/>
      <c r="PZM112" s="542"/>
      <c r="PZN112" s="542"/>
      <c r="PZO112" s="542"/>
      <c r="PZP112" s="542"/>
      <c r="PZQ112" s="542"/>
      <c r="PZR112" s="542"/>
      <c r="PZS112" s="542"/>
      <c r="PZT112" s="542"/>
      <c r="PZU112" s="542"/>
      <c r="PZV112" s="542"/>
      <c r="PZW112" s="542"/>
      <c r="PZX112" s="542"/>
      <c r="PZY112" s="542"/>
      <c r="PZZ112" s="542"/>
      <c r="QAA112" s="542"/>
      <c r="QAB112" s="542"/>
      <c r="QAC112" s="542"/>
      <c r="QAD112" s="542"/>
      <c r="QAE112" s="542"/>
      <c r="QAF112" s="542"/>
      <c r="QAG112" s="542"/>
      <c r="QAH112" s="542"/>
      <c r="QAI112" s="542"/>
      <c r="QAJ112" s="542"/>
      <c r="QAK112" s="542"/>
      <c r="QAL112" s="542"/>
      <c r="QAM112" s="542"/>
      <c r="QAN112" s="542"/>
      <c r="QAO112" s="542"/>
      <c r="QAP112" s="542"/>
      <c r="QAQ112" s="542"/>
      <c r="QAR112" s="542"/>
      <c r="QAS112" s="542"/>
      <c r="QAT112" s="542"/>
      <c r="QAU112" s="542"/>
      <c r="QAV112" s="542"/>
      <c r="QAW112" s="542"/>
      <c r="QAX112" s="542"/>
      <c r="QAY112" s="542"/>
      <c r="QAZ112" s="542"/>
      <c r="QBA112" s="542"/>
      <c r="QBB112" s="542"/>
      <c r="QBC112" s="542"/>
      <c r="QBD112" s="542"/>
      <c r="QBE112" s="542"/>
      <c r="QBF112" s="542"/>
      <c r="QBG112" s="542"/>
      <c r="QBH112" s="542"/>
      <c r="QBI112" s="542"/>
      <c r="QBJ112" s="542"/>
      <c r="QBK112" s="542"/>
      <c r="QBL112" s="542"/>
      <c r="QBM112" s="542"/>
      <c r="QBN112" s="542"/>
      <c r="QBO112" s="542"/>
      <c r="QBP112" s="542"/>
      <c r="QBQ112" s="542"/>
      <c r="QBR112" s="542"/>
      <c r="QBS112" s="542"/>
      <c r="QBT112" s="542"/>
      <c r="QBU112" s="542"/>
      <c r="QBV112" s="542"/>
      <c r="QBW112" s="542"/>
      <c r="QBX112" s="542"/>
      <c r="QBY112" s="542"/>
      <c r="QBZ112" s="542"/>
      <c r="QCA112" s="542"/>
      <c r="QCB112" s="542"/>
      <c r="QCC112" s="542"/>
      <c r="QCD112" s="542"/>
      <c r="QCE112" s="542"/>
      <c r="QCF112" s="542"/>
      <c r="QCG112" s="542"/>
      <c r="QCH112" s="542"/>
      <c r="QCI112" s="542"/>
      <c r="QCJ112" s="542"/>
      <c r="QCK112" s="542"/>
      <c r="QCL112" s="542"/>
      <c r="QCM112" s="542"/>
      <c r="QCN112" s="542"/>
      <c r="QCO112" s="542"/>
      <c r="QCP112" s="542"/>
      <c r="QCQ112" s="542"/>
      <c r="QCR112" s="542"/>
      <c r="QCS112" s="542"/>
      <c r="QCT112" s="542"/>
      <c r="QCU112" s="542"/>
      <c r="QCV112" s="542"/>
      <c r="QCW112" s="542"/>
      <c r="QCX112" s="542"/>
      <c r="QCY112" s="542"/>
      <c r="QCZ112" s="542"/>
      <c r="QDA112" s="542"/>
      <c r="QDB112" s="542"/>
      <c r="QDC112" s="542"/>
      <c r="QDD112" s="542"/>
      <c r="QDE112" s="542"/>
      <c r="QDF112" s="542"/>
      <c r="QDG112" s="542"/>
      <c r="QDH112" s="542"/>
      <c r="QDI112" s="542"/>
      <c r="QDJ112" s="542"/>
      <c r="QDK112" s="542"/>
      <c r="QDL112" s="542"/>
      <c r="QDM112" s="542"/>
      <c r="QDN112" s="542"/>
      <c r="QDO112" s="542"/>
      <c r="QDP112" s="542"/>
      <c r="QDQ112" s="542"/>
      <c r="QDR112" s="542"/>
      <c r="QDS112" s="542"/>
      <c r="QDT112" s="542"/>
      <c r="QDU112" s="542"/>
      <c r="QDV112" s="542"/>
      <c r="QDW112" s="542"/>
      <c r="QDX112" s="542"/>
      <c r="QDY112" s="542"/>
      <c r="QDZ112" s="542"/>
      <c r="QEA112" s="542"/>
      <c r="QEB112" s="542"/>
      <c r="QEC112" s="542"/>
      <c r="QED112" s="542"/>
      <c r="QEE112" s="542"/>
      <c r="QEF112" s="542"/>
      <c r="QEG112" s="542"/>
      <c r="QEH112" s="542"/>
      <c r="QEI112" s="542"/>
      <c r="QEJ112" s="542"/>
      <c r="QEK112" s="542"/>
      <c r="QEL112" s="542"/>
      <c r="QEM112" s="542"/>
      <c r="QEN112" s="542"/>
      <c r="QEO112" s="542"/>
      <c r="QEP112" s="542"/>
      <c r="QEQ112" s="542"/>
      <c r="QER112" s="542"/>
      <c r="QES112" s="542"/>
      <c r="QET112" s="542"/>
      <c r="QEU112" s="542"/>
      <c r="QEV112" s="542"/>
      <c r="QEW112" s="542"/>
      <c r="QEX112" s="542"/>
      <c r="QEY112" s="542"/>
      <c r="QEZ112" s="542"/>
      <c r="QFA112" s="542"/>
      <c r="QFB112" s="542"/>
      <c r="QFC112" s="542"/>
      <c r="QFD112" s="542"/>
      <c r="QFE112" s="542"/>
      <c r="QFF112" s="542"/>
      <c r="QFG112" s="542"/>
      <c r="QFH112" s="542"/>
      <c r="QFI112" s="542"/>
      <c r="QFJ112" s="542"/>
      <c r="QFK112" s="542"/>
      <c r="QFL112" s="542"/>
      <c r="QFM112" s="542"/>
      <c r="QFN112" s="542"/>
      <c r="QFO112" s="542"/>
      <c r="QFP112" s="542"/>
      <c r="QFQ112" s="542"/>
      <c r="QFR112" s="542"/>
      <c r="QFS112" s="542"/>
      <c r="QFT112" s="542"/>
      <c r="QFU112" s="542"/>
      <c r="QFV112" s="542"/>
      <c r="QFW112" s="542"/>
      <c r="QFX112" s="542"/>
      <c r="QFY112" s="542"/>
      <c r="QFZ112" s="542"/>
      <c r="QGA112" s="542"/>
      <c r="QGB112" s="542"/>
      <c r="QGC112" s="542"/>
      <c r="QGD112" s="542"/>
      <c r="QGE112" s="542"/>
      <c r="QGF112" s="542"/>
      <c r="QGG112" s="542"/>
      <c r="QGH112" s="542"/>
      <c r="QGI112" s="542"/>
      <c r="QGJ112" s="542"/>
      <c r="QGK112" s="542"/>
      <c r="QGL112" s="542"/>
      <c r="QGM112" s="542"/>
      <c r="QGN112" s="542"/>
      <c r="QGO112" s="542"/>
      <c r="QGP112" s="542"/>
      <c r="QGQ112" s="542"/>
      <c r="QGR112" s="542"/>
      <c r="QGS112" s="542"/>
      <c r="QGT112" s="542"/>
      <c r="QGU112" s="542"/>
      <c r="QGV112" s="542"/>
      <c r="QGW112" s="542"/>
      <c r="QGX112" s="542"/>
      <c r="QGY112" s="542"/>
      <c r="QGZ112" s="542"/>
      <c r="QHA112" s="542"/>
      <c r="QHB112" s="542"/>
      <c r="QHC112" s="542"/>
      <c r="QHD112" s="542"/>
      <c r="QHE112" s="542"/>
      <c r="QHF112" s="542"/>
      <c r="QHG112" s="542"/>
      <c r="QHH112" s="542"/>
      <c r="QHI112" s="542"/>
      <c r="QHJ112" s="542"/>
      <c r="QHK112" s="542"/>
      <c r="QHL112" s="542"/>
      <c r="QHM112" s="542"/>
      <c r="QHN112" s="542"/>
      <c r="QHO112" s="542"/>
      <c r="QHP112" s="542"/>
      <c r="QHQ112" s="542"/>
      <c r="QHR112" s="542"/>
      <c r="QHS112" s="542"/>
      <c r="QHT112" s="542"/>
      <c r="QHU112" s="542"/>
      <c r="QHV112" s="542"/>
      <c r="QHW112" s="542"/>
      <c r="QHX112" s="542"/>
      <c r="QHY112" s="542"/>
      <c r="QHZ112" s="542"/>
      <c r="QIA112" s="542"/>
      <c r="QIB112" s="542"/>
      <c r="QIC112" s="542"/>
      <c r="QID112" s="542"/>
      <c r="QIE112" s="542"/>
      <c r="QIF112" s="542"/>
      <c r="QIG112" s="542"/>
      <c r="QIH112" s="542"/>
      <c r="QII112" s="542"/>
      <c r="QIJ112" s="542"/>
      <c r="QIK112" s="542"/>
      <c r="QIL112" s="542"/>
      <c r="QIM112" s="542"/>
      <c r="QIN112" s="542"/>
      <c r="QIO112" s="542"/>
      <c r="QIP112" s="542"/>
      <c r="QIQ112" s="542"/>
      <c r="QIR112" s="542"/>
      <c r="QIS112" s="542"/>
      <c r="QIT112" s="542"/>
      <c r="QIU112" s="542"/>
      <c r="QIV112" s="542"/>
      <c r="QIW112" s="542"/>
      <c r="QIX112" s="542"/>
      <c r="QIY112" s="542"/>
      <c r="QIZ112" s="542"/>
      <c r="QJA112" s="542"/>
      <c r="QJB112" s="542"/>
      <c r="QJC112" s="542"/>
      <c r="QJD112" s="542"/>
      <c r="QJE112" s="542"/>
      <c r="QJF112" s="542"/>
      <c r="QJG112" s="542"/>
      <c r="QJH112" s="542"/>
      <c r="QJI112" s="542"/>
      <c r="QJJ112" s="542"/>
      <c r="QJK112" s="542"/>
      <c r="QJL112" s="542"/>
      <c r="QJM112" s="542"/>
      <c r="QJN112" s="542"/>
      <c r="QJO112" s="542"/>
      <c r="QJP112" s="542"/>
      <c r="QJQ112" s="542"/>
      <c r="QJR112" s="542"/>
      <c r="QJS112" s="542"/>
      <c r="QJT112" s="542"/>
      <c r="QJU112" s="542"/>
      <c r="QJV112" s="542"/>
      <c r="QJW112" s="542"/>
      <c r="QJX112" s="542"/>
      <c r="QJY112" s="542"/>
      <c r="QJZ112" s="542"/>
      <c r="QKA112" s="542"/>
      <c r="QKB112" s="542"/>
      <c r="QKC112" s="542"/>
      <c r="QKD112" s="542"/>
      <c r="QKE112" s="542"/>
      <c r="QKF112" s="542"/>
      <c r="QKG112" s="542"/>
      <c r="QKH112" s="542"/>
      <c r="QKI112" s="542"/>
      <c r="QKJ112" s="542"/>
      <c r="QKK112" s="542"/>
      <c r="QKL112" s="542"/>
      <c r="QKM112" s="542"/>
      <c r="QKN112" s="542"/>
      <c r="QKO112" s="542"/>
      <c r="QKP112" s="542"/>
      <c r="QKQ112" s="542"/>
      <c r="QKR112" s="542"/>
      <c r="QKS112" s="542"/>
      <c r="QKT112" s="542"/>
      <c r="QKU112" s="542"/>
      <c r="QKV112" s="542"/>
      <c r="QKW112" s="542"/>
      <c r="QKX112" s="542"/>
      <c r="QKY112" s="542"/>
      <c r="QKZ112" s="542"/>
      <c r="QLA112" s="542"/>
      <c r="QLB112" s="542"/>
      <c r="QLC112" s="542"/>
      <c r="QLD112" s="542"/>
      <c r="QLE112" s="542"/>
      <c r="QLF112" s="542"/>
      <c r="QLG112" s="542"/>
      <c r="QLH112" s="542"/>
      <c r="QLI112" s="542"/>
      <c r="QLJ112" s="542"/>
      <c r="QLK112" s="542"/>
      <c r="QLL112" s="542"/>
      <c r="QLM112" s="542"/>
      <c r="QLN112" s="542"/>
      <c r="QLO112" s="542"/>
      <c r="QLP112" s="542"/>
      <c r="QLQ112" s="542"/>
      <c r="QLR112" s="542"/>
      <c r="QLS112" s="542"/>
      <c r="QLT112" s="542"/>
      <c r="QLU112" s="542"/>
      <c r="QLV112" s="542"/>
      <c r="QLW112" s="542"/>
      <c r="QLX112" s="542"/>
      <c r="QLY112" s="542"/>
      <c r="QLZ112" s="542"/>
      <c r="QMA112" s="542"/>
      <c r="QMB112" s="542"/>
      <c r="QMC112" s="542"/>
      <c r="QMD112" s="542"/>
      <c r="QME112" s="542"/>
      <c r="QMF112" s="542"/>
      <c r="QMG112" s="542"/>
      <c r="QMH112" s="542"/>
      <c r="QMI112" s="542"/>
      <c r="QMJ112" s="542"/>
      <c r="QMK112" s="542"/>
      <c r="QML112" s="542"/>
      <c r="QMM112" s="542"/>
      <c r="QMN112" s="542"/>
      <c r="QMO112" s="542"/>
      <c r="QMP112" s="542"/>
      <c r="QMQ112" s="542"/>
      <c r="QMR112" s="542"/>
      <c r="QMS112" s="542"/>
      <c r="QMT112" s="542"/>
      <c r="QMU112" s="542"/>
      <c r="QMV112" s="542"/>
      <c r="QMW112" s="542"/>
      <c r="QMX112" s="542"/>
      <c r="QMY112" s="542"/>
      <c r="QMZ112" s="542"/>
      <c r="QNA112" s="542"/>
      <c r="QNB112" s="542"/>
      <c r="QNC112" s="542"/>
      <c r="QND112" s="542"/>
      <c r="QNE112" s="542"/>
      <c r="QNF112" s="542"/>
      <c r="QNG112" s="542"/>
      <c r="QNH112" s="542"/>
      <c r="QNI112" s="542"/>
      <c r="QNJ112" s="542"/>
      <c r="QNK112" s="542"/>
      <c r="QNL112" s="542"/>
      <c r="QNM112" s="542"/>
      <c r="QNN112" s="542"/>
      <c r="QNO112" s="542"/>
      <c r="QNP112" s="542"/>
      <c r="QNQ112" s="542"/>
      <c r="QNR112" s="542"/>
      <c r="QNS112" s="542"/>
      <c r="QNT112" s="542"/>
      <c r="QNU112" s="542"/>
      <c r="QNV112" s="542"/>
      <c r="QNW112" s="542"/>
      <c r="QNX112" s="542"/>
      <c r="QNY112" s="542"/>
      <c r="QNZ112" s="542"/>
      <c r="QOA112" s="542"/>
      <c r="QOB112" s="542"/>
      <c r="QOC112" s="542"/>
      <c r="QOD112" s="542"/>
      <c r="QOE112" s="542"/>
      <c r="QOF112" s="542"/>
      <c r="QOG112" s="542"/>
      <c r="QOH112" s="542"/>
      <c r="QOI112" s="542"/>
      <c r="QOJ112" s="542"/>
      <c r="QOK112" s="542"/>
      <c r="QOL112" s="542"/>
      <c r="QOM112" s="542"/>
      <c r="QON112" s="542"/>
      <c r="QOO112" s="542"/>
      <c r="QOP112" s="542"/>
      <c r="QOQ112" s="542"/>
      <c r="QOR112" s="542"/>
      <c r="QOS112" s="542"/>
      <c r="QOT112" s="542"/>
      <c r="QOU112" s="542"/>
      <c r="QOV112" s="542"/>
      <c r="QOW112" s="542"/>
      <c r="QOX112" s="542"/>
      <c r="QOY112" s="542"/>
      <c r="QOZ112" s="542"/>
      <c r="QPA112" s="542"/>
      <c r="QPB112" s="542"/>
      <c r="QPC112" s="542"/>
      <c r="QPD112" s="542"/>
      <c r="QPE112" s="542"/>
      <c r="QPF112" s="542"/>
      <c r="QPG112" s="542"/>
      <c r="QPH112" s="542"/>
      <c r="QPI112" s="542"/>
      <c r="QPJ112" s="542"/>
      <c r="QPK112" s="542"/>
      <c r="QPL112" s="542"/>
      <c r="QPM112" s="542"/>
      <c r="QPN112" s="542"/>
      <c r="QPO112" s="542"/>
      <c r="QPP112" s="542"/>
      <c r="QPQ112" s="542"/>
      <c r="QPR112" s="542"/>
      <c r="QPS112" s="542"/>
      <c r="QPT112" s="542"/>
      <c r="QPU112" s="542"/>
      <c r="QPV112" s="542"/>
      <c r="QPW112" s="542"/>
      <c r="QPX112" s="542"/>
      <c r="QPY112" s="542"/>
      <c r="QPZ112" s="542"/>
      <c r="QQA112" s="542"/>
      <c r="QQB112" s="542"/>
      <c r="QQC112" s="542"/>
      <c r="QQD112" s="542"/>
      <c r="QQE112" s="542"/>
      <c r="QQF112" s="542"/>
      <c r="QQG112" s="542"/>
      <c r="QQH112" s="542"/>
      <c r="QQI112" s="542"/>
      <c r="QQJ112" s="542"/>
      <c r="QQK112" s="542"/>
      <c r="QQL112" s="542"/>
      <c r="QQM112" s="542"/>
      <c r="QQN112" s="542"/>
      <c r="QQO112" s="542"/>
      <c r="QQP112" s="542"/>
      <c r="QQQ112" s="542"/>
      <c r="QQR112" s="542"/>
      <c r="QQS112" s="542"/>
      <c r="QQT112" s="542"/>
      <c r="QQU112" s="542"/>
      <c r="QQV112" s="542"/>
      <c r="QQW112" s="542"/>
      <c r="QQX112" s="542"/>
      <c r="QQY112" s="542"/>
      <c r="QQZ112" s="542"/>
      <c r="QRA112" s="542"/>
      <c r="QRB112" s="542"/>
      <c r="QRC112" s="542"/>
      <c r="QRD112" s="542"/>
      <c r="QRE112" s="542"/>
      <c r="QRF112" s="542"/>
      <c r="QRG112" s="542"/>
      <c r="QRH112" s="542"/>
      <c r="QRI112" s="542"/>
      <c r="QRJ112" s="542"/>
      <c r="QRK112" s="542"/>
      <c r="QRL112" s="542"/>
      <c r="QRM112" s="542"/>
      <c r="QRN112" s="542"/>
      <c r="QRO112" s="542"/>
      <c r="QRP112" s="542"/>
      <c r="QRQ112" s="542"/>
      <c r="QRR112" s="542"/>
      <c r="QRS112" s="542"/>
      <c r="QRT112" s="542"/>
      <c r="QRU112" s="542"/>
      <c r="QRV112" s="542"/>
      <c r="QRW112" s="542"/>
      <c r="QRX112" s="542"/>
      <c r="QRY112" s="542"/>
      <c r="QRZ112" s="542"/>
      <c r="QSA112" s="542"/>
      <c r="QSB112" s="542"/>
      <c r="QSC112" s="542"/>
      <c r="QSD112" s="542"/>
      <c r="QSE112" s="542"/>
      <c r="QSF112" s="542"/>
      <c r="QSG112" s="542"/>
      <c r="QSH112" s="542"/>
      <c r="QSI112" s="542"/>
      <c r="QSJ112" s="542"/>
      <c r="QSK112" s="542"/>
      <c r="QSL112" s="542"/>
      <c r="QSM112" s="542"/>
      <c r="QSN112" s="542"/>
      <c r="QSO112" s="542"/>
      <c r="QSP112" s="542"/>
      <c r="QSQ112" s="542"/>
      <c r="QSR112" s="542"/>
      <c r="QSS112" s="542"/>
      <c r="QST112" s="542"/>
      <c r="QSU112" s="542"/>
      <c r="QSV112" s="542"/>
      <c r="QSW112" s="542"/>
      <c r="QSX112" s="542"/>
      <c r="QSY112" s="542"/>
      <c r="QSZ112" s="542"/>
      <c r="QTA112" s="542"/>
      <c r="QTB112" s="542"/>
      <c r="QTC112" s="542"/>
      <c r="QTD112" s="542"/>
      <c r="QTE112" s="542"/>
      <c r="QTF112" s="542"/>
      <c r="QTG112" s="542"/>
      <c r="QTH112" s="542"/>
      <c r="QTI112" s="542"/>
      <c r="QTJ112" s="542"/>
      <c r="QTK112" s="542"/>
      <c r="QTL112" s="542"/>
      <c r="QTM112" s="542"/>
      <c r="QTN112" s="542"/>
      <c r="QTO112" s="542"/>
      <c r="QTP112" s="542"/>
      <c r="QTQ112" s="542"/>
      <c r="QTR112" s="542"/>
      <c r="QTS112" s="542"/>
      <c r="QTT112" s="542"/>
      <c r="QTU112" s="542"/>
      <c r="QTV112" s="542"/>
      <c r="QTW112" s="542"/>
      <c r="QTX112" s="542"/>
      <c r="QTY112" s="542"/>
      <c r="QTZ112" s="542"/>
      <c r="QUA112" s="542"/>
      <c r="QUB112" s="542"/>
      <c r="QUC112" s="542"/>
      <c r="QUD112" s="542"/>
      <c r="QUE112" s="542"/>
      <c r="QUF112" s="542"/>
      <c r="QUG112" s="542"/>
      <c r="QUH112" s="542"/>
      <c r="QUI112" s="542"/>
      <c r="QUJ112" s="542"/>
      <c r="QUK112" s="542"/>
      <c r="QUL112" s="542"/>
      <c r="QUM112" s="542"/>
      <c r="QUN112" s="542"/>
      <c r="QUO112" s="542"/>
      <c r="QUP112" s="542"/>
      <c r="QUQ112" s="542"/>
      <c r="QUR112" s="542"/>
      <c r="QUS112" s="542"/>
      <c r="QUT112" s="542"/>
      <c r="QUU112" s="542"/>
      <c r="QUV112" s="542"/>
      <c r="QUW112" s="542"/>
      <c r="QUX112" s="542"/>
      <c r="QUY112" s="542"/>
      <c r="QUZ112" s="542"/>
      <c r="QVA112" s="542"/>
      <c r="QVB112" s="542"/>
      <c r="QVC112" s="542"/>
      <c r="QVD112" s="542"/>
      <c r="QVE112" s="542"/>
      <c r="QVF112" s="542"/>
      <c r="QVG112" s="542"/>
      <c r="QVH112" s="542"/>
      <c r="QVI112" s="542"/>
      <c r="QVJ112" s="542"/>
      <c r="QVK112" s="542"/>
      <c r="QVL112" s="542"/>
      <c r="QVM112" s="542"/>
      <c r="QVN112" s="542"/>
      <c r="QVO112" s="542"/>
      <c r="QVP112" s="542"/>
      <c r="QVQ112" s="542"/>
      <c r="QVR112" s="542"/>
      <c r="QVS112" s="542"/>
      <c r="QVT112" s="542"/>
      <c r="QVU112" s="542"/>
      <c r="QVV112" s="542"/>
      <c r="QVW112" s="542"/>
      <c r="QVX112" s="542"/>
      <c r="QVY112" s="542"/>
      <c r="QVZ112" s="542"/>
      <c r="QWA112" s="542"/>
      <c r="QWB112" s="542"/>
      <c r="QWC112" s="542"/>
      <c r="QWD112" s="542"/>
      <c r="QWE112" s="542"/>
      <c r="QWF112" s="542"/>
      <c r="QWG112" s="542"/>
      <c r="QWH112" s="542"/>
      <c r="QWI112" s="542"/>
      <c r="QWJ112" s="542"/>
      <c r="QWK112" s="542"/>
      <c r="QWL112" s="542"/>
      <c r="QWM112" s="542"/>
      <c r="QWN112" s="542"/>
      <c r="QWO112" s="542"/>
      <c r="QWP112" s="542"/>
      <c r="QWQ112" s="542"/>
      <c r="QWR112" s="542"/>
      <c r="QWS112" s="542"/>
      <c r="QWT112" s="542"/>
      <c r="QWU112" s="542"/>
      <c r="QWV112" s="542"/>
      <c r="QWW112" s="542"/>
      <c r="QWX112" s="542"/>
      <c r="QWY112" s="542"/>
      <c r="QWZ112" s="542"/>
      <c r="QXA112" s="542"/>
      <c r="QXB112" s="542"/>
      <c r="QXC112" s="542"/>
      <c r="QXD112" s="542"/>
      <c r="QXE112" s="542"/>
      <c r="QXF112" s="542"/>
      <c r="QXG112" s="542"/>
      <c r="QXH112" s="542"/>
      <c r="QXI112" s="542"/>
      <c r="QXJ112" s="542"/>
      <c r="QXK112" s="542"/>
      <c r="QXL112" s="542"/>
      <c r="QXM112" s="542"/>
      <c r="QXN112" s="542"/>
      <c r="QXO112" s="542"/>
      <c r="QXP112" s="542"/>
      <c r="QXQ112" s="542"/>
      <c r="QXR112" s="542"/>
      <c r="QXS112" s="542"/>
      <c r="QXT112" s="542"/>
      <c r="QXU112" s="542"/>
      <c r="QXV112" s="542"/>
      <c r="QXW112" s="542"/>
      <c r="QXX112" s="542"/>
      <c r="QXY112" s="542"/>
      <c r="QXZ112" s="542"/>
      <c r="QYA112" s="542"/>
      <c r="QYB112" s="542"/>
      <c r="QYC112" s="542"/>
      <c r="QYD112" s="542"/>
      <c r="QYE112" s="542"/>
      <c r="QYF112" s="542"/>
      <c r="QYG112" s="542"/>
      <c r="QYH112" s="542"/>
      <c r="QYI112" s="542"/>
      <c r="QYJ112" s="542"/>
      <c r="QYK112" s="542"/>
      <c r="QYL112" s="542"/>
      <c r="QYM112" s="542"/>
      <c r="QYN112" s="542"/>
      <c r="QYO112" s="542"/>
      <c r="QYP112" s="542"/>
      <c r="QYQ112" s="542"/>
      <c r="QYR112" s="542"/>
      <c r="QYS112" s="542"/>
      <c r="QYT112" s="542"/>
      <c r="QYU112" s="542"/>
      <c r="QYV112" s="542"/>
      <c r="QYW112" s="542"/>
      <c r="QYX112" s="542"/>
      <c r="QYY112" s="542"/>
      <c r="QYZ112" s="542"/>
      <c r="QZA112" s="542"/>
      <c r="QZB112" s="542"/>
      <c r="QZC112" s="542"/>
      <c r="QZD112" s="542"/>
      <c r="QZE112" s="542"/>
      <c r="QZF112" s="542"/>
      <c r="QZG112" s="542"/>
      <c r="QZH112" s="542"/>
      <c r="QZI112" s="542"/>
      <c r="QZJ112" s="542"/>
      <c r="QZK112" s="542"/>
      <c r="QZL112" s="542"/>
      <c r="QZM112" s="542"/>
      <c r="QZN112" s="542"/>
      <c r="QZO112" s="542"/>
      <c r="QZP112" s="542"/>
      <c r="QZQ112" s="542"/>
      <c r="QZR112" s="542"/>
      <c r="QZS112" s="542"/>
      <c r="QZT112" s="542"/>
      <c r="QZU112" s="542"/>
      <c r="QZV112" s="542"/>
      <c r="QZW112" s="542"/>
      <c r="QZX112" s="542"/>
      <c r="QZY112" s="542"/>
      <c r="QZZ112" s="542"/>
      <c r="RAA112" s="542"/>
      <c r="RAB112" s="542"/>
      <c r="RAC112" s="542"/>
      <c r="RAD112" s="542"/>
      <c r="RAE112" s="542"/>
      <c r="RAF112" s="542"/>
      <c r="RAG112" s="542"/>
      <c r="RAH112" s="542"/>
      <c r="RAI112" s="542"/>
      <c r="RAJ112" s="542"/>
      <c r="RAK112" s="542"/>
      <c r="RAL112" s="542"/>
      <c r="RAM112" s="542"/>
      <c r="RAN112" s="542"/>
      <c r="RAO112" s="542"/>
      <c r="RAP112" s="542"/>
      <c r="RAQ112" s="542"/>
      <c r="RAR112" s="542"/>
      <c r="RAS112" s="542"/>
      <c r="RAT112" s="542"/>
      <c r="RAU112" s="542"/>
      <c r="RAV112" s="542"/>
      <c r="RAW112" s="542"/>
      <c r="RAX112" s="542"/>
      <c r="RAY112" s="542"/>
      <c r="RAZ112" s="542"/>
      <c r="RBA112" s="542"/>
      <c r="RBB112" s="542"/>
      <c r="RBC112" s="542"/>
      <c r="RBD112" s="542"/>
      <c r="RBE112" s="542"/>
      <c r="RBF112" s="542"/>
      <c r="RBG112" s="542"/>
      <c r="RBH112" s="542"/>
      <c r="RBI112" s="542"/>
      <c r="RBJ112" s="542"/>
      <c r="RBK112" s="542"/>
      <c r="RBL112" s="542"/>
      <c r="RBM112" s="542"/>
      <c r="RBN112" s="542"/>
      <c r="RBO112" s="542"/>
      <c r="RBP112" s="542"/>
      <c r="RBQ112" s="542"/>
      <c r="RBR112" s="542"/>
      <c r="RBS112" s="542"/>
      <c r="RBT112" s="542"/>
      <c r="RBU112" s="542"/>
      <c r="RBV112" s="542"/>
      <c r="RBW112" s="542"/>
      <c r="RBX112" s="542"/>
      <c r="RBY112" s="542"/>
      <c r="RBZ112" s="542"/>
      <c r="RCA112" s="542"/>
      <c r="RCB112" s="542"/>
      <c r="RCC112" s="542"/>
      <c r="RCD112" s="542"/>
      <c r="RCE112" s="542"/>
      <c r="RCF112" s="542"/>
      <c r="RCG112" s="542"/>
      <c r="RCH112" s="542"/>
      <c r="RCI112" s="542"/>
      <c r="RCJ112" s="542"/>
      <c r="RCK112" s="542"/>
      <c r="RCL112" s="542"/>
      <c r="RCM112" s="542"/>
      <c r="RCN112" s="542"/>
      <c r="RCO112" s="542"/>
      <c r="RCP112" s="542"/>
      <c r="RCQ112" s="542"/>
      <c r="RCR112" s="542"/>
      <c r="RCS112" s="542"/>
      <c r="RCT112" s="542"/>
      <c r="RCU112" s="542"/>
      <c r="RCV112" s="542"/>
      <c r="RCW112" s="542"/>
      <c r="RCX112" s="542"/>
      <c r="RCY112" s="542"/>
      <c r="RCZ112" s="542"/>
      <c r="RDA112" s="542"/>
      <c r="RDB112" s="542"/>
      <c r="RDC112" s="542"/>
      <c r="RDD112" s="542"/>
      <c r="RDE112" s="542"/>
      <c r="RDF112" s="542"/>
      <c r="RDG112" s="542"/>
      <c r="RDH112" s="542"/>
      <c r="RDI112" s="542"/>
      <c r="RDJ112" s="542"/>
      <c r="RDK112" s="542"/>
      <c r="RDL112" s="542"/>
      <c r="RDM112" s="542"/>
      <c r="RDN112" s="542"/>
      <c r="RDO112" s="542"/>
      <c r="RDP112" s="542"/>
      <c r="RDQ112" s="542"/>
      <c r="RDR112" s="542"/>
      <c r="RDS112" s="542"/>
      <c r="RDT112" s="542"/>
      <c r="RDU112" s="542"/>
      <c r="RDV112" s="542"/>
      <c r="RDW112" s="542"/>
      <c r="RDX112" s="542"/>
      <c r="RDY112" s="542"/>
      <c r="RDZ112" s="542"/>
      <c r="REA112" s="542"/>
      <c r="REB112" s="542"/>
      <c r="REC112" s="542"/>
      <c r="RED112" s="542"/>
      <c r="REE112" s="542"/>
      <c r="REF112" s="542"/>
      <c r="REG112" s="542"/>
      <c r="REH112" s="542"/>
      <c r="REI112" s="542"/>
      <c r="REJ112" s="542"/>
      <c r="REK112" s="542"/>
      <c r="REL112" s="542"/>
      <c r="REM112" s="542"/>
      <c r="REN112" s="542"/>
      <c r="REO112" s="542"/>
      <c r="REP112" s="542"/>
      <c r="REQ112" s="542"/>
      <c r="RER112" s="542"/>
      <c r="RES112" s="542"/>
      <c r="RET112" s="542"/>
      <c r="REU112" s="542"/>
      <c r="REV112" s="542"/>
      <c r="REW112" s="542"/>
      <c r="REX112" s="542"/>
      <c r="REY112" s="542"/>
      <c r="REZ112" s="542"/>
      <c r="RFA112" s="542"/>
      <c r="RFB112" s="542"/>
      <c r="RFC112" s="542"/>
      <c r="RFD112" s="542"/>
      <c r="RFE112" s="542"/>
      <c r="RFF112" s="542"/>
      <c r="RFG112" s="542"/>
      <c r="RFH112" s="542"/>
      <c r="RFI112" s="542"/>
      <c r="RFJ112" s="542"/>
      <c r="RFK112" s="542"/>
      <c r="RFL112" s="542"/>
      <c r="RFM112" s="542"/>
      <c r="RFN112" s="542"/>
      <c r="RFO112" s="542"/>
      <c r="RFP112" s="542"/>
      <c r="RFQ112" s="542"/>
      <c r="RFR112" s="542"/>
      <c r="RFS112" s="542"/>
      <c r="RFT112" s="542"/>
      <c r="RFU112" s="542"/>
      <c r="RFV112" s="542"/>
      <c r="RFW112" s="542"/>
      <c r="RFX112" s="542"/>
      <c r="RFY112" s="542"/>
      <c r="RFZ112" s="542"/>
      <c r="RGA112" s="542"/>
      <c r="RGB112" s="542"/>
      <c r="RGC112" s="542"/>
      <c r="RGD112" s="542"/>
      <c r="RGE112" s="542"/>
      <c r="RGF112" s="542"/>
      <c r="RGG112" s="542"/>
      <c r="RGH112" s="542"/>
      <c r="RGI112" s="542"/>
      <c r="RGJ112" s="542"/>
      <c r="RGK112" s="542"/>
      <c r="RGL112" s="542"/>
      <c r="RGM112" s="542"/>
      <c r="RGN112" s="542"/>
      <c r="RGO112" s="542"/>
      <c r="RGP112" s="542"/>
      <c r="RGQ112" s="542"/>
      <c r="RGR112" s="542"/>
      <c r="RGS112" s="542"/>
      <c r="RGT112" s="542"/>
      <c r="RGU112" s="542"/>
      <c r="RGV112" s="542"/>
      <c r="RGW112" s="542"/>
      <c r="RGX112" s="542"/>
      <c r="RGY112" s="542"/>
      <c r="RGZ112" s="542"/>
      <c r="RHA112" s="542"/>
      <c r="RHB112" s="542"/>
      <c r="RHC112" s="542"/>
      <c r="RHD112" s="542"/>
      <c r="RHE112" s="542"/>
      <c r="RHF112" s="542"/>
      <c r="RHG112" s="542"/>
      <c r="RHH112" s="542"/>
      <c r="RHI112" s="542"/>
      <c r="RHJ112" s="542"/>
      <c r="RHK112" s="542"/>
      <c r="RHL112" s="542"/>
      <c r="RHM112" s="542"/>
      <c r="RHN112" s="542"/>
      <c r="RHO112" s="542"/>
      <c r="RHP112" s="542"/>
      <c r="RHQ112" s="542"/>
      <c r="RHR112" s="542"/>
      <c r="RHS112" s="542"/>
      <c r="RHT112" s="542"/>
      <c r="RHU112" s="542"/>
      <c r="RHV112" s="542"/>
      <c r="RHW112" s="542"/>
      <c r="RHX112" s="542"/>
      <c r="RHY112" s="542"/>
      <c r="RHZ112" s="542"/>
      <c r="RIA112" s="542"/>
      <c r="RIB112" s="542"/>
      <c r="RIC112" s="542"/>
      <c r="RID112" s="542"/>
      <c r="RIE112" s="542"/>
      <c r="RIF112" s="542"/>
      <c r="RIG112" s="542"/>
      <c r="RIH112" s="542"/>
      <c r="RII112" s="542"/>
      <c r="RIJ112" s="542"/>
      <c r="RIK112" s="542"/>
      <c r="RIL112" s="542"/>
      <c r="RIM112" s="542"/>
      <c r="RIN112" s="542"/>
      <c r="RIO112" s="542"/>
      <c r="RIP112" s="542"/>
      <c r="RIQ112" s="542"/>
      <c r="RIR112" s="542"/>
      <c r="RIS112" s="542"/>
      <c r="RIT112" s="542"/>
      <c r="RIU112" s="542"/>
      <c r="RIV112" s="542"/>
      <c r="RIW112" s="542"/>
      <c r="RIX112" s="542"/>
      <c r="RIY112" s="542"/>
      <c r="RIZ112" s="542"/>
      <c r="RJA112" s="542"/>
      <c r="RJB112" s="542"/>
      <c r="RJC112" s="542"/>
      <c r="RJD112" s="542"/>
      <c r="RJE112" s="542"/>
      <c r="RJF112" s="542"/>
      <c r="RJG112" s="542"/>
      <c r="RJH112" s="542"/>
      <c r="RJI112" s="542"/>
      <c r="RJJ112" s="542"/>
      <c r="RJK112" s="542"/>
      <c r="RJL112" s="542"/>
      <c r="RJM112" s="542"/>
      <c r="RJN112" s="542"/>
      <c r="RJO112" s="542"/>
      <c r="RJP112" s="542"/>
      <c r="RJQ112" s="542"/>
      <c r="RJR112" s="542"/>
      <c r="RJS112" s="542"/>
      <c r="RJT112" s="542"/>
      <c r="RJU112" s="542"/>
      <c r="RJV112" s="542"/>
      <c r="RJW112" s="542"/>
      <c r="RJX112" s="542"/>
      <c r="RJY112" s="542"/>
      <c r="RJZ112" s="542"/>
      <c r="RKA112" s="542"/>
      <c r="RKB112" s="542"/>
      <c r="RKC112" s="542"/>
      <c r="RKD112" s="542"/>
      <c r="RKE112" s="542"/>
      <c r="RKF112" s="542"/>
      <c r="RKG112" s="542"/>
      <c r="RKH112" s="542"/>
      <c r="RKI112" s="542"/>
      <c r="RKJ112" s="542"/>
      <c r="RKK112" s="542"/>
      <c r="RKL112" s="542"/>
      <c r="RKM112" s="542"/>
      <c r="RKN112" s="542"/>
      <c r="RKO112" s="542"/>
      <c r="RKP112" s="542"/>
      <c r="RKQ112" s="542"/>
      <c r="RKR112" s="542"/>
      <c r="RKS112" s="542"/>
      <c r="RKT112" s="542"/>
      <c r="RKU112" s="542"/>
      <c r="RKV112" s="542"/>
      <c r="RKW112" s="542"/>
      <c r="RKX112" s="542"/>
      <c r="RKY112" s="542"/>
      <c r="RKZ112" s="542"/>
      <c r="RLA112" s="542"/>
      <c r="RLB112" s="542"/>
      <c r="RLC112" s="542"/>
      <c r="RLD112" s="542"/>
      <c r="RLE112" s="542"/>
      <c r="RLF112" s="542"/>
      <c r="RLG112" s="542"/>
      <c r="RLH112" s="542"/>
      <c r="RLI112" s="542"/>
      <c r="RLJ112" s="542"/>
      <c r="RLK112" s="542"/>
      <c r="RLL112" s="542"/>
      <c r="RLM112" s="542"/>
      <c r="RLN112" s="542"/>
      <c r="RLO112" s="542"/>
      <c r="RLP112" s="542"/>
      <c r="RLQ112" s="542"/>
      <c r="RLR112" s="542"/>
      <c r="RLS112" s="542"/>
      <c r="RLT112" s="542"/>
      <c r="RLU112" s="542"/>
      <c r="RLV112" s="542"/>
      <c r="RLW112" s="542"/>
      <c r="RLX112" s="542"/>
      <c r="RLY112" s="542"/>
      <c r="RLZ112" s="542"/>
      <c r="RMA112" s="542"/>
      <c r="RMB112" s="542"/>
      <c r="RMC112" s="542"/>
      <c r="RMD112" s="542"/>
      <c r="RME112" s="542"/>
      <c r="RMF112" s="542"/>
      <c r="RMG112" s="542"/>
      <c r="RMH112" s="542"/>
      <c r="RMI112" s="542"/>
      <c r="RMJ112" s="542"/>
      <c r="RMK112" s="542"/>
      <c r="RML112" s="542"/>
      <c r="RMM112" s="542"/>
      <c r="RMN112" s="542"/>
      <c r="RMO112" s="542"/>
      <c r="RMP112" s="542"/>
      <c r="RMQ112" s="542"/>
      <c r="RMR112" s="542"/>
      <c r="RMS112" s="542"/>
      <c r="RMT112" s="542"/>
      <c r="RMU112" s="542"/>
      <c r="RMV112" s="542"/>
      <c r="RMW112" s="542"/>
      <c r="RMX112" s="542"/>
      <c r="RMY112" s="542"/>
      <c r="RMZ112" s="542"/>
      <c r="RNA112" s="542"/>
      <c r="RNB112" s="542"/>
      <c r="RNC112" s="542"/>
      <c r="RND112" s="542"/>
      <c r="RNE112" s="542"/>
      <c r="RNF112" s="542"/>
      <c r="RNG112" s="542"/>
      <c r="RNH112" s="542"/>
      <c r="RNI112" s="542"/>
      <c r="RNJ112" s="542"/>
      <c r="RNK112" s="542"/>
      <c r="RNL112" s="542"/>
      <c r="RNM112" s="542"/>
      <c r="RNN112" s="542"/>
      <c r="RNO112" s="542"/>
      <c r="RNP112" s="542"/>
      <c r="RNQ112" s="542"/>
      <c r="RNR112" s="542"/>
      <c r="RNS112" s="542"/>
      <c r="RNT112" s="542"/>
      <c r="RNU112" s="542"/>
      <c r="RNV112" s="542"/>
      <c r="RNW112" s="542"/>
      <c r="RNX112" s="542"/>
      <c r="RNY112" s="542"/>
      <c r="RNZ112" s="542"/>
      <c r="ROA112" s="542"/>
      <c r="ROB112" s="542"/>
      <c r="ROC112" s="542"/>
      <c r="ROD112" s="542"/>
      <c r="ROE112" s="542"/>
      <c r="ROF112" s="542"/>
      <c r="ROG112" s="542"/>
      <c r="ROH112" s="542"/>
      <c r="ROI112" s="542"/>
      <c r="ROJ112" s="542"/>
      <c r="ROK112" s="542"/>
      <c r="ROL112" s="542"/>
      <c r="ROM112" s="542"/>
      <c r="RON112" s="542"/>
      <c r="ROO112" s="542"/>
      <c r="ROP112" s="542"/>
      <c r="ROQ112" s="542"/>
      <c r="ROR112" s="542"/>
      <c r="ROS112" s="542"/>
      <c r="ROT112" s="542"/>
      <c r="ROU112" s="542"/>
      <c r="ROV112" s="542"/>
      <c r="ROW112" s="542"/>
      <c r="ROX112" s="542"/>
      <c r="ROY112" s="542"/>
      <c r="ROZ112" s="542"/>
      <c r="RPA112" s="542"/>
      <c r="RPB112" s="542"/>
      <c r="RPC112" s="542"/>
      <c r="RPD112" s="542"/>
      <c r="RPE112" s="542"/>
      <c r="RPF112" s="542"/>
      <c r="RPG112" s="542"/>
      <c r="RPH112" s="542"/>
      <c r="RPI112" s="542"/>
      <c r="RPJ112" s="542"/>
      <c r="RPK112" s="542"/>
      <c r="RPL112" s="542"/>
      <c r="RPM112" s="542"/>
      <c r="RPN112" s="542"/>
      <c r="RPO112" s="542"/>
      <c r="RPP112" s="542"/>
      <c r="RPQ112" s="542"/>
      <c r="RPR112" s="542"/>
      <c r="RPS112" s="542"/>
      <c r="RPT112" s="542"/>
      <c r="RPU112" s="542"/>
      <c r="RPV112" s="542"/>
      <c r="RPW112" s="542"/>
      <c r="RPX112" s="542"/>
      <c r="RPY112" s="542"/>
      <c r="RPZ112" s="542"/>
      <c r="RQA112" s="542"/>
      <c r="RQB112" s="542"/>
      <c r="RQC112" s="542"/>
      <c r="RQD112" s="542"/>
      <c r="RQE112" s="542"/>
      <c r="RQF112" s="542"/>
      <c r="RQG112" s="542"/>
      <c r="RQH112" s="542"/>
      <c r="RQI112" s="542"/>
      <c r="RQJ112" s="542"/>
      <c r="RQK112" s="542"/>
      <c r="RQL112" s="542"/>
      <c r="RQM112" s="542"/>
      <c r="RQN112" s="542"/>
      <c r="RQO112" s="542"/>
      <c r="RQP112" s="542"/>
      <c r="RQQ112" s="542"/>
      <c r="RQR112" s="542"/>
      <c r="RQS112" s="542"/>
      <c r="RQT112" s="542"/>
      <c r="RQU112" s="542"/>
      <c r="RQV112" s="542"/>
      <c r="RQW112" s="542"/>
      <c r="RQX112" s="542"/>
      <c r="RQY112" s="542"/>
      <c r="RQZ112" s="542"/>
      <c r="RRA112" s="542"/>
      <c r="RRB112" s="542"/>
      <c r="RRC112" s="542"/>
      <c r="RRD112" s="542"/>
      <c r="RRE112" s="542"/>
      <c r="RRF112" s="542"/>
      <c r="RRG112" s="542"/>
      <c r="RRH112" s="542"/>
      <c r="RRI112" s="542"/>
      <c r="RRJ112" s="542"/>
      <c r="RRK112" s="542"/>
      <c r="RRL112" s="542"/>
      <c r="RRM112" s="542"/>
      <c r="RRN112" s="542"/>
      <c r="RRO112" s="542"/>
      <c r="RRP112" s="542"/>
      <c r="RRQ112" s="542"/>
      <c r="RRR112" s="542"/>
      <c r="RRS112" s="542"/>
      <c r="RRT112" s="542"/>
      <c r="RRU112" s="542"/>
      <c r="RRV112" s="542"/>
      <c r="RRW112" s="542"/>
      <c r="RRX112" s="542"/>
      <c r="RRY112" s="542"/>
      <c r="RRZ112" s="542"/>
      <c r="RSA112" s="542"/>
      <c r="RSB112" s="542"/>
      <c r="RSC112" s="542"/>
      <c r="RSD112" s="542"/>
      <c r="RSE112" s="542"/>
      <c r="RSF112" s="542"/>
      <c r="RSG112" s="542"/>
      <c r="RSH112" s="542"/>
      <c r="RSI112" s="542"/>
      <c r="RSJ112" s="542"/>
      <c r="RSK112" s="542"/>
      <c r="RSL112" s="542"/>
      <c r="RSM112" s="542"/>
      <c r="RSN112" s="542"/>
      <c r="RSO112" s="542"/>
      <c r="RSP112" s="542"/>
      <c r="RSQ112" s="542"/>
      <c r="RSR112" s="542"/>
      <c r="RSS112" s="542"/>
      <c r="RST112" s="542"/>
      <c r="RSU112" s="542"/>
      <c r="RSV112" s="542"/>
      <c r="RSW112" s="542"/>
      <c r="RSX112" s="542"/>
      <c r="RSY112" s="542"/>
      <c r="RSZ112" s="542"/>
      <c r="RTA112" s="542"/>
      <c r="RTB112" s="542"/>
      <c r="RTC112" s="542"/>
      <c r="RTD112" s="542"/>
      <c r="RTE112" s="542"/>
      <c r="RTF112" s="542"/>
      <c r="RTG112" s="542"/>
      <c r="RTH112" s="542"/>
      <c r="RTI112" s="542"/>
      <c r="RTJ112" s="542"/>
      <c r="RTK112" s="542"/>
      <c r="RTL112" s="542"/>
      <c r="RTM112" s="542"/>
      <c r="RTN112" s="542"/>
      <c r="RTO112" s="542"/>
      <c r="RTP112" s="542"/>
      <c r="RTQ112" s="542"/>
      <c r="RTR112" s="542"/>
      <c r="RTS112" s="542"/>
      <c r="RTT112" s="542"/>
      <c r="RTU112" s="542"/>
      <c r="RTV112" s="542"/>
      <c r="RTW112" s="542"/>
      <c r="RTX112" s="542"/>
      <c r="RTY112" s="542"/>
      <c r="RTZ112" s="542"/>
      <c r="RUA112" s="542"/>
      <c r="RUB112" s="542"/>
      <c r="RUC112" s="542"/>
      <c r="RUD112" s="542"/>
      <c r="RUE112" s="542"/>
      <c r="RUF112" s="542"/>
      <c r="RUG112" s="542"/>
      <c r="RUH112" s="542"/>
      <c r="RUI112" s="542"/>
      <c r="RUJ112" s="542"/>
      <c r="RUK112" s="542"/>
      <c r="RUL112" s="542"/>
      <c r="RUM112" s="542"/>
      <c r="RUN112" s="542"/>
      <c r="RUO112" s="542"/>
      <c r="RUP112" s="542"/>
      <c r="RUQ112" s="542"/>
      <c r="RUR112" s="542"/>
      <c r="RUS112" s="542"/>
      <c r="RUT112" s="542"/>
      <c r="RUU112" s="542"/>
      <c r="RUV112" s="542"/>
      <c r="RUW112" s="542"/>
      <c r="RUX112" s="542"/>
      <c r="RUY112" s="542"/>
      <c r="RUZ112" s="542"/>
      <c r="RVA112" s="542"/>
      <c r="RVB112" s="542"/>
      <c r="RVC112" s="542"/>
      <c r="RVD112" s="542"/>
      <c r="RVE112" s="542"/>
      <c r="RVF112" s="542"/>
      <c r="RVG112" s="542"/>
      <c r="RVH112" s="542"/>
      <c r="RVI112" s="542"/>
      <c r="RVJ112" s="542"/>
      <c r="RVK112" s="542"/>
      <c r="RVL112" s="542"/>
      <c r="RVM112" s="542"/>
      <c r="RVN112" s="542"/>
      <c r="RVO112" s="542"/>
      <c r="RVP112" s="542"/>
      <c r="RVQ112" s="542"/>
      <c r="RVR112" s="542"/>
      <c r="RVS112" s="542"/>
      <c r="RVT112" s="542"/>
      <c r="RVU112" s="542"/>
      <c r="RVV112" s="542"/>
      <c r="RVW112" s="542"/>
      <c r="RVX112" s="542"/>
      <c r="RVY112" s="542"/>
      <c r="RVZ112" s="542"/>
      <c r="RWA112" s="542"/>
      <c r="RWB112" s="542"/>
      <c r="RWC112" s="542"/>
      <c r="RWD112" s="542"/>
      <c r="RWE112" s="542"/>
      <c r="RWF112" s="542"/>
      <c r="RWG112" s="542"/>
      <c r="RWH112" s="542"/>
      <c r="RWI112" s="542"/>
      <c r="RWJ112" s="542"/>
      <c r="RWK112" s="542"/>
      <c r="RWL112" s="542"/>
      <c r="RWM112" s="542"/>
      <c r="RWN112" s="542"/>
      <c r="RWO112" s="542"/>
      <c r="RWP112" s="542"/>
      <c r="RWQ112" s="542"/>
      <c r="RWR112" s="542"/>
      <c r="RWS112" s="542"/>
      <c r="RWT112" s="542"/>
      <c r="RWU112" s="542"/>
      <c r="RWV112" s="542"/>
      <c r="RWW112" s="542"/>
      <c r="RWX112" s="542"/>
      <c r="RWY112" s="542"/>
      <c r="RWZ112" s="542"/>
      <c r="RXA112" s="542"/>
      <c r="RXB112" s="542"/>
      <c r="RXC112" s="542"/>
      <c r="RXD112" s="542"/>
      <c r="RXE112" s="542"/>
      <c r="RXF112" s="542"/>
      <c r="RXG112" s="542"/>
      <c r="RXH112" s="542"/>
      <c r="RXI112" s="542"/>
      <c r="RXJ112" s="542"/>
      <c r="RXK112" s="542"/>
      <c r="RXL112" s="542"/>
      <c r="RXM112" s="542"/>
      <c r="RXN112" s="542"/>
      <c r="RXO112" s="542"/>
      <c r="RXP112" s="542"/>
      <c r="RXQ112" s="542"/>
      <c r="RXR112" s="542"/>
      <c r="RXS112" s="542"/>
      <c r="RXT112" s="542"/>
      <c r="RXU112" s="542"/>
      <c r="RXV112" s="542"/>
      <c r="RXW112" s="542"/>
      <c r="RXX112" s="542"/>
      <c r="RXY112" s="542"/>
      <c r="RXZ112" s="542"/>
      <c r="RYA112" s="542"/>
      <c r="RYB112" s="542"/>
      <c r="RYC112" s="542"/>
      <c r="RYD112" s="542"/>
      <c r="RYE112" s="542"/>
      <c r="RYF112" s="542"/>
      <c r="RYG112" s="542"/>
      <c r="RYH112" s="542"/>
      <c r="RYI112" s="542"/>
      <c r="RYJ112" s="542"/>
      <c r="RYK112" s="542"/>
      <c r="RYL112" s="542"/>
      <c r="RYM112" s="542"/>
      <c r="RYN112" s="542"/>
      <c r="RYO112" s="542"/>
      <c r="RYP112" s="542"/>
      <c r="RYQ112" s="542"/>
      <c r="RYR112" s="542"/>
      <c r="RYS112" s="542"/>
      <c r="RYT112" s="542"/>
      <c r="RYU112" s="542"/>
      <c r="RYV112" s="542"/>
      <c r="RYW112" s="542"/>
      <c r="RYX112" s="542"/>
      <c r="RYY112" s="542"/>
      <c r="RYZ112" s="542"/>
      <c r="RZA112" s="542"/>
      <c r="RZB112" s="542"/>
      <c r="RZC112" s="542"/>
      <c r="RZD112" s="542"/>
      <c r="RZE112" s="542"/>
      <c r="RZF112" s="542"/>
      <c r="RZG112" s="542"/>
      <c r="RZH112" s="542"/>
      <c r="RZI112" s="542"/>
      <c r="RZJ112" s="542"/>
      <c r="RZK112" s="542"/>
      <c r="RZL112" s="542"/>
      <c r="RZM112" s="542"/>
      <c r="RZN112" s="542"/>
      <c r="RZO112" s="542"/>
      <c r="RZP112" s="542"/>
      <c r="RZQ112" s="542"/>
      <c r="RZR112" s="542"/>
      <c r="RZS112" s="542"/>
      <c r="RZT112" s="542"/>
      <c r="RZU112" s="542"/>
      <c r="RZV112" s="542"/>
      <c r="RZW112" s="542"/>
      <c r="RZX112" s="542"/>
      <c r="RZY112" s="542"/>
      <c r="RZZ112" s="542"/>
      <c r="SAA112" s="542"/>
      <c r="SAB112" s="542"/>
      <c r="SAC112" s="542"/>
      <c r="SAD112" s="542"/>
      <c r="SAE112" s="542"/>
      <c r="SAF112" s="542"/>
      <c r="SAG112" s="542"/>
      <c r="SAH112" s="542"/>
      <c r="SAI112" s="542"/>
      <c r="SAJ112" s="542"/>
      <c r="SAK112" s="542"/>
      <c r="SAL112" s="542"/>
      <c r="SAM112" s="542"/>
      <c r="SAN112" s="542"/>
      <c r="SAO112" s="542"/>
      <c r="SAP112" s="542"/>
      <c r="SAQ112" s="542"/>
      <c r="SAR112" s="542"/>
      <c r="SAS112" s="542"/>
      <c r="SAT112" s="542"/>
      <c r="SAU112" s="542"/>
      <c r="SAV112" s="542"/>
      <c r="SAW112" s="542"/>
      <c r="SAX112" s="542"/>
      <c r="SAY112" s="542"/>
      <c r="SAZ112" s="542"/>
      <c r="SBA112" s="542"/>
      <c r="SBB112" s="542"/>
      <c r="SBC112" s="542"/>
      <c r="SBD112" s="542"/>
      <c r="SBE112" s="542"/>
      <c r="SBF112" s="542"/>
      <c r="SBG112" s="542"/>
      <c r="SBH112" s="542"/>
      <c r="SBI112" s="542"/>
      <c r="SBJ112" s="542"/>
      <c r="SBK112" s="542"/>
      <c r="SBL112" s="542"/>
      <c r="SBM112" s="542"/>
      <c r="SBN112" s="542"/>
      <c r="SBO112" s="542"/>
      <c r="SBP112" s="542"/>
      <c r="SBQ112" s="542"/>
      <c r="SBR112" s="542"/>
      <c r="SBS112" s="542"/>
      <c r="SBT112" s="542"/>
      <c r="SBU112" s="542"/>
      <c r="SBV112" s="542"/>
      <c r="SBW112" s="542"/>
      <c r="SBX112" s="542"/>
      <c r="SBY112" s="542"/>
      <c r="SBZ112" s="542"/>
      <c r="SCA112" s="542"/>
      <c r="SCB112" s="542"/>
      <c r="SCC112" s="542"/>
      <c r="SCD112" s="542"/>
      <c r="SCE112" s="542"/>
      <c r="SCF112" s="542"/>
      <c r="SCG112" s="542"/>
      <c r="SCH112" s="542"/>
      <c r="SCI112" s="542"/>
      <c r="SCJ112" s="542"/>
      <c r="SCK112" s="542"/>
      <c r="SCL112" s="542"/>
      <c r="SCM112" s="542"/>
      <c r="SCN112" s="542"/>
      <c r="SCO112" s="542"/>
      <c r="SCP112" s="542"/>
      <c r="SCQ112" s="542"/>
      <c r="SCR112" s="542"/>
      <c r="SCS112" s="542"/>
      <c r="SCT112" s="542"/>
      <c r="SCU112" s="542"/>
      <c r="SCV112" s="542"/>
      <c r="SCW112" s="542"/>
      <c r="SCX112" s="542"/>
      <c r="SCY112" s="542"/>
      <c r="SCZ112" s="542"/>
      <c r="SDA112" s="542"/>
      <c r="SDB112" s="542"/>
      <c r="SDC112" s="542"/>
      <c r="SDD112" s="542"/>
      <c r="SDE112" s="542"/>
      <c r="SDF112" s="542"/>
      <c r="SDG112" s="542"/>
      <c r="SDH112" s="542"/>
      <c r="SDI112" s="542"/>
      <c r="SDJ112" s="542"/>
      <c r="SDK112" s="542"/>
      <c r="SDL112" s="542"/>
      <c r="SDM112" s="542"/>
      <c r="SDN112" s="542"/>
      <c r="SDO112" s="542"/>
      <c r="SDP112" s="542"/>
      <c r="SDQ112" s="542"/>
      <c r="SDR112" s="542"/>
      <c r="SDS112" s="542"/>
      <c r="SDT112" s="542"/>
      <c r="SDU112" s="542"/>
      <c r="SDV112" s="542"/>
      <c r="SDW112" s="542"/>
      <c r="SDX112" s="542"/>
      <c r="SDY112" s="542"/>
      <c r="SDZ112" s="542"/>
      <c r="SEA112" s="542"/>
      <c r="SEB112" s="542"/>
      <c r="SEC112" s="542"/>
      <c r="SED112" s="542"/>
      <c r="SEE112" s="542"/>
      <c r="SEF112" s="542"/>
      <c r="SEG112" s="542"/>
      <c r="SEH112" s="542"/>
      <c r="SEI112" s="542"/>
      <c r="SEJ112" s="542"/>
      <c r="SEK112" s="542"/>
      <c r="SEL112" s="542"/>
      <c r="SEM112" s="542"/>
      <c r="SEN112" s="542"/>
      <c r="SEO112" s="542"/>
      <c r="SEP112" s="542"/>
      <c r="SEQ112" s="542"/>
      <c r="SER112" s="542"/>
      <c r="SES112" s="542"/>
      <c r="SET112" s="542"/>
      <c r="SEU112" s="542"/>
      <c r="SEV112" s="542"/>
      <c r="SEW112" s="542"/>
      <c r="SEX112" s="542"/>
      <c r="SEY112" s="542"/>
      <c r="SEZ112" s="542"/>
      <c r="SFA112" s="542"/>
      <c r="SFB112" s="542"/>
      <c r="SFC112" s="542"/>
      <c r="SFD112" s="542"/>
      <c r="SFE112" s="542"/>
      <c r="SFF112" s="542"/>
      <c r="SFG112" s="542"/>
      <c r="SFH112" s="542"/>
      <c r="SFI112" s="542"/>
      <c r="SFJ112" s="542"/>
      <c r="SFK112" s="542"/>
      <c r="SFL112" s="542"/>
      <c r="SFM112" s="542"/>
      <c r="SFN112" s="542"/>
      <c r="SFO112" s="542"/>
      <c r="SFP112" s="542"/>
      <c r="SFQ112" s="542"/>
      <c r="SFR112" s="542"/>
      <c r="SFS112" s="542"/>
      <c r="SFT112" s="542"/>
      <c r="SFU112" s="542"/>
      <c r="SFV112" s="542"/>
      <c r="SFW112" s="542"/>
      <c r="SFX112" s="542"/>
      <c r="SFY112" s="542"/>
      <c r="SFZ112" s="542"/>
      <c r="SGA112" s="542"/>
      <c r="SGB112" s="542"/>
      <c r="SGC112" s="542"/>
      <c r="SGD112" s="542"/>
      <c r="SGE112" s="542"/>
      <c r="SGF112" s="542"/>
      <c r="SGG112" s="542"/>
      <c r="SGH112" s="542"/>
      <c r="SGI112" s="542"/>
      <c r="SGJ112" s="542"/>
      <c r="SGK112" s="542"/>
      <c r="SGL112" s="542"/>
      <c r="SGM112" s="542"/>
      <c r="SGN112" s="542"/>
      <c r="SGO112" s="542"/>
      <c r="SGP112" s="542"/>
      <c r="SGQ112" s="542"/>
      <c r="SGR112" s="542"/>
      <c r="SGS112" s="542"/>
      <c r="SGT112" s="542"/>
      <c r="SGU112" s="542"/>
      <c r="SGV112" s="542"/>
      <c r="SGW112" s="542"/>
      <c r="SGX112" s="542"/>
      <c r="SGY112" s="542"/>
      <c r="SGZ112" s="542"/>
      <c r="SHA112" s="542"/>
      <c r="SHB112" s="542"/>
      <c r="SHC112" s="542"/>
      <c r="SHD112" s="542"/>
      <c r="SHE112" s="542"/>
      <c r="SHF112" s="542"/>
      <c r="SHG112" s="542"/>
      <c r="SHH112" s="542"/>
      <c r="SHI112" s="542"/>
      <c r="SHJ112" s="542"/>
      <c r="SHK112" s="542"/>
      <c r="SHL112" s="542"/>
      <c r="SHM112" s="542"/>
      <c r="SHN112" s="542"/>
      <c r="SHO112" s="542"/>
      <c r="SHP112" s="542"/>
      <c r="SHQ112" s="542"/>
      <c r="SHR112" s="542"/>
      <c r="SHS112" s="542"/>
      <c r="SHT112" s="542"/>
      <c r="SHU112" s="542"/>
      <c r="SHV112" s="542"/>
      <c r="SHW112" s="542"/>
      <c r="SHX112" s="542"/>
      <c r="SHY112" s="542"/>
      <c r="SHZ112" s="542"/>
      <c r="SIA112" s="542"/>
      <c r="SIB112" s="542"/>
      <c r="SIC112" s="542"/>
      <c r="SID112" s="542"/>
      <c r="SIE112" s="542"/>
      <c r="SIF112" s="542"/>
      <c r="SIG112" s="542"/>
      <c r="SIH112" s="542"/>
      <c r="SII112" s="542"/>
      <c r="SIJ112" s="542"/>
      <c r="SIK112" s="542"/>
      <c r="SIL112" s="542"/>
      <c r="SIM112" s="542"/>
      <c r="SIN112" s="542"/>
      <c r="SIO112" s="542"/>
      <c r="SIP112" s="542"/>
      <c r="SIQ112" s="542"/>
      <c r="SIR112" s="542"/>
      <c r="SIS112" s="542"/>
      <c r="SIT112" s="542"/>
      <c r="SIU112" s="542"/>
      <c r="SIV112" s="542"/>
      <c r="SIW112" s="542"/>
      <c r="SIX112" s="542"/>
      <c r="SIY112" s="542"/>
      <c r="SIZ112" s="542"/>
      <c r="SJA112" s="542"/>
      <c r="SJB112" s="542"/>
      <c r="SJC112" s="542"/>
      <c r="SJD112" s="542"/>
      <c r="SJE112" s="542"/>
      <c r="SJF112" s="542"/>
      <c r="SJG112" s="542"/>
      <c r="SJH112" s="542"/>
      <c r="SJI112" s="542"/>
      <c r="SJJ112" s="542"/>
      <c r="SJK112" s="542"/>
      <c r="SJL112" s="542"/>
      <c r="SJM112" s="542"/>
      <c r="SJN112" s="542"/>
      <c r="SJO112" s="542"/>
      <c r="SJP112" s="542"/>
      <c r="SJQ112" s="542"/>
      <c r="SJR112" s="542"/>
      <c r="SJS112" s="542"/>
      <c r="SJT112" s="542"/>
      <c r="SJU112" s="542"/>
      <c r="SJV112" s="542"/>
      <c r="SJW112" s="542"/>
      <c r="SJX112" s="542"/>
      <c r="SJY112" s="542"/>
      <c r="SJZ112" s="542"/>
      <c r="SKA112" s="542"/>
      <c r="SKB112" s="542"/>
      <c r="SKC112" s="542"/>
      <c r="SKD112" s="542"/>
      <c r="SKE112" s="542"/>
      <c r="SKF112" s="542"/>
      <c r="SKG112" s="542"/>
      <c r="SKH112" s="542"/>
      <c r="SKI112" s="542"/>
      <c r="SKJ112" s="542"/>
      <c r="SKK112" s="542"/>
      <c r="SKL112" s="542"/>
      <c r="SKM112" s="542"/>
      <c r="SKN112" s="542"/>
      <c r="SKO112" s="542"/>
      <c r="SKP112" s="542"/>
      <c r="SKQ112" s="542"/>
      <c r="SKR112" s="542"/>
      <c r="SKS112" s="542"/>
      <c r="SKT112" s="542"/>
      <c r="SKU112" s="542"/>
      <c r="SKV112" s="542"/>
      <c r="SKW112" s="542"/>
      <c r="SKX112" s="542"/>
      <c r="SKY112" s="542"/>
      <c r="SKZ112" s="542"/>
      <c r="SLA112" s="542"/>
      <c r="SLB112" s="542"/>
      <c r="SLC112" s="542"/>
      <c r="SLD112" s="542"/>
      <c r="SLE112" s="542"/>
      <c r="SLF112" s="542"/>
      <c r="SLG112" s="542"/>
      <c r="SLH112" s="542"/>
      <c r="SLI112" s="542"/>
      <c r="SLJ112" s="542"/>
      <c r="SLK112" s="542"/>
      <c r="SLL112" s="542"/>
      <c r="SLM112" s="542"/>
      <c r="SLN112" s="542"/>
      <c r="SLO112" s="542"/>
      <c r="SLP112" s="542"/>
      <c r="SLQ112" s="542"/>
      <c r="SLR112" s="542"/>
      <c r="SLS112" s="542"/>
      <c r="SLT112" s="542"/>
      <c r="SLU112" s="542"/>
      <c r="SLV112" s="542"/>
      <c r="SLW112" s="542"/>
      <c r="SLX112" s="542"/>
      <c r="SLY112" s="542"/>
      <c r="SLZ112" s="542"/>
      <c r="SMA112" s="542"/>
      <c r="SMB112" s="542"/>
      <c r="SMC112" s="542"/>
      <c r="SMD112" s="542"/>
      <c r="SME112" s="542"/>
      <c r="SMF112" s="542"/>
      <c r="SMG112" s="542"/>
      <c r="SMH112" s="542"/>
      <c r="SMI112" s="542"/>
      <c r="SMJ112" s="542"/>
      <c r="SMK112" s="542"/>
      <c r="SML112" s="542"/>
      <c r="SMM112" s="542"/>
      <c r="SMN112" s="542"/>
      <c r="SMO112" s="542"/>
      <c r="SMP112" s="542"/>
      <c r="SMQ112" s="542"/>
      <c r="SMR112" s="542"/>
      <c r="SMS112" s="542"/>
      <c r="SMT112" s="542"/>
      <c r="SMU112" s="542"/>
      <c r="SMV112" s="542"/>
      <c r="SMW112" s="542"/>
      <c r="SMX112" s="542"/>
      <c r="SMY112" s="542"/>
      <c r="SMZ112" s="542"/>
      <c r="SNA112" s="542"/>
      <c r="SNB112" s="542"/>
      <c r="SNC112" s="542"/>
      <c r="SND112" s="542"/>
      <c r="SNE112" s="542"/>
      <c r="SNF112" s="542"/>
      <c r="SNG112" s="542"/>
      <c r="SNH112" s="542"/>
      <c r="SNI112" s="542"/>
      <c r="SNJ112" s="542"/>
      <c r="SNK112" s="542"/>
      <c r="SNL112" s="542"/>
      <c r="SNM112" s="542"/>
      <c r="SNN112" s="542"/>
      <c r="SNO112" s="542"/>
      <c r="SNP112" s="542"/>
      <c r="SNQ112" s="542"/>
      <c r="SNR112" s="542"/>
      <c r="SNS112" s="542"/>
      <c r="SNT112" s="542"/>
      <c r="SNU112" s="542"/>
      <c r="SNV112" s="542"/>
      <c r="SNW112" s="542"/>
      <c r="SNX112" s="542"/>
      <c r="SNY112" s="542"/>
      <c r="SNZ112" s="542"/>
      <c r="SOA112" s="542"/>
      <c r="SOB112" s="542"/>
      <c r="SOC112" s="542"/>
      <c r="SOD112" s="542"/>
      <c r="SOE112" s="542"/>
      <c r="SOF112" s="542"/>
      <c r="SOG112" s="542"/>
      <c r="SOH112" s="542"/>
      <c r="SOI112" s="542"/>
      <c r="SOJ112" s="542"/>
      <c r="SOK112" s="542"/>
      <c r="SOL112" s="542"/>
      <c r="SOM112" s="542"/>
      <c r="SON112" s="542"/>
      <c r="SOO112" s="542"/>
      <c r="SOP112" s="542"/>
      <c r="SOQ112" s="542"/>
      <c r="SOR112" s="542"/>
      <c r="SOS112" s="542"/>
      <c r="SOT112" s="542"/>
      <c r="SOU112" s="542"/>
      <c r="SOV112" s="542"/>
      <c r="SOW112" s="542"/>
      <c r="SOX112" s="542"/>
      <c r="SOY112" s="542"/>
      <c r="SOZ112" s="542"/>
      <c r="SPA112" s="542"/>
      <c r="SPB112" s="542"/>
      <c r="SPC112" s="542"/>
      <c r="SPD112" s="542"/>
      <c r="SPE112" s="542"/>
      <c r="SPF112" s="542"/>
      <c r="SPG112" s="542"/>
      <c r="SPH112" s="542"/>
      <c r="SPI112" s="542"/>
      <c r="SPJ112" s="542"/>
      <c r="SPK112" s="542"/>
      <c r="SPL112" s="542"/>
      <c r="SPM112" s="542"/>
      <c r="SPN112" s="542"/>
      <c r="SPO112" s="542"/>
      <c r="SPP112" s="542"/>
      <c r="SPQ112" s="542"/>
      <c r="SPR112" s="542"/>
      <c r="SPS112" s="542"/>
      <c r="SPT112" s="542"/>
      <c r="SPU112" s="542"/>
      <c r="SPV112" s="542"/>
      <c r="SPW112" s="542"/>
      <c r="SPX112" s="542"/>
      <c r="SPY112" s="542"/>
      <c r="SPZ112" s="542"/>
      <c r="SQA112" s="542"/>
      <c r="SQB112" s="542"/>
      <c r="SQC112" s="542"/>
      <c r="SQD112" s="542"/>
      <c r="SQE112" s="542"/>
      <c r="SQF112" s="542"/>
      <c r="SQG112" s="542"/>
      <c r="SQH112" s="542"/>
      <c r="SQI112" s="542"/>
      <c r="SQJ112" s="542"/>
      <c r="SQK112" s="542"/>
      <c r="SQL112" s="542"/>
      <c r="SQM112" s="542"/>
      <c r="SQN112" s="542"/>
      <c r="SQO112" s="542"/>
      <c r="SQP112" s="542"/>
      <c r="SQQ112" s="542"/>
      <c r="SQR112" s="542"/>
      <c r="SQS112" s="542"/>
      <c r="SQT112" s="542"/>
      <c r="SQU112" s="542"/>
      <c r="SQV112" s="542"/>
      <c r="SQW112" s="542"/>
      <c r="SQX112" s="542"/>
      <c r="SQY112" s="542"/>
      <c r="SQZ112" s="542"/>
      <c r="SRA112" s="542"/>
      <c r="SRB112" s="542"/>
      <c r="SRC112" s="542"/>
      <c r="SRD112" s="542"/>
      <c r="SRE112" s="542"/>
      <c r="SRF112" s="542"/>
      <c r="SRG112" s="542"/>
      <c r="SRH112" s="542"/>
      <c r="SRI112" s="542"/>
      <c r="SRJ112" s="542"/>
      <c r="SRK112" s="542"/>
      <c r="SRL112" s="542"/>
      <c r="SRM112" s="542"/>
      <c r="SRN112" s="542"/>
      <c r="SRO112" s="542"/>
      <c r="SRP112" s="542"/>
      <c r="SRQ112" s="542"/>
      <c r="SRR112" s="542"/>
      <c r="SRS112" s="542"/>
      <c r="SRT112" s="542"/>
      <c r="SRU112" s="542"/>
      <c r="SRV112" s="542"/>
      <c r="SRW112" s="542"/>
      <c r="SRX112" s="542"/>
      <c r="SRY112" s="542"/>
      <c r="SRZ112" s="542"/>
      <c r="SSA112" s="542"/>
      <c r="SSB112" s="542"/>
      <c r="SSC112" s="542"/>
      <c r="SSD112" s="542"/>
      <c r="SSE112" s="542"/>
      <c r="SSF112" s="542"/>
      <c r="SSG112" s="542"/>
      <c r="SSH112" s="542"/>
      <c r="SSI112" s="542"/>
      <c r="SSJ112" s="542"/>
      <c r="SSK112" s="542"/>
      <c r="SSL112" s="542"/>
      <c r="SSM112" s="542"/>
      <c r="SSN112" s="542"/>
      <c r="SSO112" s="542"/>
      <c r="SSP112" s="542"/>
      <c r="SSQ112" s="542"/>
      <c r="SSR112" s="542"/>
      <c r="SSS112" s="542"/>
      <c r="SST112" s="542"/>
      <c r="SSU112" s="542"/>
      <c r="SSV112" s="542"/>
      <c r="SSW112" s="542"/>
      <c r="SSX112" s="542"/>
      <c r="SSY112" s="542"/>
      <c r="SSZ112" s="542"/>
      <c r="STA112" s="542"/>
      <c r="STB112" s="542"/>
      <c r="STC112" s="542"/>
      <c r="STD112" s="542"/>
      <c r="STE112" s="542"/>
      <c r="STF112" s="542"/>
      <c r="STG112" s="542"/>
      <c r="STH112" s="542"/>
      <c r="STI112" s="542"/>
      <c r="STJ112" s="542"/>
      <c r="STK112" s="542"/>
      <c r="STL112" s="542"/>
      <c r="STM112" s="542"/>
      <c r="STN112" s="542"/>
      <c r="STO112" s="542"/>
      <c r="STP112" s="542"/>
      <c r="STQ112" s="542"/>
      <c r="STR112" s="542"/>
      <c r="STS112" s="542"/>
      <c r="STT112" s="542"/>
      <c r="STU112" s="542"/>
      <c r="STV112" s="542"/>
      <c r="STW112" s="542"/>
      <c r="STX112" s="542"/>
      <c r="STY112" s="542"/>
      <c r="STZ112" s="542"/>
      <c r="SUA112" s="542"/>
      <c r="SUB112" s="542"/>
      <c r="SUC112" s="542"/>
      <c r="SUD112" s="542"/>
      <c r="SUE112" s="542"/>
      <c r="SUF112" s="542"/>
      <c r="SUG112" s="542"/>
      <c r="SUH112" s="542"/>
      <c r="SUI112" s="542"/>
      <c r="SUJ112" s="542"/>
      <c r="SUK112" s="542"/>
      <c r="SUL112" s="542"/>
      <c r="SUM112" s="542"/>
      <c r="SUN112" s="542"/>
      <c r="SUO112" s="542"/>
      <c r="SUP112" s="542"/>
      <c r="SUQ112" s="542"/>
      <c r="SUR112" s="542"/>
      <c r="SUS112" s="542"/>
      <c r="SUT112" s="542"/>
      <c r="SUU112" s="542"/>
      <c r="SUV112" s="542"/>
      <c r="SUW112" s="542"/>
      <c r="SUX112" s="542"/>
      <c r="SUY112" s="542"/>
      <c r="SUZ112" s="542"/>
      <c r="SVA112" s="542"/>
      <c r="SVB112" s="542"/>
      <c r="SVC112" s="542"/>
      <c r="SVD112" s="542"/>
      <c r="SVE112" s="542"/>
      <c r="SVF112" s="542"/>
      <c r="SVG112" s="542"/>
      <c r="SVH112" s="542"/>
      <c r="SVI112" s="542"/>
      <c r="SVJ112" s="542"/>
      <c r="SVK112" s="542"/>
      <c r="SVL112" s="542"/>
      <c r="SVM112" s="542"/>
      <c r="SVN112" s="542"/>
      <c r="SVO112" s="542"/>
      <c r="SVP112" s="542"/>
      <c r="SVQ112" s="542"/>
      <c r="SVR112" s="542"/>
      <c r="SVS112" s="542"/>
      <c r="SVT112" s="542"/>
      <c r="SVU112" s="542"/>
      <c r="SVV112" s="542"/>
      <c r="SVW112" s="542"/>
      <c r="SVX112" s="542"/>
      <c r="SVY112" s="542"/>
      <c r="SVZ112" s="542"/>
      <c r="SWA112" s="542"/>
      <c r="SWB112" s="542"/>
      <c r="SWC112" s="542"/>
      <c r="SWD112" s="542"/>
      <c r="SWE112" s="542"/>
      <c r="SWF112" s="542"/>
      <c r="SWG112" s="542"/>
      <c r="SWH112" s="542"/>
      <c r="SWI112" s="542"/>
      <c r="SWJ112" s="542"/>
      <c r="SWK112" s="542"/>
      <c r="SWL112" s="542"/>
      <c r="SWM112" s="542"/>
      <c r="SWN112" s="542"/>
      <c r="SWO112" s="542"/>
      <c r="SWP112" s="542"/>
      <c r="SWQ112" s="542"/>
      <c r="SWR112" s="542"/>
      <c r="SWS112" s="542"/>
      <c r="SWT112" s="542"/>
      <c r="SWU112" s="542"/>
      <c r="SWV112" s="542"/>
      <c r="SWW112" s="542"/>
      <c r="SWX112" s="542"/>
      <c r="SWY112" s="542"/>
      <c r="SWZ112" s="542"/>
      <c r="SXA112" s="542"/>
      <c r="SXB112" s="542"/>
      <c r="SXC112" s="542"/>
      <c r="SXD112" s="542"/>
      <c r="SXE112" s="542"/>
      <c r="SXF112" s="542"/>
      <c r="SXG112" s="542"/>
      <c r="SXH112" s="542"/>
      <c r="SXI112" s="542"/>
      <c r="SXJ112" s="542"/>
      <c r="SXK112" s="542"/>
      <c r="SXL112" s="542"/>
      <c r="SXM112" s="542"/>
      <c r="SXN112" s="542"/>
      <c r="SXO112" s="542"/>
      <c r="SXP112" s="542"/>
      <c r="SXQ112" s="542"/>
      <c r="SXR112" s="542"/>
      <c r="SXS112" s="542"/>
      <c r="SXT112" s="542"/>
      <c r="SXU112" s="542"/>
      <c r="SXV112" s="542"/>
      <c r="SXW112" s="542"/>
      <c r="SXX112" s="542"/>
      <c r="SXY112" s="542"/>
      <c r="SXZ112" s="542"/>
      <c r="SYA112" s="542"/>
      <c r="SYB112" s="542"/>
      <c r="SYC112" s="542"/>
      <c r="SYD112" s="542"/>
      <c r="SYE112" s="542"/>
      <c r="SYF112" s="542"/>
      <c r="SYG112" s="542"/>
      <c r="SYH112" s="542"/>
      <c r="SYI112" s="542"/>
      <c r="SYJ112" s="542"/>
      <c r="SYK112" s="542"/>
      <c r="SYL112" s="542"/>
      <c r="SYM112" s="542"/>
      <c r="SYN112" s="542"/>
      <c r="SYO112" s="542"/>
      <c r="SYP112" s="542"/>
      <c r="SYQ112" s="542"/>
      <c r="SYR112" s="542"/>
      <c r="SYS112" s="542"/>
      <c r="SYT112" s="542"/>
      <c r="SYU112" s="542"/>
      <c r="SYV112" s="542"/>
      <c r="SYW112" s="542"/>
      <c r="SYX112" s="542"/>
      <c r="SYY112" s="542"/>
      <c r="SYZ112" s="542"/>
      <c r="SZA112" s="542"/>
      <c r="SZB112" s="542"/>
      <c r="SZC112" s="542"/>
      <c r="SZD112" s="542"/>
      <c r="SZE112" s="542"/>
      <c r="SZF112" s="542"/>
      <c r="SZG112" s="542"/>
      <c r="SZH112" s="542"/>
      <c r="SZI112" s="542"/>
      <c r="SZJ112" s="542"/>
      <c r="SZK112" s="542"/>
      <c r="SZL112" s="542"/>
      <c r="SZM112" s="542"/>
      <c r="SZN112" s="542"/>
      <c r="SZO112" s="542"/>
      <c r="SZP112" s="542"/>
      <c r="SZQ112" s="542"/>
      <c r="SZR112" s="542"/>
      <c r="SZS112" s="542"/>
      <c r="SZT112" s="542"/>
      <c r="SZU112" s="542"/>
      <c r="SZV112" s="542"/>
      <c r="SZW112" s="542"/>
      <c r="SZX112" s="542"/>
      <c r="SZY112" s="542"/>
      <c r="SZZ112" s="542"/>
      <c r="TAA112" s="542"/>
      <c r="TAB112" s="542"/>
      <c r="TAC112" s="542"/>
      <c r="TAD112" s="542"/>
      <c r="TAE112" s="542"/>
      <c r="TAF112" s="542"/>
      <c r="TAG112" s="542"/>
      <c r="TAH112" s="542"/>
      <c r="TAI112" s="542"/>
      <c r="TAJ112" s="542"/>
      <c r="TAK112" s="542"/>
      <c r="TAL112" s="542"/>
      <c r="TAM112" s="542"/>
      <c r="TAN112" s="542"/>
      <c r="TAO112" s="542"/>
      <c r="TAP112" s="542"/>
      <c r="TAQ112" s="542"/>
      <c r="TAR112" s="542"/>
      <c r="TAS112" s="542"/>
      <c r="TAT112" s="542"/>
      <c r="TAU112" s="542"/>
      <c r="TAV112" s="542"/>
      <c r="TAW112" s="542"/>
      <c r="TAX112" s="542"/>
      <c r="TAY112" s="542"/>
      <c r="TAZ112" s="542"/>
      <c r="TBA112" s="542"/>
      <c r="TBB112" s="542"/>
      <c r="TBC112" s="542"/>
      <c r="TBD112" s="542"/>
      <c r="TBE112" s="542"/>
      <c r="TBF112" s="542"/>
      <c r="TBG112" s="542"/>
      <c r="TBH112" s="542"/>
      <c r="TBI112" s="542"/>
      <c r="TBJ112" s="542"/>
      <c r="TBK112" s="542"/>
      <c r="TBL112" s="542"/>
      <c r="TBM112" s="542"/>
      <c r="TBN112" s="542"/>
      <c r="TBO112" s="542"/>
      <c r="TBP112" s="542"/>
      <c r="TBQ112" s="542"/>
      <c r="TBR112" s="542"/>
      <c r="TBS112" s="542"/>
      <c r="TBT112" s="542"/>
      <c r="TBU112" s="542"/>
      <c r="TBV112" s="542"/>
      <c r="TBW112" s="542"/>
      <c r="TBX112" s="542"/>
      <c r="TBY112" s="542"/>
      <c r="TBZ112" s="542"/>
      <c r="TCA112" s="542"/>
      <c r="TCB112" s="542"/>
      <c r="TCC112" s="542"/>
      <c r="TCD112" s="542"/>
      <c r="TCE112" s="542"/>
      <c r="TCF112" s="542"/>
      <c r="TCG112" s="542"/>
      <c r="TCH112" s="542"/>
      <c r="TCI112" s="542"/>
      <c r="TCJ112" s="542"/>
      <c r="TCK112" s="542"/>
      <c r="TCL112" s="542"/>
      <c r="TCM112" s="542"/>
      <c r="TCN112" s="542"/>
      <c r="TCO112" s="542"/>
      <c r="TCP112" s="542"/>
      <c r="TCQ112" s="542"/>
      <c r="TCR112" s="542"/>
      <c r="TCS112" s="542"/>
      <c r="TCT112" s="542"/>
      <c r="TCU112" s="542"/>
      <c r="TCV112" s="542"/>
      <c r="TCW112" s="542"/>
      <c r="TCX112" s="542"/>
      <c r="TCY112" s="542"/>
      <c r="TCZ112" s="542"/>
      <c r="TDA112" s="542"/>
      <c r="TDB112" s="542"/>
      <c r="TDC112" s="542"/>
      <c r="TDD112" s="542"/>
      <c r="TDE112" s="542"/>
      <c r="TDF112" s="542"/>
      <c r="TDG112" s="542"/>
      <c r="TDH112" s="542"/>
      <c r="TDI112" s="542"/>
      <c r="TDJ112" s="542"/>
      <c r="TDK112" s="542"/>
      <c r="TDL112" s="542"/>
      <c r="TDM112" s="542"/>
      <c r="TDN112" s="542"/>
      <c r="TDO112" s="542"/>
      <c r="TDP112" s="542"/>
      <c r="TDQ112" s="542"/>
      <c r="TDR112" s="542"/>
      <c r="TDS112" s="542"/>
      <c r="TDT112" s="542"/>
      <c r="TDU112" s="542"/>
      <c r="TDV112" s="542"/>
      <c r="TDW112" s="542"/>
      <c r="TDX112" s="542"/>
      <c r="TDY112" s="542"/>
      <c r="TDZ112" s="542"/>
      <c r="TEA112" s="542"/>
      <c r="TEB112" s="542"/>
      <c r="TEC112" s="542"/>
      <c r="TED112" s="542"/>
      <c r="TEE112" s="542"/>
      <c r="TEF112" s="542"/>
      <c r="TEG112" s="542"/>
      <c r="TEH112" s="542"/>
      <c r="TEI112" s="542"/>
      <c r="TEJ112" s="542"/>
      <c r="TEK112" s="542"/>
      <c r="TEL112" s="542"/>
      <c r="TEM112" s="542"/>
      <c r="TEN112" s="542"/>
      <c r="TEO112" s="542"/>
      <c r="TEP112" s="542"/>
      <c r="TEQ112" s="542"/>
      <c r="TER112" s="542"/>
      <c r="TES112" s="542"/>
      <c r="TET112" s="542"/>
      <c r="TEU112" s="542"/>
      <c r="TEV112" s="542"/>
      <c r="TEW112" s="542"/>
      <c r="TEX112" s="542"/>
      <c r="TEY112" s="542"/>
      <c r="TEZ112" s="542"/>
      <c r="TFA112" s="542"/>
      <c r="TFB112" s="542"/>
      <c r="TFC112" s="542"/>
      <c r="TFD112" s="542"/>
      <c r="TFE112" s="542"/>
      <c r="TFF112" s="542"/>
      <c r="TFG112" s="542"/>
      <c r="TFH112" s="542"/>
      <c r="TFI112" s="542"/>
      <c r="TFJ112" s="542"/>
      <c r="TFK112" s="542"/>
      <c r="TFL112" s="542"/>
      <c r="TFM112" s="542"/>
      <c r="TFN112" s="542"/>
      <c r="TFO112" s="542"/>
      <c r="TFP112" s="542"/>
      <c r="TFQ112" s="542"/>
      <c r="TFR112" s="542"/>
      <c r="TFS112" s="542"/>
      <c r="TFT112" s="542"/>
      <c r="TFU112" s="542"/>
      <c r="TFV112" s="542"/>
      <c r="TFW112" s="542"/>
      <c r="TFX112" s="542"/>
      <c r="TFY112" s="542"/>
      <c r="TFZ112" s="542"/>
      <c r="TGA112" s="542"/>
      <c r="TGB112" s="542"/>
      <c r="TGC112" s="542"/>
      <c r="TGD112" s="542"/>
      <c r="TGE112" s="542"/>
      <c r="TGF112" s="542"/>
      <c r="TGG112" s="542"/>
      <c r="TGH112" s="542"/>
      <c r="TGI112" s="542"/>
      <c r="TGJ112" s="542"/>
      <c r="TGK112" s="542"/>
      <c r="TGL112" s="542"/>
      <c r="TGM112" s="542"/>
      <c r="TGN112" s="542"/>
      <c r="TGO112" s="542"/>
      <c r="TGP112" s="542"/>
      <c r="TGQ112" s="542"/>
      <c r="TGR112" s="542"/>
      <c r="TGS112" s="542"/>
      <c r="TGT112" s="542"/>
      <c r="TGU112" s="542"/>
      <c r="TGV112" s="542"/>
      <c r="TGW112" s="542"/>
      <c r="TGX112" s="542"/>
      <c r="TGY112" s="542"/>
      <c r="TGZ112" s="542"/>
      <c r="THA112" s="542"/>
      <c r="THB112" s="542"/>
      <c r="THC112" s="542"/>
      <c r="THD112" s="542"/>
      <c r="THE112" s="542"/>
      <c r="THF112" s="542"/>
      <c r="THG112" s="542"/>
      <c r="THH112" s="542"/>
      <c r="THI112" s="542"/>
      <c r="THJ112" s="542"/>
      <c r="THK112" s="542"/>
      <c r="THL112" s="542"/>
      <c r="THM112" s="542"/>
      <c r="THN112" s="542"/>
      <c r="THO112" s="542"/>
      <c r="THP112" s="542"/>
      <c r="THQ112" s="542"/>
      <c r="THR112" s="542"/>
      <c r="THS112" s="542"/>
      <c r="THT112" s="542"/>
      <c r="THU112" s="542"/>
      <c r="THV112" s="542"/>
      <c r="THW112" s="542"/>
      <c r="THX112" s="542"/>
      <c r="THY112" s="542"/>
      <c r="THZ112" s="542"/>
      <c r="TIA112" s="542"/>
      <c r="TIB112" s="542"/>
      <c r="TIC112" s="542"/>
      <c r="TID112" s="542"/>
      <c r="TIE112" s="542"/>
      <c r="TIF112" s="542"/>
      <c r="TIG112" s="542"/>
      <c r="TIH112" s="542"/>
      <c r="TII112" s="542"/>
      <c r="TIJ112" s="542"/>
      <c r="TIK112" s="542"/>
      <c r="TIL112" s="542"/>
      <c r="TIM112" s="542"/>
      <c r="TIN112" s="542"/>
      <c r="TIO112" s="542"/>
      <c r="TIP112" s="542"/>
      <c r="TIQ112" s="542"/>
      <c r="TIR112" s="542"/>
      <c r="TIS112" s="542"/>
      <c r="TIT112" s="542"/>
      <c r="TIU112" s="542"/>
      <c r="TIV112" s="542"/>
      <c r="TIW112" s="542"/>
      <c r="TIX112" s="542"/>
      <c r="TIY112" s="542"/>
      <c r="TIZ112" s="542"/>
      <c r="TJA112" s="542"/>
      <c r="TJB112" s="542"/>
      <c r="TJC112" s="542"/>
      <c r="TJD112" s="542"/>
      <c r="TJE112" s="542"/>
      <c r="TJF112" s="542"/>
      <c r="TJG112" s="542"/>
      <c r="TJH112" s="542"/>
      <c r="TJI112" s="542"/>
      <c r="TJJ112" s="542"/>
      <c r="TJK112" s="542"/>
      <c r="TJL112" s="542"/>
      <c r="TJM112" s="542"/>
      <c r="TJN112" s="542"/>
      <c r="TJO112" s="542"/>
      <c r="TJP112" s="542"/>
      <c r="TJQ112" s="542"/>
      <c r="TJR112" s="542"/>
      <c r="TJS112" s="542"/>
      <c r="TJT112" s="542"/>
      <c r="TJU112" s="542"/>
      <c r="TJV112" s="542"/>
      <c r="TJW112" s="542"/>
      <c r="TJX112" s="542"/>
      <c r="TJY112" s="542"/>
      <c r="TJZ112" s="542"/>
      <c r="TKA112" s="542"/>
      <c r="TKB112" s="542"/>
      <c r="TKC112" s="542"/>
      <c r="TKD112" s="542"/>
      <c r="TKE112" s="542"/>
      <c r="TKF112" s="542"/>
      <c r="TKG112" s="542"/>
      <c r="TKH112" s="542"/>
      <c r="TKI112" s="542"/>
      <c r="TKJ112" s="542"/>
      <c r="TKK112" s="542"/>
      <c r="TKL112" s="542"/>
      <c r="TKM112" s="542"/>
      <c r="TKN112" s="542"/>
      <c r="TKO112" s="542"/>
      <c r="TKP112" s="542"/>
      <c r="TKQ112" s="542"/>
      <c r="TKR112" s="542"/>
      <c r="TKS112" s="542"/>
      <c r="TKT112" s="542"/>
      <c r="TKU112" s="542"/>
      <c r="TKV112" s="542"/>
      <c r="TKW112" s="542"/>
      <c r="TKX112" s="542"/>
      <c r="TKY112" s="542"/>
      <c r="TKZ112" s="542"/>
      <c r="TLA112" s="542"/>
      <c r="TLB112" s="542"/>
      <c r="TLC112" s="542"/>
      <c r="TLD112" s="542"/>
      <c r="TLE112" s="542"/>
      <c r="TLF112" s="542"/>
      <c r="TLG112" s="542"/>
      <c r="TLH112" s="542"/>
      <c r="TLI112" s="542"/>
      <c r="TLJ112" s="542"/>
      <c r="TLK112" s="542"/>
      <c r="TLL112" s="542"/>
      <c r="TLM112" s="542"/>
      <c r="TLN112" s="542"/>
      <c r="TLO112" s="542"/>
      <c r="TLP112" s="542"/>
      <c r="TLQ112" s="542"/>
      <c r="TLR112" s="542"/>
      <c r="TLS112" s="542"/>
      <c r="TLT112" s="542"/>
      <c r="TLU112" s="542"/>
      <c r="TLV112" s="542"/>
      <c r="TLW112" s="542"/>
      <c r="TLX112" s="542"/>
      <c r="TLY112" s="542"/>
      <c r="TLZ112" s="542"/>
      <c r="TMA112" s="542"/>
      <c r="TMB112" s="542"/>
      <c r="TMC112" s="542"/>
      <c r="TMD112" s="542"/>
      <c r="TME112" s="542"/>
      <c r="TMF112" s="542"/>
      <c r="TMG112" s="542"/>
      <c r="TMH112" s="542"/>
      <c r="TMI112" s="542"/>
      <c r="TMJ112" s="542"/>
      <c r="TMK112" s="542"/>
      <c r="TML112" s="542"/>
      <c r="TMM112" s="542"/>
      <c r="TMN112" s="542"/>
      <c r="TMO112" s="542"/>
      <c r="TMP112" s="542"/>
      <c r="TMQ112" s="542"/>
      <c r="TMR112" s="542"/>
      <c r="TMS112" s="542"/>
      <c r="TMT112" s="542"/>
      <c r="TMU112" s="542"/>
      <c r="TMV112" s="542"/>
      <c r="TMW112" s="542"/>
      <c r="TMX112" s="542"/>
      <c r="TMY112" s="542"/>
      <c r="TMZ112" s="542"/>
      <c r="TNA112" s="542"/>
      <c r="TNB112" s="542"/>
      <c r="TNC112" s="542"/>
      <c r="TND112" s="542"/>
      <c r="TNE112" s="542"/>
      <c r="TNF112" s="542"/>
      <c r="TNG112" s="542"/>
      <c r="TNH112" s="542"/>
      <c r="TNI112" s="542"/>
      <c r="TNJ112" s="542"/>
      <c r="TNK112" s="542"/>
      <c r="TNL112" s="542"/>
      <c r="TNM112" s="542"/>
      <c r="TNN112" s="542"/>
      <c r="TNO112" s="542"/>
      <c r="TNP112" s="542"/>
      <c r="TNQ112" s="542"/>
      <c r="TNR112" s="542"/>
      <c r="TNS112" s="542"/>
      <c r="TNT112" s="542"/>
      <c r="TNU112" s="542"/>
      <c r="TNV112" s="542"/>
      <c r="TNW112" s="542"/>
      <c r="TNX112" s="542"/>
      <c r="TNY112" s="542"/>
      <c r="TNZ112" s="542"/>
      <c r="TOA112" s="542"/>
      <c r="TOB112" s="542"/>
      <c r="TOC112" s="542"/>
      <c r="TOD112" s="542"/>
      <c r="TOE112" s="542"/>
      <c r="TOF112" s="542"/>
      <c r="TOG112" s="542"/>
      <c r="TOH112" s="542"/>
      <c r="TOI112" s="542"/>
      <c r="TOJ112" s="542"/>
      <c r="TOK112" s="542"/>
      <c r="TOL112" s="542"/>
      <c r="TOM112" s="542"/>
      <c r="TON112" s="542"/>
      <c r="TOO112" s="542"/>
      <c r="TOP112" s="542"/>
      <c r="TOQ112" s="542"/>
      <c r="TOR112" s="542"/>
      <c r="TOS112" s="542"/>
      <c r="TOT112" s="542"/>
      <c r="TOU112" s="542"/>
      <c r="TOV112" s="542"/>
      <c r="TOW112" s="542"/>
      <c r="TOX112" s="542"/>
      <c r="TOY112" s="542"/>
      <c r="TOZ112" s="542"/>
      <c r="TPA112" s="542"/>
      <c r="TPB112" s="542"/>
      <c r="TPC112" s="542"/>
      <c r="TPD112" s="542"/>
      <c r="TPE112" s="542"/>
      <c r="TPF112" s="542"/>
      <c r="TPG112" s="542"/>
      <c r="TPH112" s="542"/>
      <c r="TPI112" s="542"/>
      <c r="TPJ112" s="542"/>
      <c r="TPK112" s="542"/>
      <c r="TPL112" s="542"/>
      <c r="TPM112" s="542"/>
      <c r="TPN112" s="542"/>
      <c r="TPO112" s="542"/>
      <c r="TPP112" s="542"/>
      <c r="TPQ112" s="542"/>
      <c r="TPR112" s="542"/>
      <c r="TPS112" s="542"/>
      <c r="TPT112" s="542"/>
      <c r="TPU112" s="542"/>
      <c r="TPV112" s="542"/>
      <c r="TPW112" s="542"/>
      <c r="TPX112" s="542"/>
      <c r="TPY112" s="542"/>
      <c r="TPZ112" s="542"/>
      <c r="TQA112" s="542"/>
      <c r="TQB112" s="542"/>
      <c r="TQC112" s="542"/>
      <c r="TQD112" s="542"/>
      <c r="TQE112" s="542"/>
      <c r="TQF112" s="542"/>
      <c r="TQG112" s="542"/>
      <c r="TQH112" s="542"/>
      <c r="TQI112" s="542"/>
      <c r="TQJ112" s="542"/>
      <c r="TQK112" s="542"/>
      <c r="TQL112" s="542"/>
      <c r="TQM112" s="542"/>
      <c r="TQN112" s="542"/>
      <c r="TQO112" s="542"/>
      <c r="TQP112" s="542"/>
      <c r="TQQ112" s="542"/>
      <c r="TQR112" s="542"/>
      <c r="TQS112" s="542"/>
      <c r="TQT112" s="542"/>
      <c r="TQU112" s="542"/>
      <c r="TQV112" s="542"/>
      <c r="TQW112" s="542"/>
      <c r="TQX112" s="542"/>
      <c r="TQY112" s="542"/>
      <c r="TQZ112" s="542"/>
      <c r="TRA112" s="542"/>
      <c r="TRB112" s="542"/>
      <c r="TRC112" s="542"/>
      <c r="TRD112" s="542"/>
      <c r="TRE112" s="542"/>
      <c r="TRF112" s="542"/>
      <c r="TRG112" s="542"/>
      <c r="TRH112" s="542"/>
      <c r="TRI112" s="542"/>
      <c r="TRJ112" s="542"/>
      <c r="TRK112" s="542"/>
      <c r="TRL112" s="542"/>
      <c r="TRM112" s="542"/>
      <c r="TRN112" s="542"/>
      <c r="TRO112" s="542"/>
      <c r="TRP112" s="542"/>
      <c r="TRQ112" s="542"/>
      <c r="TRR112" s="542"/>
      <c r="TRS112" s="542"/>
      <c r="TRT112" s="542"/>
      <c r="TRU112" s="542"/>
      <c r="TRV112" s="542"/>
      <c r="TRW112" s="542"/>
      <c r="TRX112" s="542"/>
      <c r="TRY112" s="542"/>
      <c r="TRZ112" s="542"/>
      <c r="TSA112" s="542"/>
      <c r="TSB112" s="542"/>
      <c r="TSC112" s="542"/>
      <c r="TSD112" s="542"/>
      <c r="TSE112" s="542"/>
      <c r="TSF112" s="542"/>
      <c r="TSG112" s="542"/>
      <c r="TSH112" s="542"/>
      <c r="TSI112" s="542"/>
      <c r="TSJ112" s="542"/>
      <c r="TSK112" s="542"/>
      <c r="TSL112" s="542"/>
      <c r="TSM112" s="542"/>
      <c r="TSN112" s="542"/>
      <c r="TSO112" s="542"/>
      <c r="TSP112" s="542"/>
      <c r="TSQ112" s="542"/>
      <c r="TSR112" s="542"/>
      <c r="TSS112" s="542"/>
      <c r="TST112" s="542"/>
      <c r="TSU112" s="542"/>
      <c r="TSV112" s="542"/>
      <c r="TSW112" s="542"/>
      <c r="TSX112" s="542"/>
      <c r="TSY112" s="542"/>
      <c r="TSZ112" s="542"/>
      <c r="TTA112" s="542"/>
      <c r="TTB112" s="542"/>
      <c r="TTC112" s="542"/>
      <c r="TTD112" s="542"/>
      <c r="TTE112" s="542"/>
      <c r="TTF112" s="542"/>
      <c r="TTG112" s="542"/>
      <c r="TTH112" s="542"/>
      <c r="TTI112" s="542"/>
      <c r="TTJ112" s="542"/>
      <c r="TTK112" s="542"/>
      <c r="TTL112" s="542"/>
      <c r="TTM112" s="542"/>
      <c r="TTN112" s="542"/>
      <c r="TTO112" s="542"/>
      <c r="TTP112" s="542"/>
      <c r="TTQ112" s="542"/>
      <c r="TTR112" s="542"/>
      <c r="TTS112" s="542"/>
      <c r="TTT112" s="542"/>
      <c r="TTU112" s="542"/>
      <c r="TTV112" s="542"/>
      <c r="TTW112" s="542"/>
      <c r="TTX112" s="542"/>
      <c r="TTY112" s="542"/>
      <c r="TTZ112" s="542"/>
      <c r="TUA112" s="542"/>
      <c r="TUB112" s="542"/>
      <c r="TUC112" s="542"/>
      <c r="TUD112" s="542"/>
      <c r="TUE112" s="542"/>
      <c r="TUF112" s="542"/>
      <c r="TUG112" s="542"/>
      <c r="TUH112" s="542"/>
      <c r="TUI112" s="542"/>
      <c r="TUJ112" s="542"/>
      <c r="TUK112" s="542"/>
      <c r="TUL112" s="542"/>
      <c r="TUM112" s="542"/>
      <c r="TUN112" s="542"/>
      <c r="TUO112" s="542"/>
      <c r="TUP112" s="542"/>
      <c r="TUQ112" s="542"/>
      <c r="TUR112" s="542"/>
      <c r="TUS112" s="542"/>
      <c r="TUT112" s="542"/>
      <c r="TUU112" s="542"/>
      <c r="TUV112" s="542"/>
      <c r="TUW112" s="542"/>
      <c r="TUX112" s="542"/>
      <c r="TUY112" s="542"/>
      <c r="TUZ112" s="542"/>
      <c r="TVA112" s="542"/>
      <c r="TVB112" s="542"/>
      <c r="TVC112" s="542"/>
      <c r="TVD112" s="542"/>
      <c r="TVE112" s="542"/>
      <c r="TVF112" s="542"/>
      <c r="TVG112" s="542"/>
      <c r="TVH112" s="542"/>
      <c r="TVI112" s="542"/>
      <c r="TVJ112" s="542"/>
      <c r="TVK112" s="542"/>
      <c r="TVL112" s="542"/>
      <c r="TVM112" s="542"/>
      <c r="TVN112" s="542"/>
      <c r="TVO112" s="542"/>
      <c r="TVP112" s="542"/>
      <c r="TVQ112" s="542"/>
      <c r="TVR112" s="542"/>
      <c r="TVS112" s="542"/>
      <c r="TVT112" s="542"/>
      <c r="TVU112" s="542"/>
      <c r="TVV112" s="542"/>
      <c r="TVW112" s="542"/>
      <c r="TVX112" s="542"/>
      <c r="TVY112" s="542"/>
      <c r="TVZ112" s="542"/>
      <c r="TWA112" s="542"/>
      <c r="TWB112" s="542"/>
      <c r="TWC112" s="542"/>
      <c r="TWD112" s="542"/>
      <c r="TWE112" s="542"/>
      <c r="TWF112" s="542"/>
      <c r="TWG112" s="542"/>
      <c r="TWH112" s="542"/>
      <c r="TWI112" s="542"/>
      <c r="TWJ112" s="542"/>
      <c r="TWK112" s="542"/>
      <c r="TWL112" s="542"/>
      <c r="TWM112" s="542"/>
      <c r="TWN112" s="542"/>
      <c r="TWO112" s="542"/>
      <c r="TWP112" s="542"/>
      <c r="TWQ112" s="542"/>
      <c r="TWR112" s="542"/>
      <c r="TWS112" s="542"/>
      <c r="TWT112" s="542"/>
      <c r="TWU112" s="542"/>
      <c r="TWV112" s="542"/>
      <c r="TWW112" s="542"/>
      <c r="TWX112" s="542"/>
      <c r="TWY112" s="542"/>
      <c r="TWZ112" s="542"/>
      <c r="TXA112" s="542"/>
      <c r="TXB112" s="542"/>
      <c r="TXC112" s="542"/>
      <c r="TXD112" s="542"/>
      <c r="TXE112" s="542"/>
      <c r="TXF112" s="542"/>
      <c r="TXG112" s="542"/>
      <c r="TXH112" s="542"/>
      <c r="TXI112" s="542"/>
      <c r="TXJ112" s="542"/>
      <c r="TXK112" s="542"/>
      <c r="TXL112" s="542"/>
      <c r="TXM112" s="542"/>
      <c r="TXN112" s="542"/>
      <c r="TXO112" s="542"/>
      <c r="TXP112" s="542"/>
      <c r="TXQ112" s="542"/>
      <c r="TXR112" s="542"/>
      <c r="TXS112" s="542"/>
      <c r="TXT112" s="542"/>
      <c r="TXU112" s="542"/>
      <c r="TXV112" s="542"/>
      <c r="TXW112" s="542"/>
      <c r="TXX112" s="542"/>
      <c r="TXY112" s="542"/>
      <c r="TXZ112" s="542"/>
      <c r="TYA112" s="542"/>
      <c r="TYB112" s="542"/>
      <c r="TYC112" s="542"/>
      <c r="TYD112" s="542"/>
      <c r="TYE112" s="542"/>
      <c r="TYF112" s="542"/>
      <c r="TYG112" s="542"/>
      <c r="TYH112" s="542"/>
      <c r="TYI112" s="542"/>
      <c r="TYJ112" s="542"/>
      <c r="TYK112" s="542"/>
      <c r="TYL112" s="542"/>
      <c r="TYM112" s="542"/>
      <c r="TYN112" s="542"/>
      <c r="TYO112" s="542"/>
      <c r="TYP112" s="542"/>
      <c r="TYQ112" s="542"/>
      <c r="TYR112" s="542"/>
      <c r="TYS112" s="542"/>
      <c r="TYT112" s="542"/>
      <c r="TYU112" s="542"/>
      <c r="TYV112" s="542"/>
      <c r="TYW112" s="542"/>
      <c r="TYX112" s="542"/>
      <c r="TYY112" s="542"/>
      <c r="TYZ112" s="542"/>
      <c r="TZA112" s="542"/>
      <c r="TZB112" s="542"/>
      <c r="TZC112" s="542"/>
      <c r="TZD112" s="542"/>
      <c r="TZE112" s="542"/>
      <c r="TZF112" s="542"/>
      <c r="TZG112" s="542"/>
      <c r="TZH112" s="542"/>
      <c r="TZI112" s="542"/>
      <c r="TZJ112" s="542"/>
      <c r="TZK112" s="542"/>
      <c r="TZL112" s="542"/>
      <c r="TZM112" s="542"/>
      <c r="TZN112" s="542"/>
      <c r="TZO112" s="542"/>
      <c r="TZP112" s="542"/>
      <c r="TZQ112" s="542"/>
      <c r="TZR112" s="542"/>
      <c r="TZS112" s="542"/>
      <c r="TZT112" s="542"/>
      <c r="TZU112" s="542"/>
      <c r="TZV112" s="542"/>
      <c r="TZW112" s="542"/>
      <c r="TZX112" s="542"/>
      <c r="TZY112" s="542"/>
      <c r="TZZ112" s="542"/>
      <c r="UAA112" s="542"/>
      <c r="UAB112" s="542"/>
      <c r="UAC112" s="542"/>
      <c r="UAD112" s="542"/>
      <c r="UAE112" s="542"/>
      <c r="UAF112" s="542"/>
      <c r="UAG112" s="542"/>
      <c r="UAH112" s="542"/>
      <c r="UAI112" s="542"/>
      <c r="UAJ112" s="542"/>
      <c r="UAK112" s="542"/>
      <c r="UAL112" s="542"/>
      <c r="UAM112" s="542"/>
      <c r="UAN112" s="542"/>
      <c r="UAO112" s="542"/>
      <c r="UAP112" s="542"/>
      <c r="UAQ112" s="542"/>
      <c r="UAR112" s="542"/>
      <c r="UAS112" s="542"/>
      <c r="UAT112" s="542"/>
      <c r="UAU112" s="542"/>
      <c r="UAV112" s="542"/>
      <c r="UAW112" s="542"/>
      <c r="UAX112" s="542"/>
      <c r="UAY112" s="542"/>
      <c r="UAZ112" s="542"/>
      <c r="UBA112" s="542"/>
      <c r="UBB112" s="542"/>
      <c r="UBC112" s="542"/>
      <c r="UBD112" s="542"/>
      <c r="UBE112" s="542"/>
      <c r="UBF112" s="542"/>
      <c r="UBG112" s="542"/>
      <c r="UBH112" s="542"/>
      <c r="UBI112" s="542"/>
      <c r="UBJ112" s="542"/>
      <c r="UBK112" s="542"/>
      <c r="UBL112" s="542"/>
      <c r="UBM112" s="542"/>
      <c r="UBN112" s="542"/>
      <c r="UBO112" s="542"/>
      <c r="UBP112" s="542"/>
      <c r="UBQ112" s="542"/>
      <c r="UBR112" s="542"/>
      <c r="UBS112" s="542"/>
      <c r="UBT112" s="542"/>
      <c r="UBU112" s="542"/>
      <c r="UBV112" s="542"/>
      <c r="UBW112" s="542"/>
      <c r="UBX112" s="542"/>
      <c r="UBY112" s="542"/>
      <c r="UBZ112" s="542"/>
      <c r="UCA112" s="542"/>
      <c r="UCB112" s="542"/>
      <c r="UCC112" s="542"/>
      <c r="UCD112" s="542"/>
      <c r="UCE112" s="542"/>
      <c r="UCF112" s="542"/>
      <c r="UCG112" s="542"/>
      <c r="UCH112" s="542"/>
      <c r="UCI112" s="542"/>
      <c r="UCJ112" s="542"/>
      <c r="UCK112" s="542"/>
      <c r="UCL112" s="542"/>
      <c r="UCM112" s="542"/>
      <c r="UCN112" s="542"/>
      <c r="UCO112" s="542"/>
      <c r="UCP112" s="542"/>
      <c r="UCQ112" s="542"/>
      <c r="UCR112" s="542"/>
      <c r="UCS112" s="542"/>
      <c r="UCT112" s="542"/>
      <c r="UCU112" s="542"/>
      <c r="UCV112" s="542"/>
      <c r="UCW112" s="542"/>
      <c r="UCX112" s="542"/>
      <c r="UCY112" s="542"/>
      <c r="UCZ112" s="542"/>
      <c r="UDA112" s="542"/>
      <c r="UDB112" s="542"/>
      <c r="UDC112" s="542"/>
      <c r="UDD112" s="542"/>
      <c r="UDE112" s="542"/>
      <c r="UDF112" s="542"/>
      <c r="UDG112" s="542"/>
      <c r="UDH112" s="542"/>
      <c r="UDI112" s="542"/>
      <c r="UDJ112" s="542"/>
      <c r="UDK112" s="542"/>
      <c r="UDL112" s="542"/>
      <c r="UDM112" s="542"/>
      <c r="UDN112" s="542"/>
      <c r="UDO112" s="542"/>
      <c r="UDP112" s="542"/>
      <c r="UDQ112" s="542"/>
      <c r="UDR112" s="542"/>
      <c r="UDS112" s="542"/>
      <c r="UDT112" s="542"/>
      <c r="UDU112" s="542"/>
      <c r="UDV112" s="542"/>
      <c r="UDW112" s="542"/>
      <c r="UDX112" s="542"/>
      <c r="UDY112" s="542"/>
      <c r="UDZ112" s="542"/>
      <c r="UEA112" s="542"/>
      <c r="UEB112" s="542"/>
      <c r="UEC112" s="542"/>
      <c r="UED112" s="542"/>
      <c r="UEE112" s="542"/>
      <c r="UEF112" s="542"/>
      <c r="UEG112" s="542"/>
      <c r="UEH112" s="542"/>
      <c r="UEI112" s="542"/>
      <c r="UEJ112" s="542"/>
      <c r="UEK112" s="542"/>
      <c r="UEL112" s="542"/>
      <c r="UEM112" s="542"/>
      <c r="UEN112" s="542"/>
      <c r="UEO112" s="542"/>
      <c r="UEP112" s="542"/>
      <c r="UEQ112" s="542"/>
      <c r="UER112" s="542"/>
      <c r="UES112" s="542"/>
      <c r="UET112" s="542"/>
      <c r="UEU112" s="542"/>
      <c r="UEV112" s="542"/>
      <c r="UEW112" s="542"/>
      <c r="UEX112" s="542"/>
      <c r="UEY112" s="542"/>
      <c r="UEZ112" s="542"/>
      <c r="UFA112" s="542"/>
      <c r="UFB112" s="542"/>
      <c r="UFC112" s="542"/>
      <c r="UFD112" s="542"/>
      <c r="UFE112" s="542"/>
      <c r="UFF112" s="542"/>
      <c r="UFG112" s="542"/>
      <c r="UFH112" s="542"/>
      <c r="UFI112" s="542"/>
      <c r="UFJ112" s="542"/>
      <c r="UFK112" s="542"/>
      <c r="UFL112" s="542"/>
      <c r="UFM112" s="542"/>
      <c r="UFN112" s="542"/>
      <c r="UFO112" s="542"/>
      <c r="UFP112" s="542"/>
      <c r="UFQ112" s="542"/>
      <c r="UFR112" s="542"/>
      <c r="UFS112" s="542"/>
      <c r="UFT112" s="542"/>
      <c r="UFU112" s="542"/>
      <c r="UFV112" s="542"/>
      <c r="UFW112" s="542"/>
      <c r="UFX112" s="542"/>
      <c r="UFY112" s="542"/>
      <c r="UFZ112" s="542"/>
      <c r="UGA112" s="542"/>
      <c r="UGB112" s="542"/>
      <c r="UGC112" s="542"/>
      <c r="UGD112" s="542"/>
      <c r="UGE112" s="542"/>
      <c r="UGF112" s="542"/>
      <c r="UGG112" s="542"/>
      <c r="UGH112" s="542"/>
      <c r="UGI112" s="542"/>
      <c r="UGJ112" s="542"/>
      <c r="UGK112" s="542"/>
      <c r="UGL112" s="542"/>
      <c r="UGM112" s="542"/>
      <c r="UGN112" s="542"/>
      <c r="UGO112" s="542"/>
      <c r="UGP112" s="542"/>
      <c r="UGQ112" s="542"/>
      <c r="UGR112" s="542"/>
      <c r="UGS112" s="542"/>
      <c r="UGT112" s="542"/>
      <c r="UGU112" s="542"/>
      <c r="UGV112" s="542"/>
      <c r="UGW112" s="542"/>
      <c r="UGX112" s="542"/>
      <c r="UGY112" s="542"/>
      <c r="UGZ112" s="542"/>
      <c r="UHA112" s="542"/>
      <c r="UHB112" s="542"/>
      <c r="UHC112" s="542"/>
      <c r="UHD112" s="542"/>
      <c r="UHE112" s="542"/>
      <c r="UHF112" s="542"/>
      <c r="UHG112" s="542"/>
      <c r="UHH112" s="542"/>
      <c r="UHI112" s="542"/>
      <c r="UHJ112" s="542"/>
      <c r="UHK112" s="542"/>
      <c r="UHL112" s="542"/>
      <c r="UHM112" s="542"/>
      <c r="UHN112" s="542"/>
      <c r="UHO112" s="542"/>
      <c r="UHP112" s="542"/>
      <c r="UHQ112" s="542"/>
      <c r="UHR112" s="542"/>
      <c r="UHS112" s="542"/>
      <c r="UHT112" s="542"/>
      <c r="UHU112" s="542"/>
      <c r="UHV112" s="542"/>
      <c r="UHW112" s="542"/>
      <c r="UHX112" s="542"/>
      <c r="UHY112" s="542"/>
      <c r="UHZ112" s="542"/>
      <c r="UIA112" s="542"/>
      <c r="UIB112" s="542"/>
      <c r="UIC112" s="542"/>
      <c r="UID112" s="542"/>
      <c r="UIE112" s="542"/>
      <c r="UIF112" s="542"/>
      <c r="UIG112" s="542"/>
      <c r="UIH112" s="542"/>
      <c r="UII112" s="542"/>
      <c r="UIJ112" s="542"/>
      <c r="UIK112" s="542"/>
      <c r="UIL112" s="542"/>
      <c r="UIM112" s="542"/>
      <c r="UIN112" s="542"/>
      <c r="UIO112" s="542"/>
      <c r="UIP112" s="542"/>
      <c r="UIQ112" s="542"/>
      <c r="UIR112" s="542"/>
      <c r="UIS112" s="542"/>
      <c r="UIT112" s="542"/>
      <c r="UIU112" s="542"/>
      <c r="UIV112" s="542"/>
      <c r="UIW112" s="542"/>
      <c r="UIX112" s="542"/>
      <c r="UIY112" s="542"/>
      <c r="UIZ112" s="542"/>
      <c r="UJA112" s="542"/>
      <c r="UJB112" s="542"/>
      <c r="UJC112" s="542"/>
      <c r="UJD112" s="542"/>
      <c r="UJE112" s="542"/>
      <c r="UJF112" s="542"/>
      <c r="UJG112" s="542"/>
      <c r="UJH112" s="542"/>
      <c r="UJI112" s="542"/>
      <c r="UJJ112" s="542"/>
      <c r="UJK112" s="542"/>
      <c r="UJL112" s="542"/>
      <c r="UJM112" s="542"/>
      <c r="UJN112" s="542"/>
      <c r="UJO112" s="542"/>
      <c r="UJP112" s="542"/>
      <c r="UJQ112" s="542"/>
      <c r="UJR112" s="542"/>
      <c r="UJS112" s="542"/>
      <c r="UJT112" s="542"/>
      <c r="UJU112" s="542"/>
      <c r="UJV112" s="542"/>
      <c r="UJW112" s="542"/>
      <c r="UJX112" s="542"/>
      <c r="UJY112" s="542"/>
      <c r="UJZ112" s="542"/>
      <c r="UKA112" s="542"/>
      <c r="UKB112" s="542"/>
      <c r="UKC112" s="542"/>
      <c r="UKD112" s="542"/>
      <c r="UKE112" s="542"/>
      <c r="UKF112" s="542"/>
      <c r="UKG112" s="542"/>
      <c r="UKH112" s="542"/>
      <c r="UKI112" s="542"/>
      <c r="UKJ112" s="542"/>
      <c r="UKK112" s="542"/>
      <c r="UKL112" s="542"/>
      <c r="UKM112" s="542"/>
      <c r="UKN112" s="542"/>
      <c r="UKO112" s="542"/>
      <c r="UKP112" s="542"/>
      <c r="UKQ112" s="542"/>
      <c r="UKR112" s="542"/>
      <c r="UKS112" s="542"/>
      <c r="UKT112" s="542"/>
      <c r="UKU112" s="542"/>
      <c r="UKV112" s="542"/>
      <c r="UKW112" s="542"/>
      <c r="UKX112" s="542"/>
      <c r="UKY112" s="542"/>
      <c r="UKZ112" s="542"/>
      <c r="ULA112" s="542"/>
      <c r="ULB112" s="542"/>
      <c r="ULC112" s="542"/>
      <c r="ULD112" s="542"/>
      <c r="ULE112" s="542"/>
      <c r="ULF112" s="542"/>
      <c r="ULG112" s="542"/>
      <c r="ULH112" s="542"/>
      <c r="ULI112" s="542"/>
      <c r="ULJ112" s="542"/>
      <c r="ULK112" s="542"/>
      <c r="ULL112" s="542"/>
      <c r="ULM112" s="542"/>
      <c r="ULN112" s="542"/>
      <c r="ULO112" s="542"/>
      <c r="ULP112" s="542"/>
      <c r="ULQ112" s="542"/>
      <c r="ULR112" s="542"/>
      <c r="ULS112" s="542"/>
      <c r="ULT112" s="542"/>
      <c r="ULU112" s="542"/>
      <c r="ULV112" s="542"/>
      <c r="ULW112" s="542"/>
      <c r="ULX112" s="542"/>
      <c r="ULY112" s="542"/>
      <c r="ULZ112" s="542"/>
      <c r="UMA112" s="542"/>
      <c r="UMB112" s="542"/>
      <c r="UMC112" s="542"/>
      <c r="UMD112" s="542"/>
      <c r="UME112" s="542"/>
      <c r="UMF112" s="542"/>
      <c r="UMG112" s="542"/>
      <c r="UMH112" s="542"/>
      <c r="UMI112" s="542"/>
      <c r="UMJ112" s="542"/>
      <c r="UMK112" s="542"/>
      <c r="UML112" s="542"/>
      <c r="UMM112" s="542"/>
      <c r="UMN112" s="542"/>
      <c r="UMO112" s="542"/>
      <c r="UMP112" s="542"/>
      <c r="UMQ112" s="542"/>
      <c r="UMR112" s="542"/>
      <c r="UMS112" s="542"/>
      <c r="UMT112" s="542"/>
      <c r="UMU112" s="542"/>
      <c r="UMV112" s="542"/>
      <c r="UMW112" s="542"/>
      <c r="UMX112" s="542"/>
      <c r="UMY112" s="542"/>
      <c r="UMZ112" s="542"/>
      <c r="UNA112" s="542"/>
      <c r="UNB112" s="542"/>
      <c r="UNC112" s="542"/>
      <c r="UND112" s="542"/>
      <c r="UNE112" s="542"/>
      <c r="UNF112" s="542"/>
      <c r="UNG112" s="542"/>
      <c r="UNH112" s="542"/>
      <c r="UNI112" s="542"/>
      <c r="UNJ112" s="542"/>
      <c r="UNK112" s="542"/>
      <c r="UNL112" s="542"/>
      <c r="UNM112" s="542"/>
      <c r="UNN112" s="542"/>
      <c r="UNO112" s="542"/>
      <c r="UNP112" s="542"/>
      <c r="UNQ112" s="542"/>
      <c r="UNR112" s="542"/>
      <c r="UNS112" s="542"/>
      <c r="UNT112" s="542"/>
      <c r="UNU112" s="542"/>
      <c r="UNV112" s="542"/>
      <c r="UNW112" s="542"/>
      <c r="UNX112" s="542"/>
      <c r="UNY112" s="542"/>
      <c r="UNZ112" s="542"/>
      <c r="UOA112" s="542"/>
      <c r="UOB112" s="542"/>
      <c r="UOC112" s="542"/>
      <c r="UOD112" s="542"/>
      <c r="UOE112" s="542"/>
      <c r="UOF112" s="542"/>
      <c r="UOG112" s="542"/>
      <c r="UOH112" s="542"/>
      <c r="UOI112" s="542"/>
      <c r="UOJ112" s="542"/>
      <c r="UOK112" s="542"/>
      <c r="UOL112" s="542"/>
      <c r="UOM112" s="542"/>
      <c r="UON112" s="542"/>
      <c r="UOO112" s="542"/>
      <c r="UOP112" s="542"/>
      <c r="UOQ112" s="542"/>
      <c r="UOR112" s="542"/>
      <c r="UOS112" s="542"/>
      <c r="UOT112" s="542"/>
      <c r="UOU112" s="542"/>
      <c r="UOV112" s="542"/>
      <c r="UOW112" s="542"/>
      <c r="UOX112" s="542"/>
      <c r="UOY112" s="542"/>
      <c r="UOZ112" s="542"/>
      <c r="UPA112" s="542"/>
      <c r="UPB112" s="542"/>
      <c r="UPC112" s="542"/>
      <c r="UPD112" s="542"/>
      <c r="UPE112" s="542"/>
      <c r="UPF112" s="542"/>
      <c r="UPG112" s="542"/>
      <c r="UPH112" s="542"/>
      <c r="UPI112" s="542"/>
      <c r="UPJ112" s="542"/>
      <c r="UPK112" s="542"/>
      <c r="UPL112" s="542"/>
      <c r="UPM112" s="542"/>
      <c r="UPN112" s="542"/>
      <c r="UPO112" s="542"/>
      <c r="UPP112" s="542"/>
      <c r="UPQ112" s="542"/>
      <c r="UPR112" s="542"/>
      <c r="UPS112" s="542"/>
      <c r="UPT112" s="542"/>
      <c r="UPU112" s="542"/>
      <c r="UPV112" s="542"/>
      <c r="UPW112" s="542"/>
      <c r="UPX112" s="542"/>
      <c r="UPY112" s="542"/>
      <c r="UPZ112" s="542"/>
      <c r="UQA112" s="542"/>
      <c r="UQB112" s="542"/>
      <c r="UQC112" s="542"/>
      <c r="UQD112" s="542"/>
      <c r="UQE112" s="542"/>
      <c r="UQF112" s="542"/>
      <c r="UQG112" s="542"/>
      <c r="UQH112" s="542"/>
      <c r="UQI112" s="542"/>
      <c r="UQJ112" s="542"/>
      <c r="UQK112" s="542"/>
      <c r="UQL112" s="542"/>
      <c r="UQM112" s="542"/>
      <c r="UQN112" s="542"/>
      <c r="UQO112" s="542"/>
      <c r="UQP112" s="542"/>
      <c r="UQQ112" s="542"/>
      <c r="UQR112" s="542"/>
      <c r="UQS112" s="542"/>
      <c r="UQT112" s="542"/>
      <c r="UQU112" s="542"/>
      <c r="UQV112" s="542"/>
      <c r="UQW112" s="542"/>
      <c r="UQX112" s="542"/>
      <c r="UQY112" s="542"/>
      <c r="UQZ112" s="542"/>
      <c r="URA112" s="542"/>
      <c r="URB112" s="542"/>
      <c r="URC112" s="542"/>
      <c r="URD112" s="542"/>
      <c r="URE112" s="542"/>
      <c r="URF112" s="542"/>
      <c r="URG112" s="542"/>
      <c r="URH112" s="542"/>
      <c r="URI112" s="542"/>
      <c r="URJ112" s="542"/>
      <c r="URK112" s="542"/>
      <c r="URL112" s="542"/>
      <c r="URM112" s="542"/>
      <c r="URN112" s="542"/>
      <c r="URO112" s="542"/>
      <c r="URP112" s="542"/>
      <c r="URQ112" s="542"/>
      <c r="URR112" s="542"/>
      <c r="URS112" s="542"/>
      <c r="URT112" s="542"/>
      <c r="URU112" s="542"/>
      <c r="URV112" s="542"/>
      <c r="URW112" s="542"/>
      <c r="URX112" s="542"/>
      <c r="URY112" s="542"/>
      <c r="URZ112" s="542"/>
      <c r="USA112" s="542"/>
      <c r="USB112" s="542"/>
      <c r="USC112" s="542"/>
      <c r="USD112" s="542"/>
      <c r="USE112" s="542"/>
      <c r="USF112" s="542"/>
      <c r="USG112" s="542"/>
      <c r="USH112" s="542"/>
      <c r="USI112" s="542"/>
      <c r="USJ112" s="542"/>
      <c r="USK112" s="542"/>
      <c r="USL112" s="542"/>
      <c r="USM112" s="542"/>
      <c r="USN112" s="542"/>
      <c r="USO112" s="542"/>
      <c r="USP112" s="542"/>
      <c r="USQ112" s="542"/>
      <c r="USR112" s="542"/>
      <c r="USS112" s="542"/>
      <c r="UST112" s="542"/>
      <c r="USU112" s="542"/>
      <c r="USV112" s="542"/>
      <c r="USW112" s="542"/>
      <c r="USX112" s="542"/>
      <c r="USY112" s="542"/>
      <c r="USZ112" s="542"/>
      <c r="UTA112" s="542"/>
      <c r="UTB112" s="542"/>
      <c r="UTC112" s="542"/>
      <c r="UTD112" s="542"/>
      <c r="UTE112" s="542"/>
      <c r="UTF112" s="542"/>
      <c r="UTG112" s="542"/>
      <c r="UTH112" s="542"/>
      <c r="UTI112" s="542"/>
      <c r="UTJ112" s="542"/>
      <c r="UTK112" s="542"/>
      <c r="UTL112" s="542"/>
      <c r="UTM112" s="542"/>
      <c r="UTN112" s="542"/>
      <c r="UTO112" s="542"/>
      <c r="UTP112" s="542"/>
      <c r="UTQ112" s="542"/>
      <c r="UTR112" s="542"/>
      <c r="UTS112" s="542"/>
      <c r="UTT112" s="542"/>
      <c r="UTU112" s="542"/>
      <c r="UTV112" s="542"/>
      <c r="UTW112" s="542"/>
      <c r="UTX112" s="542"/>
      <c r="UTY112" s="542"/>
      <c r="UTZ112" s="542"/>
      <c r="UUA112" s="542"/>
      <c r="UUB112" s="542"/>
      <c r="UUC112" s="542"/>
      <c r="UUD112" s="542"/>
      <c r="UUE112" s="542"/>
      <c r="UUF112" s="542"/>
      <c r="UUG112" s="542"/>
      <c r="UUH112" s="542"/>
      <c r="UUI112" s="542"/>
      <c r="UUJ112" s="542"/>
      <c r="UUK112" s="542"/>
      <c r="UUL112" s="542"/>
      <c r="UUM112" s="542"/>
      <c r="UUN112" s="542"/>
      <c r="UUO112" s="542"/>
      <c r="UUP112" s="542"/>
      <c r="UUQ112" s="542"/>
      <c r="UUR112" s="542"/>
      <c r="UUS112" s="542"/>
      <c r="UUT112" s="542"/>
      <c r="UUU112" s="542"/>
      <c r="UUV112" s="542"/>
      <c r="UUW112" s="542"/>
      <c r="UUX112" s="542"/>
      <c r="UUY112" s="542"/>
      <c r="UUZ112" s="542"/>
      <c r="UVA112" s="542"/>
      <c r="UVB112" s="542"/>
      <c r="UVC112" s="542"/>
      <c r="UVD112" s="542"/>
      <c r="UVE112" s="542"/>
      <c r="UVF112" s="542"/>
      <c r="UVG112" s="542"/>
      <c r="UVH112" s="542"/>
      <c r="UVI112" s="542"/>
      <c r="UVJ112" s="542"/>
      <c r="UVK112" s="542"/>
      <c r="UVL112" s="542"/>
      <c r="UVM112" s="542"/>
      <c r="UVN112" s="542"/>
      <c r="UVO112" s="542"/>
      <c r="UVP112" s="542"/>
      <c r="UVQ112" s="542"/>
      <c r="UVR112" s="542"/>
      <c r="UVS112" s="542"/>
      <c r="UVT112" s="542"/>
      <c r="UVU112" s="542"/>
      <c r="UVV112" s="542"/>
      <c r="UVW112" s="542"/>
      <c r="UVX112" s="542"/>
      <c r="UVY112" s="542"/>
      <c r="UVZ112" s="542"/>
      <c r="UWA112" s="542"/>
      <c r="UWB112" s="542"/>
      <c r="UWC112" s="542"/>
      <c r="UWD112" s="542"/>
      <c r="UWE112" s="542"/>
      <c r="UWF112" s="542"/>
      <c r="UWG112" s="542"/>
      <c r="UWH112" s="542"/>
      <c r="UWI112" s="542"/>
      <c r="UWJ112" s="542"/>
      <c r="UWK112" s="542"/>
      <c r="UWL112" s="542"/>
      <c r="UWM112" s="542"/>
      <c r="UWN112" s="542"/>
      <c r="UWO112" s="542"/>
      <c r="UWP112" s="542"/>
      <c r="UWQ112" s="542"/>
      <c r="UWR112" s="542"/>
      <c r="UWS112" s="542"/>
      <c r="UWT112" s="542"/>
      <c r="UWU112" s="542"/>
      <c r="UWV112" s="542"/>
      <c r="UWW112" s="542"/>
      <c r="UWX112" s="542"/>
      <c r="UWY112" s="542"/>
      <c r="UWZ112" s="542"/>
      <c r="UXA112" s="542"/>
      <c r="UXB112" s="542"/>
      <c r="UXC112" s="542"/>
      <c r="UXD112" s="542"/>
      <c r="UXE112" s="542"/>
      <c r="UXF112" s="542"/>
      <c r="UXG112" s="542"/>
      <c r="UXH112" s="542"/>
      <c r="UXI112" s="542"/>
      <c r="UXJ112" s="542"/>
      <c r="UXK112" s="542"/>
      <c r="UXL112" s="542"/>
      <c r="UXM112" s="542"/>
      <c r="UXN112" s="542"/>
      <c r="UXO112" s="542"/>
      <c r="UXP112" s="542"/>
      <c r="UXQ112" s="542"/>
      <c r="UXR112" s="542"/>
      <c r="UXS112" s="542"/>
      <c r="UXT112" s="542"/>
      <c r="UXU112" s="542"/>
      <c r="UXV112" s="542"/>
      <c r="UXW112" s="542"/>
      <c r="UXX112" s="542"/>
      <c r="UXY112" s="542"/>
      <c r="UXZ112" s="542"/>
      <c r="UYA112" s="542"/>
      <c r="UYB112" s="542"/>
      <c r="UYC112" s="542"/>
      <c r="UYD112" s="542"/>
      <c r="UYE112" s="542"/>
      <c r="UYF112" s="542"/>
      <c r="UYG112" s="542"/>
      <c r="UYH112" s="542"/>
      <c r="UYI112" s="542"/>
      <c r="UYJ112" s="542"/>
      <c r="UYK112" s="542"/>
      <c r="UYL112" s="542"/>
      <c r="UYM112" s="542"/>
      <c r="UYN112" s="542"/>
      <c r="UYO112" s="542"/>
      <c r="UYP112" s="542"/>
      <c r="UYQ112" s="542"/>
      <c r="UYR112" s="542"/>
      <c r="UYS112" s="542"/>
      <c r="UYT112" s="542"/>
      <c r="UYU112" s="542"/>
      <c r="UYV112" s="542"/>
      <c r="UYW112" s="542"/>
      <c r="UYX112" s="542"/>
      <c r="UYY112" s="542"/>
      <c r="UYZ112" s="542"/>
      <c r="UZA112" s="542"/>
      <c r="UZB112" s="542"/>
      <c r="UZC112" s="542"/>
      <c r="UZD112" s="542"/>
      <c r="UZE112" s="542"/>
      <c r="UZF112" s="542"/>
      <c r="UZG112" s="542"/>
      <c r="UZH112" s="542"/>
      <c r="UZI112" s="542"/>
      <c r="UZJ112" s="542"/>
      <c r="UZK112" s="542"/>
      <c r="UZL112" s="542"/>
      <c r="UZM112" s="542"/>
      <c r="UZN112" s="542"/>
      <c r="UZO112" s="542"/>
      <c r="UZP112" s="542"/>
      <c r="UZQ112" s="542"/>
      <c r="UZR112" s="542"/>
      <c r="UZS112" s="542"/>
      <c r="UZT112" s="542"/>
      <c r="UZU112" s="542"/>
      <c r="UZV112" s="542"/>
      <c r="UZW112" s="542"/>
      <c r="UZX112" s="542"/>
      <c r="UZY112" s="542"/>
      <c r="UZZ112" s="542"/>
      <c r="VAA112" s="542"/>
      <c r="VAB112" s="542"/>
      <c r="VAC112" s="542"/>
      <c r="VAD112" s="542"/>
      <c r="VAE112" s="542"/>
      <c r="VAF112" s="542"/>
      <c r="VAG112" s="542"/>
      <c r="VAH112" s="542"/>
      <c r="VAI112" s="542"/>
      <c r="VAJ112" s="542"/>
      <c r="VAK112" s="542"/>
      <c r="VAL112" s="542"/>
      <c r="VAM112" s="542"/>
      <c r="VAN112" s="542"/>
      <c r="VAO112" s="542"/>
      <c r="VAP112" s="542"/>
      <c r="VAQ112" s="542"/>
      <c r="VAR112" s="542"/>
      <c r="VAS112" s="542"/>
      <c r="VAT112" s="542"/>
      <c r="VAU112" s="542"/>
      <c r="VAV112" s="542"/>
      <c r="VAW112" s="542"/>
      <c r="VAX112" s="542"/>
      <c r="VAY112" s="542"/>
      <c r="VAZ112" s="542"/>
      <c r="VBA112" s="542"/>
      <c r="VBB112" s="542"/>
      <c r="VBC112" s="542"/>
      <c r="VBD112" s="542"/>
      <c r="VBE112" s="542"/>
      <c r="VBF112" s="542"/>
      <c r="VBG112" s="542"/>
      <c r="VBH112" s="542"/>
      <c r="VBI112" s="542"/>
      <c r="VBJ112" s="542"/>
      <c r="VBK112" s="542"/>
      <c r="VBL112" s="542"/>
      <c r="VBM112" s="542"/>
      <c r="VBN112" s="542"/>
      <c r="VBO112" s="542"/>
      <c r="VBP112" s="542"/>
      <c r="VBQ112" s="542"/>
      <c r="VBR112" s="542"/>
      <c r="VBS112" s="542"/>
      <c r="VBT112" s="542"/>
      <c r="VBU112" s="542"/>
      <c r="VBV112" s="542"/>
      <c r="VBW112" s="542"/>
      <c r="VBX112" s="542"/>
      <c r="VBY112" s="542"/>
      <c r="VBZ112" s="542"/>
      <c r="VCA112" s="542"/>
      <c r="VCB112" s="542"/>
      <c r="VCC112" s="542"/>
      <c r="VCD112" s="542"/>
      <c r="VCE112" s="542"/>
      <c r="VCF112" s="542"/>
      <c r="VCG112" s="542"/>
      <c r="VCH112" s="542"/>
      <c r="VCI112" s="542"/>
      <c r="VCJ112" s="542"/>
      <c r="VCK112" s="542"/>
      <c r="VCL112" s="542"/>
      <c r="VCM112" s="542"/>
      <c r="VCN112" s="542"/>
      <c r="VCO112" s="542"/>
      <c r="VCP112" s="542"/>
      <c r="VCQ112" s="542"/>
      <c r="VCR112" s="542"/>
      <c r="VCS112" s="542"/>
      <c r="VCT112" s="542"/>
      <c r="VCU112" s="542"/>
      <c r="VCV112" s="542"/>
      <c r="VCW112" s="542"/>
      <c r="VCX112" s="542"/>
      <c r="VCY112" s="542"/>
      <c r="VCZ112" s="542"/>
      <c r="VDA112" s="542"/>
      <c r="VDB112" s="542"/>
      <c r="VDC112" s="542"/>
      <c r="VDD112" s="542"/>
      <c r="VDE112" s="542"/>
      <c r="VDF112" s="542"/>
      <c r="VDG112" s="542"/>
      <c r="VDH112" s="542"/>
      <c r="VDI112" s="542"/>
      <c r="VDJ112" s="542"/>
      <c r="VDK112" s="542"/>
      <c r="VDL112" s="542"/>
      <c r="VDM112" s="542"/>
      <c r="VDN112" s="542"/>
      <c r="VDO112" s="542"/>
      <c r="VDP112" s="542"/>
      <c r="VDQ112" s="542"/>
      <c r="VDR112" s="542"/>
      <c r="VDS112" s="542"/>
      <c r="VDT112" s="542"/>
      <c r="VDU112" s="542"/>
      <c r="VDV112" s="542"/>
      <c r="VDW112" s="542"/>
      <c r="VDX112" s="542"/>
      <c r="VDY112" s="542"/>
      <c r="VDZ112" s="542"/>
      <c r="VEA112" s="542"/>
      <c r="VEB112" s="542"/>
      <c r="VEC112" s="542"/>
      <c r="VED112" s="542"/>
      <c r="VEE112" s="542"/>
      <c r="VEF112" s="542"/>
      <c r="VEG112" s="542"/>
      <c r="VEH112" s="542"/>
      <c r="VEI112" s="542"/>
      <c r="VEJ112" s="542"/>
      <c r="VEK112" s="542"/>
      <c r="VEL112" s="542"/>
      <c r="VEM112" s="542"/>
      <c r="VEN112" s="542"/>
      <c r="VEO112" s="542"/>
      <c r="VEP112" s="542"/>
      <c r="VEQ112" s="542"/>
      <c r="VER112" s="542"/>
      <c r="VES112" s="542"/>
      <c r="VET112" s="542"/>
      <c r="VEU112" s="542"/>
      <c r="VEV112" s="542"/>
      <c r="VEW112" s="542"/>
      <c r="VEX112" s="542"/>
      <c r="VEY112" s="542"/>
      <c r="VEZ112" s="542"/>
      <c r="VFA112" s="542"/>
      <c r="VFB112" s="542"/>
      <c r="VFC112" s="542"/>
      <c r="VFD112" s="542"/>
      <c r="VFE112" s="542"/>
      <c r="VFF112" s="542"/>
      <c r="VFG112" s="542"/>
      <c r="VFH112" s="542"/>
      <c r="VFI112" s="542"/>
      <c r="VFJ112" s="542"/>
      <c r="VFK112" s="542"/>
      <c r="VFL112" s="542"/>
      <c r="VFM112" s="542"/>
      <c r="VFN112" s="542"/>
      <c r="VFO112" s="542"/>
      <c r="VFP112" s="542"/>
      <c r="VFQ112" s="542"/>
      <c r="VFR112" s="542"/>
      <c r="VFS112" s="542"/>
      <c r="VFT112" s="542"/>
      <c r="VFU112" s="542"/>
      <c r="VFV112" s="542"/>
      <c r="VFW112" s="542"/>
      <c r="VFX112" s="542"/>
      <c r="VFY112" s="542"/>
      <c r="VFZ112" s="542"/>
      <c r="VGA112" s="542"/>
      <c r="VGB112" s="542"/>
      <c r="VGC112" s="542"/>
      <c r="VGD112" s="542"/>
      <c r="VGE112" s="542"/>
      <c r="VGF112" s="542"/>
      <c r="VGG112" s="542"/>
      <c r="VGH112" s="542"/>
      <c r="VGI112" s="542"/>
      <c r="VGJ112" s="542"/>
      <c r="VGK112" s="542"/>
      <c r="VGL112" s="542"/>
      <c r="VGM112" s="542"/>
      <c r="VGN112" s="542"/>
      <c r="VGO112" s="542"/>
      <c r="VGP112" s="542"/>
      <c r="VGQ112" s="542"/>
      <c r="VGR112" s="542"/>
      <c r="VGS112" s="542"/>
      <c r="VGT112" s="542"/>
      <c r="VGU112" s="542"/>
      <c r="VGV112" s="542"/>
      <c r="VGW112" s="542"/>
      <c r="VGX112" s="542"/>
      <c r="VGY112" s="542"/>
      <c r="VGZ112" s="542"/>
      <c r="VHA112" s="542"/>
      <c r="VHB112" s="542"/>
      <c r="VHC112" s="542"/>
      <c r="VHD112" s="542"/>
      <c r="VHE112" s="542"/>
      <c r="VHF112" s="542"/>
      <c r="VHG112" s="542"/>
      <c r="VHH112" s="542"/>
      <c r="VHI112" s="542"/>
      <c r="VHJ112" s="542"/>
      <c r="VHK112" s="542"/>
      <c r="VHL112" s="542"/>
      <c r="VHM112" s="542"/>
      <c r="VHN112" s="542"/>
      <c r="VHO112" s="542"/>
      <c r="VHP112" s="542"/>
      <c r="VHQ112" s="542"/>
      <c r="VHR112" s="542"/>
      <c r="VHS112" s="542"/>
      <c r="VHT112" s="542"/>
      <c r="VHU112" s="542"/>
      <c r="VHV112" s="542"/>
      <c r="VHW112" s="542"/>
      <c r="VHX112" s="542"/>
      <c r="VHY112" s="542"/>
      <c r="VHZ112" s="542"/>
      <c r="VIA112" s="542"/>
      <c r="VIB112" s="542"/>
      <c r="VIC112" s="542"/>
      <c r="VID112" s="542"/>
      <c r="VIE112" s="542"/>
      <c r="VIF112" s="542"/>
      <c r="VIG112" s="542"/>
      <c r="VIH112" s="542"/>
      <c r="VII112" s="542"/>
      <c r="VIJ112" s="542"/>
      <c r="VIK112" s="542"/>
      <c r="VIL112" s="542"/>
      <c r="VIM112" s="542"/>
      <c r="VIN112" s="542"/>
      <c r="VIO112" s="542"/>
      <c r="VIP112" s="542"/>
      <c r="VIQ112" s="542"/>
      <c r="VIR112" s="542"/>
      <c r="VIS112" s="542"/>
      <c r="VIT112" s="542"/>
      <c r="VIU112" s="542"/>
      <c r="VIV112" s="542"/>
      <c r="VIW112" s="542"/>
      <c r="VIX112" s="542"/>
      <c r="VIY112" s="542"/>
      <c r="VIZ112" s="542"/>
      <c r="VJA112" s="542"/>
      <c r="VJB112" s="542"/>
      <c r="VJC112" s="542"/>
      <c r="VJD112" s="542"/>
      <c r="VJE112" s="542"/>
      <c r="VJF112" s="542"/>
      <c r="VJG112" s="542"/>
      <c r="VJH112" s="542"/>
      <c r="VJI112" s="542"/>
      <c r="VJJ112" s="542"/>
      <c r="VJK112" s="542"/>
      <c r="VJL112" s="542"/>
      <c r="VJM112" s="542"/>
      <c r="VJN112" s="542"/>
      <c r="VJO112" s="542"/>
      <c r="VJP112" s="542"/>
      <c r="VJQ112" s="542"/>
      <c r="VJR112" s="542"/>
      <c r="VJS112" s="542"/>
      <c r="VJT112" s="542"/>
      <c r="VJU112" s="542"/>
      <c r="VJV112" s="542"/>
      <c r="VJW112" s="542"/>
      <c r="VJX112" s="542"/>
      <c r="VJY112" s="542"/>
      <c r="VJZ112" s="542"/>
      <c r="VKA112" s="542"/>
      <c r="VKB112" s="542"/>
      <c r="VKC112" s="542"/>
      <c r="VKD112" s="542"/>
      <c r="VKE112" s="542"/>
      <c r="VKF112" s="542"/>
      <c r="VKG112" s="542"/>
      <c r="VKH112" s="542"/>
      <c r="VKI112" s="542"/>
      <c r="VKJ112" s="542"/>
      <c r="VKK112" s="542"/>
      <c r="VKL112" s="542"/>
      <c r="VKM112" s="542"/>
      <c r="VKN112" s="542"/>
      <c r="VKO112" s="542"/>
      <c r="VKP112" s="542"/>
      <c r="VKQ112" s="542"/>
      <c r="VKR112" s="542"/>
      <c r="VKS112" s="542"/>
      <c r="VKT112" s="542"/>
      <c r="VKU112" s="542"/>
      <c r="VKV112" s="542"/>
      <c r="VKW112" s="542"/>
      <c r="VKX112" s="542"/>
      <c r="VKY112" s="542"/>
      <c r="VKZ112" s="542"/>
      <c r="VLA112" s="542"/>
      <c r="VLB112" s="542"/>
      <c r="VLC112" s="542"/>
      <c r="VLD112" s="542"/>
      <c r="VLE112" s="542"/>
      <c r="VLF112" s="542"/>
      <c r="VLG112" s="542"/>
      <c r="VLH112" s="542"/>
      <c r="VLI112" s="542"/>
      <c r="VLJ112" s="542"/>
      <c r="VLK112" s="542"/>
      <c r="VLL112" s="542"/>
      <c r="VLM112" s="542"/>
      <c r="VLN112" s="542"/>
      <c r="VLO112" s="542"/>
      <c r="VLP112" s="542"/>
      <c r="VLQ112" s="542"/>
      <c r="VLR112" s="542"/>
      <c r="VLS112" s="542"/>
      <c r="VLT112" s="542"/>
      <c r="VLU112" s="542"/>
      <c r="VLV112" s="542"/>
      <c r="VLW112" s="542"/>
      <c r="VLX112" s="542"/>
      <c r="VLY112" s="542"/>
      <c r="VLZ112" s="542"/>
      <c r="VMA112" s="542"/>
      <c r="VMB112" s="542"/>
      <c r="VMC112" s="542"/>
      <c r="VMD112" s="542"/>
      <c r="VME112" s="542"/>
      <c r="VMF112" s="542"/>
      <c r="VMG112" s="542"/>
      <c r="VMH112" s="542"/>
      <c r="VMI112" s="542"/>
      <c r="VMJ112" s="542"/>
      <c r="VMK112" s="542"/>
      <c r="VML112" s="542"/>
      <c r="VMM112" s="542"/>
      <c r="VMN112" s="542"/>
      <c r="VMO112" s="542"/>
      <c r="VMP112" s="542"/>
      <c r="VMQ112" s="542"/>
      <c r="VMR112" s="542"/>
      <c r="VMS112" s="542"/>
      <c r="VMT112" s="542"/>
      <c r="VMU112" s="542"/>
      <c r="VMV112" s="542"/>
      <c r="VMW112" s="542"/>
      <c r="VMX112" s="542"/>
      <c r="VMY112" s="542"/>
      <c r="VMZ112" s="542"/>
      <c r="VNA112" s="542"/>
      <c r="VNB112" s="542"/>
      <c r="VNC112" s="542"/>
      <c r="VND112" s="542"/>
      <c r="VNE112" s="542"/>
      <c r="VNF112" s="542"/>
      <c r="VNG112" s="542"/>
      <c r="VNH112" s="542"/>
      <c r="VNI112" s="542"/>
      <c r="VNJ112" s="542"/>
      <c r="VNK112" s="542"/>
      <c r="VNL112" s="542"/>
      <c r="VNM112" s="542"/>
      <c r="VNN112" s="542"/>
      <c r="VNO112" s="542"/>
      <c r="VNP112" s="542"/>
      <c r="VNQ112" s="542"/>
      <c r="VNR112" s="542"/>
      <c r="VNS112" s="542"/>
      <c r="VNT112" s="542"/>
      <c r="VNU112" s="542"/>
      <c r="VNV112" s="542"/>
      <c r="VNW112" s="542"/>
      <c r="VNX112" s="542"/>
      <c r="VNY112" s="542"/>
      <c r="VNZ112" s="542"/>
      <c r="VOA112" s="542"/>
      <c r="VOB112" s="542"/>
      <c r="VOC112" s="542"/>
      <c r="VOD112" s="542"/>
      <c r="VOE112" s="542"/>
      <c r="VOF112" s="542"/>
      <c r="VOG112" s="542"/>
      <c r="VOH112" s="542"/>
      <c r="VOI112" s="542"/>
      <c r="VOJ112" s="542"/>
      <c r="VOK112" s="542"/>
      <c r="VOL112" s="542"/>
      <c r="VOM112" s="542"/>
      <c r="VON112" s="542"/>
      <c r="VOO112" s="542"/>
      <c r="VOP112" s="542"/>
      <c r="VOQ112" s="542"/>
      <c r="VOR112" s="542"/>
      <c r="VOS112" s="542"/>
      <c r="VOT112" s="542"/>
      <c r="VOU112" s="542"/>
      <c r="VOV112" s="542"/>
      <c r="VOW112" s="542"/>
      <c r="VOX112" s="542"/>
      <c r="VOY112" s="542"/>
      <c r="VOZ112" s="542"/>
      <c r="VPA112" s="542"/>
      <c r="VPB112" s="542"/>
      <c r="VPC112" s="542"/>
      <c r="VPD112" s="542"/>
      <c r="VPE112" s="542"/>
      <c r="VPF112" s="542"/>
      <c r="VPG112" s="542"/>
      <c r="VPH112" s="542"/>
      <c r="VPI112" s="542"/>
      <c r="VPJ112" s="542"/>
      <c r="VPK112" s="542"/>
      <c r="VPL112" s="542"/>
      <c r="VPM112" s="542"/>
      <c r="VPN112" s="542"/>
      <c r="VPO112" s="542"/>
      <c r="VPP112" s="542"/>
      <c r="VPQ112" s="542"/>
      <c r="VPR112" s="542"/>
      <c r="VPS112" s="542"/>
      <c r="VPT112" s="542"/>
      <c r="VPU112" s="542"/>
      <c r="VPV112" s="542"/>
      <c r="VPW112" s="542"/>
      <c r="VPX112" s="542"/>
      <c r="VPY112" s="542"/>
      <c r="VPZ112" s="542"/>
      <c r="VQA112" s="542"/>
      <c r="VQB112" s="542"/>
      <c r="VQC112" s="542"/>
      <c r="VQD112" s="542"/>
      <c r="VQE112" s="542"/>
      <c r="VQF112" s="542"/>
      <c r="VQG112" s="542"/>
      <c r="VQH112" s="542"/>
      <c r="VQI112" s="542"/>
      <c r="VQJ112" s="542"/>
      <c r="VQK112" s="542"/>
      <c r="VQL112" s="542"/>
      <c r="VQM112" s="542"/>
      <c r="VQN112" s="542"/>
      <c r="VQO112" s="542"/>
      <c r="VQP112" s="542"/>
      <c r="VQQ112" s="542"/>
      <c r="VQR112" s="542"/>
      <c r="VQS112" s="542"/>
      <c r="VQT112" s="542"/>
      <c r="VQU112" s="542"/>
      <c r="VQV112" s="542"/>
      <c r="VQW112" s="542"/>
      <c r="VQX112" s="542"/>
      <c r="VQY112" s="542"/>
      <c r="VQZ112" s="542"/>
      <c r="VRA112" s="542"/>
      <c r="VRB112" s="542"/>
      <c r="VRC112" s="542"/>
      <c r="VRD112" s="542"/>
      <c r="VRE112" s="542"/>
      <c r="VRF112" s="542"/>
      <c r="VRG112" s="542"/>
      <c r="VRH112" s="542"/>
      <c r="VRI112" s="542"/>
      <c r="VRJ112" s="542"/>
      <c r="VRK112" s="542"/>
      <c r="VRL112" s="542"/>
      <c r="VRM112" s="542"/>
      <c r="VRN112" s="542"/>
      <c r="VRO112" s="542"/>
      <c r="VRP112" s="542"/>
      <c r="VRQ112" s="542"/>
      <c r="VRR112" s="542"/>
      <c r="VRS112" s="542"/>
      <c r="VRT112" s="542"/>
      <c r="VRU112" s="542"/>
      <c r="VRV112" s="542"/>
      <c r="VRW112" s="542"/>
      <c r="VRX112" s="542"/>
      <c r="VRY112" s="542"/>
      <c r="VRZ112" s="542"/>
      <c r="VSA112" s="542"/>
      <c r="VSB112" s="542"/>
      <c r="VSC112" s="542"/>
      <c r="VSD112" s="542"/>
      <c r="VSE112" s="542"/>
      <c r="VSF112" s="542"/>
      <c r="VSG112" s="542"/>
      <c r="VSH112" s="542"/>
      <c r="VSI112" s="542"/>
      <c r="VSJ112" s="542"/>
      <c r="VSK112" s="542"/>
      <c r="VSL112" s="542"/>
      <c r="VSM112" s="542"/>
      <c r="VSN112" s="542"/>
      <c r="VSO112" s="542"/>
      <c r="VSP112" s="542"/>
      <c r="VSQ112" s="542"/>
      <c r="VSR112" s="542"/>
      <c r="VSS112" s="542"/>
      <c r="VST112" s="542"/>
      <c r="VSU112" s="542"/>
      <c r="VSV112" s="542"/>
      <c r="VSW112" s="542"/>
      <c r="VSX112" s="542"/>
      <c r="VSY112" s="542"/>
      <c r="VSZ112" s="542"/>
      <c r="VTA112" s="542"/>
      <c r="VTB112" s="542"/>
      <c r="VTC112" s="542"/>
      <c r="VTD112" s="542"/>
      <c r="VTE112" s="542"/>
      <c r="VTF112" s="542"/>
      <c r="VTG112" s="542"/>
      <c r="VTH112" s="542"/>
      <c r="VTI112" s="542"/>
      <c r="VTJ112" s="542"/>
      <c r="VTK112" s="542"/>
      <c r="VTL112" s="542"/>
      <c r="VTM112" s="542"/>
      <c r="VTN112" s="542"/>
      <c r="VTO112" s="542"/>
      <c r="VTP112" s="542"/>
      <c r="VTQ112" s="542"/>
      <c r="VTR112" s="542"/>
      <c r="VTS112" s="542"/>
      <c r="VTT112" s="542"/>
      <c r="VTU112" s="542"/>
      <c r="VTV112" s="542"/>
      <c r="VTW112" s="542"/>
      <c r="VTX112" s="542"/>
      <c r="VTY112" s="542"/>
      <c r="VTZ112" s="542"/>
      <c r="VUA112" s="542"/>
      <c r="VUB112" s="542"/>
      <c r="VUC112" s="542"/>
      <c r="VUD112" s="542"/>
      <c r="VUE112" s="542"/>
      <c r="VUF112" s="542"/>
      <c r="VUG112" s="542"/>
      <c r="VUH112" s="542"/>
      <c r="VUI112" s="542"/>
      <c r="VUJ112" s="542"/>
      <c r="VUK112" s="542"/>
      <c r="VUL112" s="542"/>
      <c r="VUM112" s="542"/>
      <c r="VUN112" s="542"/>
      <c r="VUO112" s="542"/>
      <c r="VUP112" s="542"/>
      <c r="VUQ112" s="542"/>
      <c r="VUR112" s="542"/>
      <c r="VUS112" s="542"/>
      <c r="VUT112" s="542"/>
      <c r="VUU112" s="542"/>
      <c r="VUV112" s="542"/>
      <c r="VUW112" s="542"/>
      <c r="VUX112" s="542"/>
      <c r="VUY112" s="542"/>
      <c r="VUZ112" s="542"/>
      <c r="VVA112" s="542"/>
      <c r="VVB112" s="542"/>
      <c r="VVC112" s="542"/>
      <c r="VVD112" s="542"/>
      <c r="VVE112" s="542"/>
      <c r="VVF112" s="542"/>
      <c r="VVG112" s="542"/>
      <c r="VVH112" s="542"/>
      <c r="VVI112" s="542"/>
      <c r="VVJ112" s="542"/>
      <c r="VVK112" s="542"/>
      <c r="VVL112" s="542"/>
      <c r="VVM112" s="542"/>
      <c r="VVN112" s="542"/>
      <c r="VVO112" s="542"/>
      <c r="VVP112" s="542"/>
      <c r="VVQ112" s="542"/>
      <c r="VVR112" s="542"/>
      <c r="VVS112" s="542"/>
      <c r="VVT112" s="542"/>
      <c r="VVU112" s="542"/>
      <c r="VVV112" s="542"/>
      <c r="VVW112" s="542"/>
      <c r="VVX112" s="542"/>
      <c r="VVY112" s="542"/>
      <c r="VVZ112" s="542"/>
      <c r="VWA112" s="542"/>
      <c r="VWB112" s="542"/>
      <c r="VWC112" s="542"/>
      <c r="VWD112" s="542"/>
      <c r="VWE112" s="542"/>
      <c r="VWF112" s="542"/>
      <c r="VWG112" s="542"/>
      <c r="VWH112" s="542"/>
      <c r="VWI112" s="542"/>
      <c r="VWJ112" s="542"/>
      <c r="VWK112" s="542"/>
      <c r="VWL112" s="542"/>
      <c r="VWM112" s="542"/>
      <c r="VWN112" s="542"/>
      <c r="VWO112" s="542"/>
      <c r="VWP112" s="542"/>
      <c r="VWQ112" s="542"/>
      <c r="VWR112" s="542"/>
      <c r="VWS112" s="542"/>
      <c r="VWT112" s="542"/>
      <c r="VWU112" s="542"/>
      <c r="VWV112" s="542"/>
      <c r="VWW112" s="542"/>
      <c r="VWX112" s="542"/>
      <c r="VWY112" s="542"/>
      <c r="VWZ112" s="542"/>
      <c r="VXA112" s="542"/>
      <c r="VXB112" s="542"/>
      <c r="VXC112" s="542"/>
      <c r="VXD112" s="542"/>
      <c r="VXE112" s="542"/>
      <c r="VXF112" s="542"/>
      <c r="VXG112" s="542"/>
      <c r="VXH112" s="542"/>
      <c r="VXI112" s="542"/>
      <c r="VXJ112" s="542"/>
      <c r="VXK112" s="542"/>
      <c r="VXL112" s="542"/>
      <c r="VXM112" s="542"/>
      <c r="VXN112" s="542"/>
      <c r="VXO112" s="542"/>
      <c r="VXP112" s="542"/>
      <c r="VXQ112" s="542"/>
      <c r="VXR112" s="542"/>
      <c r="VXS112" s="542"/>
      <c r="VXT112" s="542"/>
      <c r="VXU112" s="542"/>
      <c r="VXV112" s="542"/>
      <c r="VXW112" s="542"/>
      <c r="VXX112" s="542"/>
      <c r="VXY112" s="542"/>
      <c r="VXZ112" s="542"/>
      <c r="VYA112" s="542"/>
      <c r="VYB112" s="542"/>
      <c r="VYC112" s="542"/>
      <c r="VYD112" s="542"/>
      <c r="VYE112" s="542"/>
      <c r="VYF112" s="542"/>
      <c r="VYG112" s="542"/>
      <c r="VYH112" s="542"/>
      <c r="VYI112" s="542"/>
      <c r="VYJ112" s="542"/>
      <c r="VYK112" s="542"/>
      <c r="VYL112" s="542"/>
      <c r="VYM112" s="542"/>
      <c r="VYN112" s="542"/>
      <c r="VYO112" s="542"/>
      <c r="VYP112" s="542"/>
      <c r="VYQ112" s="542"/>
      <c r="VYR112" s="542"/>
      <c r="VYS112" s="542"/>
      <c r="VYT112" s="542"/>
      <c r="VYU112" s="542"/>
      <c r="VYV112" s="542"/>
      <c r="VYW112" s="542"/>
      <c r="VYX112" s="542"/>
      <c r="VYY112" s="542"/>
      <c r="VYZ112" s="542"/>
      <c r="VZA112" s="542"/>
      <c r="VZB112" s="542"/>
      <c r="VZC112" s="542"/>
      <c r="VZD112" s="542"/>
      <c r="VZE112" s="542"/>
      <c r="VZF112" s="542"/>
      <c r="VZG112" s="542"/>
      <c r="VZH112" s="542"/>
      <c r="VZI112" s="542"/>
      <c r="VZJ112" s="542"/>
      <c r="VZK112" s="542"/>
      <c r="VZL112" s="542"/>
      <c r="VZM112" s="542"/>
      <c r="VZN112" s="542"/>
      <c r="VZO112" s="542"/>
      <c r="VZP112" s="542"/>
      <c r="VZQ112" s="542"/>
      <c r="VZR112" s="542"/>
      <c r="VZS112" s="542"/>
      <c r="VZT112" s="542"/>
      <c r="VZU112" s="542"/>
      <c r="VZV112" s="542"/>
      <c r="VZW112" s="542"/>
      <c r="VZX112" s="542"/>
      <c r="VZY112" s="542"/>
      <c r="VZZ112" s="542"/>
      <c r="WAA112" s="542"/>
      <c r="WAB112" s="542"/>
      <c r="WAC112" s="542"/>
      <c r="WAD112" s="542"/>
      <c r="WAE112" s="542"/>
      <c r="WAF112" s="542"/>
      <c r="WAG112" s="542"/>
      <c r="WAH112" s="542"/>
      <c r="WAI112" s="542"/>
      <c r="WAJ112" s="542"/>
      <c r="WAK112" s="542"/>
      <c r="WAL112" s="542"/>
      <c r="WAM112" s="542"/>
      <c r="WAN112" s="542"/>
      <c r="WAO112" s="542"/>
      <c r="WAP112" s="542"/>
      <c r="WAQ112" s="542"/>
      <c r="WAR112" s="542"/>
      <c r="WAS112" s="542"/>
      <c r="WAT112" s="542"/>
      <c r="WAU112" s="542"/>
      <c r="WAV112" s="542"/>
      <c r="WAW112" s="542"/>
      <c r="WAX112" s="542"/>
      <c r="WAY112" s="542"/>
      <c r="WAZ112" s="542"/>
      <c r="WBA112" s="542"/>
      <c r="WBB112" s="542"/>
      <c r="WBC112" s="542"/>
      <c r="WBD112" s="542"/>
      <c r="WBE112" s="542"/>
      <c r="WBF112" s="542"/>
      <c r="WBG112" s="542"/>
      <c r="WBH112" s="542"/>
      <c r="WBI112" s="542"/>
      <c r="WBJ112" s="542"/>
      <c r="WBK112" s="542"/>
      <c r="WBL112" s="542"/>
      <c r="WBM112" s="542"/>
      <c r="WBN112" s="542"/>
      <c r="WBO112" s="542"/>
      <c r="WBP112" s="542"/>
      <c r="WBQ112" s="542"/>
      <c r="WBR112" s="542"/>
      <c r="WBS112" s="542"/>
      <c r="WBT112" s="542"/>
      <c r="WBU112" s="542"/>
      <c r="WBV112" s="542"/>
      <c r="WBW112" s="542"/>
      <c r="WBX112" s="542"/>
      <c r="WBY112" s="542"/>
      <c r="WBZ112" s="542"/>
      <c r="WCA112" s="542"/>
      <c r="WCB112" s="542"/>
      <c r="WCC112" s="542"/>
      <c r="WCD112" s="542"/>
      <c r="WCE112" s="542"/>
      <c r="WCF112" s="542"/>
      <c r="WCG112" s="542"/>
      <c r="WCH112" s="542"/>
      <c r="WCI112" s="542"/>
      <c r="WCJ112" s="542"/>
      <c r="WCK112" s="542"/>
      <c r="WCL112" s="542"/>
      <c r="WCM112" s="542"/>
      <c r="WCN112" s="542"/>
      <c r="WCO112" s="542"/>
      <c r="WCP112" s="542"/>
      <c r="WCQ112" s="542"/>
      <c r="WCR112" s="542"/>
      <c r="WCS112" s="542"/>
      <c r="WCT112" s="542"/>
      <c r="WCU112" s="542"/>
      <c r="WCV112" s="542"/>
      <c r="WCW112" s="542"/>
      <c r="WCX112" s="542"/>
      <c r="WCY112" s="542"/>
      <c r="WCZ112" s="542"/>
      <c r="WDA112" s="542"/>
      <c r="WDB112" s="542"/>
      <c r="WDC112" s="542"/>
      <c r="WDD112" s="542"/>
      <c r="WDE112" s="542"/>
      <c r="WDF112" s="542"/>
      <c r="WDG112" s="542"/>
      <c r="WDH112" s="542"/>
      <c r="WDI112" s="542"/>
      <c r="WDJ112" s="542"/>
      <c r="WDK112" s="542"/>
      <c r="WDL112" s="542"/>
      <c r="WDM112" s="542"/>
      <c r="WDN112" s="542"/>
      <c r="WDO112" s="542"/>
      <c r="WDP112" s="542"/>
      <c r="WDQ112" s="542"/>
      <c r="WDR112" s="542"/>
      <c r="WDS112" s="542"/>
      <c r="WDT112" s="542"/>
      <c r="WDU112" s="542"/>
      <c r="WDV112" s="542"/>
      <c r="WDW112" s="542"/>
      <c r="WDX112" s="542"/>
      <c r="WDY112" s="542"/>
      <c r="WDZ112" s="542"/>
      <c r="WEA112" s="542"/>
      <c r="WEB112" s="542"/>
      <c r="WEC112" s="542"/>
      <c r="WED112" s="542"/>
      <c r="WEE112" s="542"/>
      <c r="WEF112" s="542"/>
      <c r="WEG112" s="542"/>
      <c r="WEH112" s="542"/>
      <c r="WEI112" s="542"/>
      <c r="WEJ112" s="542"/>
      <c r="WEK112" s="542"/>
      <c r="WEL112" s="542"/>
      <c r="WEM112" s="542"/>
      <c r="WEN112" s="542"/>
      <c r="WEO112" s="542"/>
      <c r="WEP112" s="542"/>
      <c r="WEQ112" s="542"/>
      <c r="WER112" s="542"/>
      <c r="WES112" s="542"/>
      <c r="WET112" s="542"/>
      <c r="WEU112" s="542"/>
      <c r="WEV112" s="542"/>
      <c r="WEW112" s="542"/>
      <c r="WEX112" s="542"/>
      <c r="WEY112" s="542"/>
      <c r="WEZ112" s="542"/>
      <c r="WFA112" s="542"/>
      <c r="WFB112" s="542"/>
      <c r="WFC112" s="542"/>
      <c r="WFD112" s="542"/>
      <c r="WFE112" s="542"/>
      <c r="WFF112" s="542"/>
      <c r="WFG112" s="542"/>
      <c r="WFH112" s="542"/>
      <c r="WFI112" s="542"/>
      <c r="WFJ112" s="542"/>
      <c r="WFK112" s="542"/>
      <c r="WFL112" s="542"/>
      <c r="WFM112" s="542"/>
      <c r="WFN112" s="542"/>
      <c r="WFO112" s="542"/>
      <c r="WFP112" s="542"/>
      <c r="WFQ112" s="542"/>
      <c r="WFR112" s="542"/>
      <c r="WFS112" s="542"/>
      <c r="WFT112" s="542"/>
      <c r="WFU112" s="542"/>
      <c r="WFV112" s="542"/>
      <c r="WFW112" s="542"/>
      <c r="WFX112" s="542"/>
      <c r="WFY112" s="542"/>
      <c r="WFZ112" s="542"/>
      <c r="WGA112" s="542"/>
      <c r="WGB112" s="542"/>
      <c r="WGC112" s="542"/>
      <c r="WGD112" s="542"/>
      <c r="WGE112" s="542"/>
      <c r="WGF112" s="542"/>
      <c r="WGG112" s="542"/>
      <c r="WGH112" s="542"/>
      <c r="WGI112" s="542"/>
      <c r="WGJ112" s="542"/>
      <c r="WGK112" s="542"/>
      <c r="WGL112" s="542"/>
      <c r="WGM112" s="542"/>
      <c r="WGN112" s="542"/>
      <c r="WGO112" s="542"/>
      <c r="WGP112" s="542"/>
      <c r="WGQ112" s="542"/>
      <c r="WGR112" s="542"/>
      <c r="WGS112" s="542"/>
      <c r="WGT112" s="542"/>
      <c r="WGU112" s="542"/>
      <c r="WGV112" s="542"/>
      <c r="WGW112" s="542"/>
      <c r="WGX112" s="542"/>
      <c r="WGY112" s="542"/>
      <c r="WGZ112" s="542"/>
      <c r="WHA112" s="542"/>
      <c r="WHB112" s="542"/>
      <c r="WHC112" s="542"/>
      <c r="WHD112" s="542"/>
      <c r="WHE112" s="542"/>
      <c r="WHF112" s="542"/>
      <c r="WHG112" s="542"/>
      <c r="WHH112" s="542"/>
      <c r="WHI112" s="542"/>
      <c r="WHJ112" s="542"/>
      <c r="WHK112" s="542"/>
      <c r="WHL112" s="542"/>
      <c r="WHM112" s="542"/>
      <c r="WHN112" s="542"/>
      <c r="WHO112" s="542"/>
      <c r="WHP112" s="542"/>
      <c r="WHQ112" s="542"/>
      <c r="WHR112" s="542"/>
      <c r="WHS112" s="542"/>
      <c r="WHT112" s="542"/>
      <c r="WHU112" s="542"/>
      <c r="WHV112" s="542"/>
      <c r="WHW112" s="542"/>
      <c r="WHX112" s="542"/>
      <c r="WHY112" s="542"/>
      <c r="WHZ112" s="542"/>
      <c r="WIA112" s="542"/>
      <c r="WIB112" s="542"/>
      <c r="WIC112" s="542"/>
      <c r="WID112" s="542"/>
      <c r="WIE112" s="542"/>
      <c r="WIF112" s="542"/>
      <c r="WIG112" s="542"/>
      <c r="WIH112" s="542"/>
      <c r="WII112" s="542"/>
      <c r="WIJ112" s="542"/>
      <c r="WIK112" s="542"/>
      <c r="WIL112" s="542"/>
      <c r="WIM112" s="542"/>
      <c r="WIN112" s="542"/>
      <c r="WIO112" s="542"/>
      <c r="WIP112" s="542"/>
      <c r="WIQ112" s="542"/>
      <c r="WIR112" s="542"/>
      <c r="WIS112" s="542"/>
      <c r="WIT112" s="542"/>
      <c r="WIU112" s="542"/>
      <c r="WIV112" s="542"/>
      <c r="WIW112" s="542"/>
      <c r="WIX112" s="542"/>
      <c r="WIY112" s="542"/>
      <c r="WIZ112" s="542"/>
      <c r="WJA112" s="542"/>
      <c r="WJB112" s="542"/>
      <c r="WJC112" s="542"/>
      <c r="WJD112" s="542"/>
      <c r="WJE112" s="542"/>
      <c r="WJF112" s="542"/>
      <c r="WJG112" s="542"/>
      <c r="WJH112" s="542"/>
      <c r="WJI112" s="542"/>
      <c r="WJJ112" s="542"/>
      <c r="WJK112" s="542"/>
      <c r="WJL112" s="542"/>
      <c r="WJM112" s="542"/>
      <c r="WJN112" s="542"/>
      <c r="WJO112" s="542"/>
      <c r="WJP112" s="542"/>
      <c r="WJQ112" s="542"/>
      <c r="WJR112" s="542"/>
      <c r="WJS112" s="542"/>
      <c r="WJT112" s="542"/>
      <c r="WJU112" s="542"/>
      <c r="WJV112" s="542"/>
      <c r="WJW112" s="542"/>
      <c r="WJX112" s="542"/>
      <c r="WJY112" s="542"/>
      <c r="WJZ112" s="542"/>
      <c r="WKA112" s="542"/>
      <c r="WKB112" s="542"/>
      <c r="WKC112" s="542"/>
      <c r="WKD112" s="542"/>
      <c r="WKE112" s="542"/>
      <c r="WKF112" s="542"/>
      <c r="WKG112" s="542"/>
      <c r="WKH112" s="542"/>
      <c r="WKI112" s="542"/>
      <c r="WKJ112" s="542"/>
      <c r="WKK112" s="542"/>
      <c r="WKL112" s="542"/>
      <c r="WKM112" s="542"/>
      <c r="WKN112" s="542"/>
      <c r="WKO112" s="542"/>
      <c r="WKP112" s="542"/>
      <c r="WKQ112" s="542"/>
      <c r="WKR112" s="542"/>
      <c r="WKS112" s="542"/>
      <c r="WKT112" s="542"/>
      <c r="WKU112" s="542"/>
      <c r="WKV112" s="542"/>
      <c r="WKW112" s="542"/>
      <c r="WKX112" s="542"/>
      <c r="WKY112" s="542"/>
      <c r="WKZ112" s="542"/>
      <c r="WLA112" s="542"/>
      <c r="WLB112" s="542"/>
      <c r="WLC112" s="542"/>
      <c r="WLD112" s="542"/>
      <c r="WLE112" s="542"/>
      <c r="WLF112" s="542"/>
      <c r="WLG112" s="542"/>
      <c r="WLH112" s="542"/>
      <c r="WLI112" s="542"/>
      <c r="WLJ112" s="542"/>
      <c r="WLK112" s="542"/>
      <c r="WLL112" s="542"/>
      <c r="WLM112" s="542"/>
      <c r="WLN112" s="542"/>
      <c r="WLO112" s="542"/>
      <c r="WLP112" s="542"/>
      <c r="WLQ112" s="542"/>
      <c r="WLR112" s="542"/>
      <c r="WLS112" s="542"/>
      <c r="WLT112" s="542"/>
      <c r="WLU112" s="542"/>
      <c r="WLV112" s="542"/>
      <c r="WLW112" s="542"/>
      <c r="WLX112" s="542"/>
      <c r="WLY112" s="542"/>
      <c r="WLZ112" s="542"/>
      <c r="WMA112" s="542"/>
      <c r="WMB112" s="542"/>
      <c r="WMC112" s="542"/>
      <c r="WMD112" s="542"/>
      <c r="WME112" s="542"/>
      <c r="WMF112" s="542"/>
      <c r="WMG112" s="542"/>
      <c r="WMH112" s="542"/>
      <c r="WMI112" s="542"/>
      <c r="WMJ112" s="542"/>
      <c r="WMK112" s="542"/>
      <c r="WML112" s="542"/>
      <c r="WMM112" s="542"/>
      <c r="WMN112" s="542"/>
      <c r="WMO112" s="542"/>
      <c r="WMP112" s="542"/>
      <c r="WMQ112" s="542"/>
      <c r="WMR112" s="542"/>
      <c r="WMS112" s="542"/>
      <c r="WMT112" s="542"/>
      <c r="WMU112" s="542"/>
      <c r="WMV112" s="542"/>
      <c r="WMW112" s="542"/>
      <c r="WMX112" s="542"/>
      <c r="WMY112" s="542"/>
      <c r="WMZ112" s="542"/>
      <c r="WNA112" s="542"/>
      <c r="WNB112" s="542"/>
      <c r="WNC112" s="542"/>
      <c r="WND112" s="542"/>
      <c r="WNE112" s="542"/>
      <c r="WNF112" s="542"/>
      <c r="WNG112" s="542"/>
      <c r="WNH112" s="542"/>
      <c r="WNI112" s="542"/>
      <c r="WNJ112" s="542"/>
      <c r="WNK112" s="542"/>
      <c r="WNL112" s="542"/>
      <c r="WNM112" s="542"/>
      <c r="WNN112" s="542"/>
      <c r="WNO112" s="542"/>
      <c r="WNP112" s="542"/>
      <c r="WNQ112" s="542"/>
      <c r="WNR112" s="542"/>
      <c r="WNS112" s="542"/>
      <c r="WNT112" s="542"/>
      <c r="WNU112" s="542"/>
      <c r="WNV112" s="542"/>
      <c r="WNW112" s="542"/>
      <c r="WNX112" s="542"/>
      <c r="WNY112" s="542"/>
      <c r="WNZ112" s="542"/>
      <c r="WOA112" s="542"/>
      <c r="WOB112" s="542"/>
      <c r="WOC112" s="542"/>
      <c r="WOD112" s="542"/>
      <c r="WOE112" s="542"/>
      <c r="WOF112" s="542"/>
      <c r="WOG112" s="542"/>
      <c r="WOH112" s="542"/>
      <c r="WOI112" s="542"/>
      <c r="WOJ112" s="542"/>
      <c r="WOK112" s="542"/>
      <c r="WOL112" s="542"/>
      <c r="WOM112" s="542"/>
      <c r="WON112" s="542"/>
      <c r="WOO112" s="542"/>
      <c r="WOP112" s="542"/>
      <c r="WOQ112" s="542"/>
      <c r="WOR112" s="542"/>
      <c r="WOS112" s="542"/>
      <c r="WOT112" s="542"/>
      <c r="WOU112" s="542"/>
      <c r="WOV112" s="542"/>
      <c r="WOW112" s="542"/>
      <c r="WOX112" s="542"/>
      <c r="WOY112" s="542"/>
      <c r="WOZ112" s="542"/>
      <c r="WPA112" s="542"/>
      <c r="WPB112" s="542"/>
      <c r="WPC112" s="542"/>
      <c r="WPD112" s="542"/>
      <c r="WPE112" s="542"/>
      <c r="WPF112" s="542"/>
      <c r="WPG112" s="542"/>
      <c r="WPH112" s="542"/>
      <c r="WPI112" s="542"/>
      <c r="WPJ112" s="542"/>
      <c r="WPK112" s="542"/>
      <c r="WPL112" s="542"/>
      <c r="WPM112" s="542"/>
      <c r="WPN112" s="542"/>
      <c r="WPO112" s="542"/>
      <c r="WPP112" s="542"/>
      <c r="WPQ112" s="542"/>
      <c r="WPR112" s="542"/>
      <c r="WPS112" s="542"/>
      <c r="WPT112" s="542"/>
      <c r="WPU112" s="542"/>
      <c r="WPV112" s="542"/>
      <c r="WPW112" s="542"/>
      <c r="WPX112" s="542"/>
      <c r="WPY112" s="542"/>
      <c r="WPZ112" s="542"/>
      <c r="WQA112" s="542"/>
      <c r="WQB112" s="542"/>
      <c r="WQC112" s="542"/>
      <c r="WQD112" s="542"/>
      <c r="WQE112" s="542"/>
      <c r="WQF112" s="542"/>
      <c r="WQG112" s="542"/>
      <c r="WQH112" s="542"/>
      <c r="WQI112" s="542"/>
      <c r="WQJ112" s="542"/>
      <c r="WQK112" s="542"/>
      <c r="WQL112" s="542"/>
      <c r="WQM112" s="542"/>
      <c r="WQN112" s="542"/>
      <c r="WQO112" s="542"/>
      <c r="WQP112" s="542"/>
      <c r="WQQ112" s="542"/>
      <c r="WQR112" s="542"/>
      <c r="WQS112" s="542"/>
      <c r="WQT112" s="542"/>
      <c r="WQU112" s="542"/>
      <c r="WQV112" s="542"/>
      <c r="WQW112" s="542"/>
      <c r="WQX112" s="542"/>
      <c r="WQY112" s="542"/>
      <c r="WQZ112" s="542"/>
      <c r="WRA112" s="542"/>
      <c r="WRB112" s="542"/>
      <c r="WRC112" s="542"/>
      <c r="WRD112" s="542"/>
      <c r="WRE112" s="542"/>
      <c r="WRF112" s="542"/>
      <c r="WRG112" s="542"/>
      <c r="WRH112" s="542"/>
      <c r="WRI112" s="542"/>
      <c r="WRJ112" s="542"/>
      <c r="WRK112" s="542"/>
      <c r="WRL112" s="542"/>
      <c r="WRM112" s="542"/>
      <c r="WRN112" s="542"/>
      <c r="WRO112" s="542"/>
      <c r="WRP112" s="542"/>
      <c r="WRQ112" s="542"/>
      <c r="WRR112" s="542"/>
      <c r="WRS112" s="542"/>
      <c r="WRT112" s="542"/>
      <c r="WRU112" s="542"/>
      <c r="WRV112" s="542"/>
      <c r="WRW112" s="542"/>
      <c r="WRX112" s="542"/>
      <c r="WRY112" s="542"/>
      <c r="WRZ112" s="542"/>
      <c r="WSA112" s="542"/>
      <c r="WSB112" s="542"/>
      <c r="WSC112" s="542"/>
      <c r="WSD112" s="542"/>
      <c r="WSE112" s="542"/>
      <c r="WSF112" s="542"/>
      <c r="WSG112" s="542"/>
      <c r="WSH112" s="542"/>
      <c r="WSI112" s="542"/>
      <c r="WSJ112" s="542"/>
      <c r="WSK112" s="542"/>
      <c r="WSL112" s="542"/>
      <c r="WSM112" s="542"/>
      <c r="WSN112" s="542"/>
      <c r="WSO112" s="542"/>
      <c r="WSP112" s="542"/>
      <c r="WSQ112" s="542"/>
      <c r="WSR112" s="542"/>
      <c r="WSS112" s="542"/>
      <c r="WST112" s="542"/>
      <c r="WSU112" s="542"/>
      <c r="WSV112" s="542"/>
      <c r="WSW112" s="542"/>
      <c r="WSX112" s="542"/>
      <c r="WSY112" s="542"/>
      <c r="WSZ112" s="542"/>
      <c r="WTA112" s="542"/>
      <c r="WTB112" s="542"/>
      <c r="WTC112" s="542"/>
      <c r="WTD112" s="542"/>
      <c r="WTE112" s="542"/>
      <c r="WTF112" s="542"/>
      <c r="WTG112" s="542"/>
      <c r="WTH112" s="542"/>
      <c r="WTI112" s="542"/>
      <c r="WTJ112" s="542"/>
      <c r="WTK112" s="542"/>
      <c r="WTL112" s="542"/>
      <c r="WTM112" s="542"/>
      <c r="WTN112" s="542"/>
      <c r="WTO112" s="542"/>
      <c r="WTP112" s="542"/>
      <c r="WTQ112" s="542"/>
      <c r="WTR112" s="542"/>
      <c r="WTS112" s="542"/>
      <c r="WTT112" s="542"/>
      <c r="WTU112" s="542"/>
      <c r="WTV112" s="542"/>
      <c r="WTW112" s="542"/>
      <c r="WTX112" s="542"/>
      <c r="WTY112" s="542"/>
      <c r="WTZ112" s="542"/>
      <c r="WUA112" s="542"/>
      <c r="WUB112" s="542"/>
      <c r="WUC112" s="542"/>
      <c r="WUD112" s="542"/>
      <c r="WUE112" s="542"/>
      <c r="WUF112" s="542"/>
      <c r="WUG112" s="542"/>
      <c r="WUH112" s="542"/>
      <c r="WUI112" s="542"/>
      <c r="WUJ112" s="542"/>
      <c r="WUK112" s="542"/>
      <c r="WUL112" s="542"/>
      <c r="WUM112" s="542"/>
      <c r="WUN112" s="542"/>
      <c r="WUO112" s="542"/>
      <c r="WUP112" s="542"/>
      <c r="WUQ112" s="542"/>
      <c r="WUR112" s="542"/>
      <c r="WUS112" s="542"/>
      <c r="WUT112" s="542"/>
      <c r="WUU112" s="542"/>
      <c r="WUV112" s="542"/>
      <c r="WUW112" s="542"/>
      <c r="WUX112" s="542"/>
      <c r="WUY112" s="542"/>
      <c r="WUZ112" s="542"/>
      <c r="WVA112" s="542"/>
      <c r="WVB112" s="542"/>
      <c r="WVC112" s="542"/>
      <c r="WVD112" s="542"/>
      <c r="WVE112" s="542"/>
      <c r="WVF112" s="542"/>
      <c r="WVG112" s="542"/>
      <c r="WVH112" s="542"/>
      <c r="WVI112" s="542"/>
      <c r="WVJ112" s="542"/>
      <c r="WVK112" s="542"/>
      <c r="WVL112" s="542"/>
      <c r="WVM112" s="542"/>
      <c r="WVN112" s="542"/>
      <c r="WVO112" s="542"/>
      <c r="WVP112" s="542"/>
      <c r="WVQ112" s="542"/>
      <c r="WVR112" s="542"/>
      <c r="WVS112" s="542"/>
      <c r="WVT112" s="542"/>
      <c r="WVU112" s="542"/>
      <c r="WVV112" s="542"/>
      <c r="WVW112" s="542"/>
      <c r="WVX112" s="542"/>
      <c r="WVY112" s="542"/>
      <c r="WVZ112" s="542"/>
      <c r="WWA112" s="542"/>
      <c r="WWB112" s="542"/>
      <c r="WWC112" s="542"/>
      <c r="WWD112" s="542"/>
      <c r="WWE112" s="542"/>
      <c r="WWF112" s="542"/>
      <c r="WWG112" s="542"/>
      <c r="WWH112" s="542"/>
      <c r="WWI112" s="542"/>
      <c r="WWJ112" s="542"/>
      <c r="WWK112" s="542"/>
      <c r="WWL112" s="542"/>
      <c r="WWM112" s="542"/>
      <c r="WWN112" s="542"/>
      <c r="WWO112" s="542"/>
      <c r="WWP112" s="542"/>
      <c r="WWQ112" s="542"/>
      <c r="WWR112" s="542"/>
      <c r="WWS112" s="542"/>
      <c r="WWT112" s="542"/>
      <c r="WWU112" s="542"/>
      <c r="WWV112" s="542"/>
      <c r="WWW112" s="542"/>
      <c r="WWX112" s="542"/>
      <c r="WWY112" s="542"/>
      <c r="WWZ112" s="542"/>
      <c r="WXA112" s="542"/>
      <c r="WXB112" s="542"/>
      <c r="WXC112" s="542"/>
      <c r="WXD112" s="542"/>
      <c r="WXE112" s="542"/>
      <c r="WXF112" s="542"/>
      <c r="WXG112" s="542"/>
      <c r="WXH112" s="542"/>
      <c r="WXI112" s="542"/>
      <c r="WXJ112" s="542"/>
      <c r="WXK112" s="542"/>
      <c r="WXL112" s="542"/>
      <c r="WXM112" s="542"/>
      <c r="WXN112" s="542"/>
      <c r="WXO112" s="542"/>
      <c r="WXP112" s="542"/>
      <c r="WXQ112" s="542"/>
      <c r="WXR112" s="542"/>
      <c r="WXS112" s="542"/>
      <c r="WXT112" s="542"/>
      <c r="WXU112" s="542"/>
      <c r="WXV112" s="542"/>
      <c r="WXW112" s="542"/>
      <c r="WXX112" s="542"/>
      <c r="WXY112" s="542"/>
      <c r="WXZ112" s="542"/>
      <c r="WYA112" s="542"/>
      <c r="WYB112" s="542"/>
      <c r="WYC112" s="542"/>
      <c r="WYD112" s="542"/>
      <c r="WYE112" s="542"/>
      <c r="WYF112" s="542"/>
      <c r="WYG112" s="542"/>
      <c r="WYH112" s="542"/>
      <c r="WYI112" s="542"/>
      <c r="WYJ112" s="542"/>
      <c r="WYK112" s="542"/>
      <c r="WYL112" s="542"/>
      <c r="WYM112" s="542"/>
      <c r="WYN112" s="542"/>
      <c r="WYO112" s="542"/>
      <c r="WYP112" s="542"/>
      <c r="WYQ112" s="542"/>
      <c r="WYR112" s="542"/>
      <c r="WYS112" s="542"/>
      <c r="WYT112" s="542"/>
      <c r="WYU112" s="542"/>
      <c r="WYV112" s="542"/>
      <c r="WYW112" s="542"/>
      <c r="WYX112" s="542"/>
      <c r="WYY112" s="542"/>
      <c r="WYZ112" s="542"/>
      <c r="WZA112" s="542"/>
      <c r="WZB112" s="542"/>
      <c r="WZC112" s="542"/>
      <c r="WZD112" s="542"/>
      <c r="WZE112" s="542"/>
      <c r="WZF112" s="542"/>
      <c r="WZG112" s="542"/>
      <c r="WZH112" s="542"/>
      <c r="WZI112" s="542"/>
      <c r="WZJ112" s="542"/>
      <c r="WZK112" s="542"/>
      <c r="WZL112" s="542"/>
      <c r="WZM112" s="542"/>
      <c r="WZN112" s="542"/>
      <c r="WZO112" s="542"/>
      <c r="WZP112" s="542"/>
      <c r="WZQ112" s="542"/>
      <c r="WZR112" s="542"/>
      <c r="WZS112" s="542"/>
      <c r="WZT112" s="542"/>
      <c r="WZU112" s="542"/>
      <c r="WZV112" s="542"/>
      <c r="WZW112" s="542"/>
      <c r="WZX112" s="542"/>
      <c r="WZY112" s="542"/>
      <c r="WZZ112" s="542"/>
      <c r="XAA112" s="542"/>
      <c r="XAB112" s="542"/>
      <c r="XAC112" s="542"/>
      <c r="XAD112" s="542"/>
      <c r="XAE112" s="542"/>
      <c r="XAF112" s="542"/>
      <c r="XAG112" s="542"/>
      <c r="XAH112" s="542"/>
      <c r="XAI112" s="542"/>
      <c r="XAJ112" s="542"/>
      <c r="XAK112" s="542"/>
      <c r="XAL112" s="542"/>
      <c r="XAM112" s="542"/>
      <c r="XAN112" s="542"/>
      <c r="XAO112" s="542"/>
      <c r="XAP112" s="542"/>
      <c r="XAQ112" s="542"/>
      <c r="XAR112" s="542"/>
      <c r="XAS112" s="542"/>
      <c r="XAT112" s="542"/>
      <c r="XAU112" s="542"/>
      <c r="XAV112" s="542"/>
      <c r="XAW112" s="542"/>
      <c r="XAX112" s="542"/>
      <c r="XAY112" s="542"/>
      <c r="XAZ112" s="542"/>
      <c r="XBA112" s="542"/>
      <c r="XBB112" s="542"/>
      <c r="XBC112" s="542"/>
      <c r="XBD112" s="542"/>
      <c r="XBE112" s="542"/>
      <c r="XBF112" s="542"/>
      <c r="XBG112" s="542"/>
      <c r="XBH112" s="542"/>
      <c r="XBI112" s="542"/>
      <c r="XBJ112" s="542"/>
      <c r="XBK112" s="542"/>
      <c r="XBL112" s="542"/>
      <c r="XBM112" s="542"/>
      <c r="XBN112" s="542"/>
      <c r="XBO112" s="542"/>
      <c r="XBP112" s="542"/>
      <c r="XBQ112" s="542"/>
      <c r="XBR112" s="542"/>
      <c r="XBS112" s="542"/>
      <c r="XBT112" s="542"/>
      <c r="XBU112" s="542"/>
      <c r="XBV112" s="542"/>
      <c r="XBW112" s="542"/>
      <c r="XBX112" s="542"/>
      <c r="XBY112" s="542"/>
      <c r="XBZ112" s="542"/>
      <c r="XCA112" s="542"/>
      <c r="XCB112" s="542"/>
      <c r="XCC112" s="542"/>
      <c r="XCD112" s="542"/>
      <c r="XCE112" s="542"/>
      <c r="XCF112" s="542"/>
      <c r="XCG112" s="542"/>
      <c r="XCH112" s="542"/>
      <c r="XCI112" s="542"/>
      <c r="XCJ112" s="542"/>
      <c r="XCK112" s="542"/>
      <c r="XCL112" s="542"/>
      <c r="XCM112" s="542"/>
      <c r="XCN112" s="542"/>
      <c r="XCO112" s="542"/>
      <c r="XCP112" s="542"/>
      <c r="XCQ112" s="542"/>
      <c r="XCR112" s="542"/>
      <c r="XCS112" s="542"/>
      <c r="XCT112" s="542"/>
      <c r="XCU112" s="542"/>
      <c r="XCV112" s="542"/>
      <c r="XCW112" s="542"/>
      <c r="XCX112" s="542"/>
      <c r="XCY112" s="542"/>
      <c r="XCZ112" s="542"/>
      <c r="XDA112" s="542"/>
      <c r="XDB112" s="542"/>
      <c r="XDC112" s="542"/>
      <c r="XDD112" s="542"/>
      <c r="XDE112" s="542"/>
      <c r="XDF112" s="542"/>
      <c r="XDG112" s="542"/>
      <c r="XDH112" s="542"/>
      <c r="XDI112" s="542"/>
      <c r="XDJ112" s="542"/>
      <c r="XDK112" s="542"/>
      <c r="XDL112" s="542"/>
      <c r="XDM112" s="542"/>
      <c r="XDN112" s="542"/>
      <c r="XDO112" s="542"/>
      <c r="XDP112" s="542"/>
      <c r="XDQ112" s="542"/>
      <c r="XDR112" s="542"/>
      <c r="XDS112" s="542"/>
      <c r="XDT112" s="542"/>
      <c r="XDU112" s="542"/>
      <c r="XDV112" s="542"/>
      <c r="XDW112" s="542"/>
      <c r="XDX112" s="542"/>
      <c r="XDY112" s="542"/>
      <c r="XDZ112" s="542"/>
      <c r="XEA112" s="542"/>
      <c r="XEB112" s="542"/>
      <c r="XEC112" s="542"/>
      <c r="XED112" s="542"/>
      <c r="XEE112" s="542"/>
      <c r="XEF112" s="542"/>
      <c r="XEG112" s="542"/>
      <c r="XEH112" s="542"/>
      <c r="XEI112" s="542"/>
      <c r="XEJ112" s="542"/>
      <c r="XEK112" s="542"/>
      <c r="XEL112" s="542"/>
      <c r="XEM112" s="542"/>
      <c r="XEN112" s="542"/>
      <c r="XEO112" s="542"/>
      <c r="XEP112" s="542"/>
      <c r="XEQ112" s="542"/>
      <c r="XER112" s="542"/>
      <c r="XES112" s="542"/>
      <c r="XET112" s="542"/>
      <c r="XEU112" s="542"/>
      <c r="XEV112" s="542"/>
      <c r="XEW112" s="542"/>
      <c r="XEX112" s="542"/>
      <c r="XEY112" s="542"/>
      <c r="XEZ112" s="542"/>
      <c r="XFA112" s="542"/>
      <c r="XFB112" s="542"/>
      <c r="XFC112" s="542"/>
      <c r="XFD112" s="542"/>
    </row>
    <row r="113" spans="1:19" ht="30" customHeight="1" x14ac:dyDescent="0.25">
      <c r="A113" s="396"/>
      <c r="B113" s="396"/>
      <c r="C113" s="396"/>
      <c r="D113" s="396"/>
      <c r="E113" s="414"/>
      <c r="F113" s="588" t="s">
        <v>2633</v>
      </c>
      <c r="G113" s="589"/>
      <c r="H113" s="589"/>
      <c r="I113" s="589"/>
      <c r="J113" s="589"/>
      <c r="K113" s="589"/>
      <c r="L113" s="589"/>
      <c r="M113" s="416"/>
      <c r="N113" s="397"/>
      <c r="O113" s="10"/>
      <c r="P113" s="10"/>
      <c r="Q113" s="10"/>
      <c r="R113" s="10"/>
      <c r="S113" s="10"/>
    </row>
    <row r="114" spans="1:19" ht="9" customHeight="1" x14ac:dyDescent="0.25">
      <c r="A114" s="396"/>
      <c r="B114" s="396"/>
      <c r="C114" s="396"/>
      <c r="D114" s="396"/>
      <c r="E114" s="414"/>
      <c r="F114" s="411"/>
      <c r="G114" s="411"/>
      <c r="H114" s="411"/>
      <c r="I114" s="411"/>
      <c r="J114" s="411"/>
      <c r="K114" s="411"/>
      <c r="L114" s="411"/>
      <c r="M114" s="416"/>
      <c r="N114" s="397"/>
      <c r="O114" s="10"/>
      <c r="P114" s="10"/>
      <c r="Q114" s="10"/>
      <c r="R114" s="10"/>
      <c r="S114" s="10"/>
    </row>
    <row r="115" spans="1:19" ht="28.5" customHeight="1" x14ac:dyDescent="0.25">
      <c r="A115" s="396"/>
      <c r="B115" s="396"/>
      <c r="C115" s="396"/>
      <c r="D115" s="396"/>
      <c r="E115" s="414"/>
      <c r="F115" s="589" t="s">
        <v>2634</v>
      </c>
      <c r="G115" s="589"/>
      <c r="H115" s="589"/>
      <c r="I115" s="589"/>
      <c r="J115" s="589"/>
      <c r="K115" s="589"/>
      <c r="L115" s="589"/>
      <c r="M115" s="416"/>
      <c r="N115" s="397"/>
      <c r="O115" s="10"/>
      <c r="P115" s="10"/>
      <c r="Q115" s="10"/>
      <c r="R115" s="10"/>
      <c r="S115" s="10"/>
    </row>
    <row r="116" spans="1:19" ht="9" customHeight="1" x14ac:dyDescent="0.25">
      <c r="A116" s="396"/>
      <c r="B116" s="396"/>
      <c r="C116" s="396"/>
      <c r="D116" s="396"/>
      <c r="E116" s="414"/>
      <c r="F116" s="589"/>
      <c r="G116" s="589"/>
      <c r="H116" s="589"/>
      <c r="I116" s="589"/>
      <c r="J116" s="589"/>
      <c r="K116" s="589"/>
      <c r="L116" s="589"/>
      <c r="M116" s="416"/>
      <c r="N116" s="397"/>
      <c r="O116" s="10"/>
      <c r="P116" s="10"/>
      <c r="Q116" s="10"/>
      <c r="R116" s="10"/>
      <c r="S116" s="10"/>
    </row>
    <row r="117" spans="1:19" ht="30.75" customHeight="1" x14ac:dyDescent="0.25">
      <c r="A117" s="396"/>
      <c r="B117" s="396"/>
      <c r="C117" s="396"/>
      <c r="D117" s="396"/>
      <c r="E117" s="414"/>
      <c r="F117" s="588" t="s">
        <v>2635</v>
      </c>
      <c r="G117" s="589"/>
      <c r="H117" s="589"/>
      <c r="I117" s="589"/>
      <c r="J117" s="589"/>
      <c r="K117" s="589"/>
      <c r="L117" s="589"/>
      <c r="M117" s="416"/>
      <c r="N117" s="397"/>
      <c r="O117" s="10"/>
      <c r="P117" s="10"/>
      <c r="Q117" s="10"/>
      <c r="R117" s="10"/>
      <c r="S117" s="10"/>
    </row>
    <row r="118" spans="1:19" ht="9" customHeight="1" x14ac:dyDescent="0.25">
      <c r="A118" s="396"/>
      <c r="B118" s="396"/>
      <c r="C118" s="396"/>
      <c r="D118" s="396"/>
      <c r="E118" s="414"/>
      <c r="F118" s="589"/>
      <c r="G118" s="589"/>
      <c r="H118" s="589"/>
      <c r="I118" s="589"/>
      <c r="J118" s="589"/>
      <c r="K118" s="589"/>
      <c r="L118" s="589"/>
      <c r="M118" s="416"/>
      <c r="N118" s="397"/>
      <c r="O118" s="10"/>
      <c r="P118" s="10"/>
      <c r="Q118" s="10"/>
      <c r="R118" s="10"/>
      <c r="S118" s="10"/>
    </row>
    <row r="119" spans="1:19" ht="34.5" customHeight="1" x14ac:dyDescent="0.25">
      <c r="A119" s="396"/>
      <c r="B119" s="396"/>
      <c r="C119" s="396"/>
      <c r="D119" s="396"/>
      <c r="E119" s="414"/>
      <c r="F119" s="588" t="s">
        <v>2925</v>
      </c>
      <c r="G119" s="589"/>
      <c r="H119" s="589"/>
      <c r="I119" s="589"/>
      <c r="J119" s="589"/>
      <c r="K119" s="589"/>
      <c r="L119" s="589"/>
      <c r="M119" s="416"/>
      <c r="N119" s="397"/>
      <c r="O119" s="10"/>
      <c r="P119" s="10"/>
      <c r="Q119" s="10"/>
      <c r="R119" s="10"/>
      <c r="S119" s="10"/>
    </row>
    <row r="120" spans="1:19" ht="9" customHeight="1" x14ac:dyDescent="0.25">
      <c r="A120" s="396"/>
      <c r="B120" s="396"/>
      <c r="C120" s="396"/>
      <c r="D120" s="396"/>
      <c r="E120" s="414"/>
      <c r="F120" s="589"/>
      <c r="G120" s="589"/>
      <c r="H120" s="589"/>
      <c r="I120" s="589"/>
      <c r="J120" s="589"/>
      <c r="K120" s="589"/>
      <c r="L120" s="589"/>
      <c r="M120" s="416"/>
      <c r="N120" s="397"/>
      <c r="O120" s="10"/>
      <c r="P120" s="10"/>
      <c r="Q120" s="10"/>
      <c r="R120" s="10"/>
      <c r="S120" s="10"/>
    </row>
    <row r="121" spans="1:19" ht="17.25" customHeight="1" x14ac:dyDescent="0.25">
      <c r="A121" s="396"/>
      <c r="B121" s="396"/>
      <c r="C121" s="396"/>
      <c r="D121" s="396"/>
      <c r="E121" s="414"/>
      <c r="F121" s="588" t="s">
        <v>2636</v>
      </c>
      <c r="G121" s="589"/>
      <c r="H121" s="589"/>
      <c r="I121" s="589"/>
      <c r="J121" s="589"/>
      <c r="K121" s="589"/>
      <c r="L121" s="589"/>
      <c r="M121" s="416"/>
      <c r="N121" s="397"/>
      <c r="O121" s="10"/>
      <c r="P121" s="10"/>
      <c r="Q121" s="10"/>
      <c r="R121" s="10"/>
      <c r="S121" s="10"/>
    </row>
    <row r="122" spans="1:19" ht="9" customHeight="1" x14ac:dyDescent="0.25">
      <c r="A122" s="396"/>
      <c r="B122" s="396"/>
      <c r="C122" s="396"/>
      <c r="D122" s="396"/>
      <c r="E122" s="414"/>
      <c r="F122" s="589"/>
      <c r="G122" s="589"/>
      <c r="H122" s="589"/>
      <c r="I122" s="589"/>
      <c r="J122" s="589"/>
      <c r="K122" s="589"/>
      <c r="L122" s="589"/>
      <c r="M122" s="416"/>
      <c r="N122" s="397"/>
      <c r="O122" s="10"/>
      <c r="P122" s="10"/>
      <c r="Q122" s="10"/>
      <c r="R122" s="10"/>
      <c r="S122" s="10"/>
    </row>
    <row r="123" spans="1:19" ht="15.75" customHeight="1" x14ac:dyDescent="0.25">
      <c r="A123" s="396"/>
      <c r="B123" s="396"/>
      <c r="C123" s="396"/>
      <c r="D123" s="396"/>
      <c r="E123" s="414"/>
      <c r="F123" s="588" t="s">
        <v>2637</v>
      </c>
      <c r="G123" s="588"/>
      <c r="H123" s="588"/>
      <c r="I123" s="588"/>
      <c r="J123" s="588"/>
      <c r="K123" s="588"/>
      <c r="L123" s="588"/>
      <c r="M123" s="416"/>
      <c r="N123" s="397"/>
      <c r="O123" s="10"/>
      <c r="P123" s="10"/>
      <c r="Q123" s="10"/>
      <c r="R123" s="10"/>
      <c r="S123" s="10"/>
    </row>
    <row r="124" spans="1:19" ht="9" customHeight="1" x14ac:dyDescent="0.25">
      <c r="A124" s="396"/>
      <c r="B124" s="396"/>
      <c r="C124" s="396"/>
      <c r="D124" s="396"/>
      <c r="E124" s="414"/>
      <c r="F124" s="589"/>
      <c r="G124" s="589"/>
      <c r="H124" s="589"/>
      <c r="I124" s="589"/>
      <c r="J124" s="589"/>
      <c r="K124" s="589"/>
      <c r="L124" s="589"/>
      <c r="M124" s="416"/>
      <c r="N124" s="397"/>
      <c r="O124" s="10"/>
      <c r="P124" s="10"/>
      <c r="Q124" s="10"/>
      <c r="R124" s="10"/>
      <c r="S124" s="10"/>
    </row>
    <row r="125" spans="1:19" ht="31.5" customHeight="1" x14ac:dyDescent="0.25">
      <c r="A125" s="396"/>
      <c r="B125" s="396"/>
      <c r="C125" s="396"/>
      <c r="D125" s="396"/>
      <c r="E125" s="414"/>
      <c r="F125" s="590" t="s">
        <v>2638</v>
      </c>
      <c r="G125" s="591"/>
      <c r="H125" s="591"/>
      <c r="I125" s="591"/>
      <c r="J125" s="591"/>
      <c r="K125" s="591"/>
      <c r="L125" s="591"/>
      <c r="M125" s="416"/>
      <c r="N125" s="397"/>
      <c r="O125" s="10"/>
      <c r="P125" s="10"/>
      <c r="Q125" s="10"/>
      <c r="R125" s="10"/>
      <c r="S125" s="10"/>
    </row>
    <row r="126" spans="1:19" ht="9" customHeight="1" x14ac:dyDescent="0.25">
      <c r="A126" s="396"/>
      <c r="B126" s="396"/>
      <c r="C126" s="396"/>
      <c r="D126" s="396"/>
      <c r="E126" s="414"/>
      <c r="F126" s="589"/>
      <c r="G126" s="589"/>
      <c r="H126" s="589"/>
      <c r="I126" s="589"/>
      <c r="J126" s="589"/>
      <c r="K126" s="589"/>
      <c r="L126" s="589"/>
      <c r="M126" s="416"/>
      <c r="N126" s="397"/>
      <c r="O126" s="10"/>
      <c r="P126" s="10"/>
      <c r="Q126" s="10"/>
      <c r="R126" s="10"/>
      <c r="S126" s="10"/>
    </row>
    <row r="127" spans="1:19" ht="24" customHeight="1" x14ac:dyDescent="0.25">
      <c r="A127" s="396"/>
      <c r="B127" s="396"/>
      <c r="C127" s="396"/>
      <c r="D127" s="396"/>
      <c r="E127" s="414"/>
      <c r="F127" s="588"/>
      <c r="G127" s="588"/>
      <c r="H127" s="588"/>
      <c r="I127" s="588"/>
      <c r="J127" s="588"/>
      <c r="K127" s="588"/>
      <c r="L127" s="588"/>
      <c r="M127" s="416"/>
      <c r="N127" s="397"/>
      <c r="O127" s="10"/>
      <c r="P127" s="10"/>
      <c r="Q127" s="10"/>
      <c r="R127" s="10"/>
      <c r="S127" s="10"/>
    </row>
    <row r="128" spans="1:19" ht="73.5" customHeight="1" x14ac:dyDescent="0.25">
      <c r="A128" s="396"/>
      <c r="B128" s="396"/>
      <c r="C128" s="396"/>
      <c r="D128" s="396"/>
      <c r="E128" s="398"/>
      <c r="F128" s="588" t="s">
        <v>2926</v>
      </c>
      <c r="G128" s="589"/>
      <c r="H128" s="589"/>
      <c r="I128" s="589"/>
      <c r="J128" s="589"/>
      <c r="K128" s="589"/>
      <c r="L128" s="589"/>
      <c r="M128" s="399"/>
      <c r="N128" s="397"/>
      <c r="O128" s="10"/>
      <c r="P128" s="10"/>
      <c r="Q128" s="10"/>
      <c r="R128" s="10"/>
      <c r="S128" s="10"/>
    </row>
    <row r="129" spans="1:19" ht="12.75" customHeight="1" x14ac:dyDescent="0.25">
      <c r="A129" s="396"/>
      <c r="B129" s="396"/>
      <c r="C129" s="396"/>
      <c r="D129" s="396"/>
      <c r="E129" s="398"/>
      <c r="F129" s="589"/>
      <c r="G129" s="589"/>
      <c r="H129" s="589"/>
      <c r="I129" s="589"/>
      <c r="J129" s="589"/>
      <c r="K129" s="589"/>
      <c r="L129" s="589"/>
      <c r="M129" s="399"/>
      <c r="N129" s="397"/>
      <c r="O129" s="10"/>
      <c r="P129" s="10"/>
      <c r="Q129" s="10"/>
      <c r="R129" s="10"/>
      <c r="S129" s="10"/>
    </row>
    <row r="130" spans="1:19" ht="62.25" customHeight="1" x14ac:dyDescent="0.25">
      <c r="A130" s="396"/>
      <c r="B130" s="396"/>
      <c r="C130" s="396"/>
      <c r="D130" s="396"/>
      <c r="E130" s="398"/>
      <c r="F130" s="588" t="s">
        <v>2639</v>
      </c>
      <c r="G130" s="589"/>
      <c r="H130" s="589"/>
      <c r="I130" s="589"/>
      <c r="J130" s="589"/>
      <c r="K130" s="589"/>
      <c r="L130" s="589"/>
      <c r="M130" s="399"/>
      <c r="N130" s="397"/>
      <c r="O130" s="10"/>
      <c r="P130" s="10"/>
      <c r="Q130" s="10"/>
      <c r="R130" s="10"/>
      <c r="S130" s="10"/>
    </row>
    <row r="131" spans="1:19" ht="9.75" customHeight="1" x14ac:dyDescent="0.25">
      <c r="A131" s="396"/>
      <c r="B131" s="396"/>
      <c r="C131" s="396"/>
      <c r="D131" s="396"/>
      <c r="E131" s="398"/>
      <c r="F131" s="589"/>
      <c r="G131" s="589"/>
      <c r="H131" s="589"/>
      <c r="I131" s="589"/>
      <c r="J131" s="589"/>
      <c r="K131" s="589"/>
      <c r="L131" s="589"/>
      <c r="M131" s="399"/>
      <c r="N131" s="397"/>
      <c r="O131" s="10"/>
      <c r="P131" s="10"/>
      <c r="Q131" s="10"/>
      <c r="R131" s="10"/>
      <c r="S131" s="10"/>
    </row>
    <row r="132" spans="1:19" ht="36.75" customHeight="1" x14ac:dyDescent="0.25">
      <c r="A132" s="396"/>
      <c r="B132" s="396"/>
      <c r="C132" s="396"/>
      <c r="D132" s="396"/>
      <c r="E132" s="398"/>
      <c r="F132" s="588" t="s">
        <v>2640</v>
      </c>
      <c r="G132" s="589"/>
      <c r="H132" s="589"/>
      <c r="I132" s="589"/>
      <c r="J132" s="589"/>
      <c r="K132" s="589"/>
      <c r="L132" s="589"/>
      <c r="M132" s="399"/>
      <c r="N132" s="397"/>
      <c r="O132" s="10"/>
      <c r="P132" s="10"/>
      <c r="Q132" s="10"/>
      <c r="R132" s="10"/>
      <c r="S132" s="10"/>
    </row>
    <row r="133" spans="1:19" ht="7.5" customHeight="1" x14ac:dyDescent="0.25">
      <c r="A133" s="396"/>
      <c r="B133" s="396"/>
      <c r="C133" s="396"/>
      <c r="D133" s="396"/>
      <c r="E133" s="398"/>
      <c r="F133" s="415"/>
      <c r="G133" s="415"/>
      <c r="H133" s="415"/>
      <c r="I133" s="415"/>
      <c r="J133" s="415"/>
      <c r="K133" s="415"/>
      <c r="L133" s="415"/>
      <c r="M133" s="399"/>
      <c r="N133" s="397"/>
      <c r="O133" s="10"/>
      <c r="P133" s="10"/>
      <c r="Q133" s="10"/>
      <c r="R133" s="10"/>
      <c r="S133" s="10"/>
    </row>
    <row r="134" spans="1:19" ht="118.5" customHeight="1" x14ac:dyDescent="0.25">
      <c r="A134" s="396"/>
      <c r="B134" s="396"/>
      <c r="C134" s="396"/>
      <c r="D134" s="396"/>
      <c r="E134" s="398"/>
      <c r="F134" s="588" t="s">
        <v>2927</v>
      </c>
      <c r="G134" s="589"/>
      <c r="H134" s="589"/>
      <c r="I134" s="589"/>
      <c r="J134" s="589"/>
      <c r="K134" s="589"/>
      <c r="L134" s="589"/>
      <c r="M134" s="399"/>
      <c r="N134" s="397"/>
      <c r="O134" s="10"/>
      <c r="P134" s="10"/>
      <c r="Q134" s="10"/>
      <c r="R134" s="10"/>
      <c r="S134" s="10"/>
    </row>
    <row r="135" spans="1:19" ht="8.25" customHeight="1" x14ac:dyDescent="0.25">
      <c r="A135" s="396"/>
      <c r="B135" s="396"/>
      <c r="C135" s="396"/>
      <c r="D135" s="396"/>
      <c r="E135" s="398"/>
      <c r="F135" s="588"/>
      <c r="G135" s="589"/>
      <c r="H135" s="589"/>
      <c r="I135" s="589"/>
      <c r="J135" s="589"/>
      <c r="K135" s="589"/>
      <c r="L135" s="589"/>
      <c r="M135" s="399"/>
      <c r="N135" s="397"/>
      <c r="O135" s="10"/>
      <c r="P135" s="10"/>
      <c r="Q135" s="10"/>
      <c r="R135" s="10"/>
      <c r="S135" s="10"/>
    </row>
    <row r="136" spans="1:19" ht="29.25" customHeight="1" x14ac:dyDescent="0.25">
      <c r="A136" s="396"/>
      <c r="B136" s="396"/>
      <c r="C136" s="396"/>
      <c r="D136" s="396"/>
      <c r="E136" s="398"/>
      <c r="F136" s="592" t="s">
        <v>2641</v>
      </c>
      <c r="G136" s="592"/>
      <c r="H136" s="592"/>
      <c r="I136" s="592"/>
      <c r="J136" s="592"/>
      <c r="K136" s="592"/>
      <c r="L136" s="592"/>
      <c r="M136" s="399"/>
      <c r="N136" s="397"/>
      <c r="O136" s="10"/>
      <c r="P136" s="10"/>
      <c r="Q136" s="10"/>
      <c r="R136" s="10"/>
      <c r="S136" s="10"/>
    </row>
    <row r="137" spans="1:19" ht="10.5" customHeight="1" x14ac:dyDescent="0.25">
      <c r="A137" s="396"/>
      <c r="B137" s="396"/>
      <c r="C137" s="396"/>
      <c r="D137" s="396"/>
      <c r="E137" s="398"/>
      <c r="F137" s="589"/>
      <c r="G137" s="589"/>
      <c r="H137" s="589"/>
      <c r="I137" s="589"/>
      <c r="J137" s="589"/>
      <c r="K137" s="589"/>
      <c r="L137" s="589"/>
      <c r="M137" s="399"/>
      <c r="N137" s="397"/>
      <c r="O137" s="10"/>
      <c r="P137" s="10"/>
      <c r="Q137" s="10"/>
      <c r="R137" s="10"/>
      <c r="S137" s="10"/>
    </row>
    <row r="138" spans="1:19" ht="37.5" customHeight="1" x14ac:dyDescent="0.25">
      <c r="A138" s="396"/>
      <c r="B138" s="396"/>
      <c r="C138" s="396"/>
      <c r="D138" s="396"/>
      <c r="E138" s="398"/>
      <c r="F138" s="592" t="s">
        <v>2920</v>
      </c>
      <c r="G138" s="589"/>
      <c r="H138" s="589"/>
      <c r="I138" s="589"/>
      <c r="J138" s="589"/>
      <c r="K138" s="589"/>
      <c r="L138" s="589"/>
      <c r="M138" s="399"/>
      <c r="N138" s="397"/>
      <c r="O138" s="10"/>
      <c r="P138" s="10"/>
      <c r="Q138" s="10"/>
      <c r="R138" s="10"/>
      <c r="S138" s="10"/>
    </row>
    <row r="139" spans="1:19" ht="10.5" hidden="1" customHeight="1" x14ac:dyDescent="0.25">
      <c r="A139" s="396"/>
      <c r="B139" s="396"/>
      <c r="C139" s="396"/>
      <c r="D139" s="396"/>
      <c r="E139" s="398"/>
      <c r="F139" s="589"/>
      <c r="G139" s="589"/>
      <c r="H139" s="589"/>
      <c r="I139" s="589"/>
      <c r="J139" s="589"/>
      <c r="K139" s="589"/>
      <c r="L139" s="589"/>
      <c r="M139" s="399"/>
      <c r="N139" s="397"/>
      <c r="O139" s="10"/>
      <c r="P139" s="10"/>
      <c r="Q139" s="10"/>
      <c r="R139" s="10"/>
      <c r="S139" s="10"/>
    </row>
    <row r="140" spans="1:19" ht="356.25" customHeight="1" x14ac:dyDescent="0.25">
      <c r="A140" s="396"/>
      <c r="B140" s="396"/>
      <c r="C140" s="396"/>
      <c r="D140" s="396"/>
      <c r="E140" s="398"/>
      <c r="F140" s="592" t="s">
        <v>2928</v>
      </c>
      <c r="G140" s="589"/>
      <c r="H140" s="589"/>
      <c r="I140" s="589"/>
      <c r="J140" s="589"/>
      <c r="K140" s="589"/>
      <c r="L140" s="589"/>
      <c r="M140" s="399"/>
      <c r="N140" s="397"/>
      <c r="O140" s="10"/>
      <c r="P140" s="10"/>
      <c r="Q140" s="10"/>
      <c r="R140" s="10"/>
      <c r="S140" s="10"/>
    </row>
    <row r="141" spans="1:19" ht="18.75" customHeight="1" x14ac:dyDescent="0.25">
      <c r="E141" s="421"/>
      <c r="F141" s="542"/>
      <c r="G141" s="542"/>
      <c r="H141" s="542"/>
      <c r="I141" s="542"/>
      <c r="J141" s="542"/>
      <c r="K141" s="542"/>
      <c r="L141" s="542"/>
      <c r="M141" s="422"/>
      <c r="N141" s="10"/>
      <c r="O141" s="10"/>
      <c r="P141" s="10"/>
      <c r="Q141" s="10"/>
      <c r="R141" s="10"/>
      <c r="S141" s="10"/>
    </row>
    <row r="142" spans="1:19" ht="300.75" customHeight="1" x14ac:dyDescent="0.25">
      <c r="A142" s="396"/>
      <c r="B142" s="396"/>
      <c r="C142" s="396"/>
      <c r="D142" s="396"/>
      <c r="E142" s="398"/>
      <c r="F142" s="600" t="s">
        <v>2929</v>
      </c>
      <c r="G142" s="542"/>
      <c r="H142" s="542"/>
      <c r="I142" s="542"/>
      <c r="J142" s="542"/>
      <c r="K142" s="542"/>
      <c r="L142" s="542"/>
      <c r="M142" s="399"/>
      <c r="N142" s="397"/>
      <c r="O142" s="10"/>
      <c r="P142" s="10"/>
      <c r="Q142" s="10"/>
      <c r="R142" s="10"/>
      <c r="S142" s="10"/>
    </row>
    <row r="143" spans="1:19" ht="16.5" customHeight="1" x14ac:dyDescent="0.25">
      <c r="E143" s="421"/>
      <c r="F143" s="542"/>
      <c r="G143" s="542"/>
      <c r="H143" s="542"/>
      <c r="I143" s="542"/>
      <c r="J143" s="542"/>
      <c r="K143" s="542"/>
      <c r="L143" s="542"/>
      <c r="M143" s="422"/>
      <c r="N143" s="10"/>
      <c r="O143" s="10"/>
      <c r="P143" s="10"/>
      <c r="Q143" s="10"/>
      <c r="R143" s="10"/>
      <c r="S143" s="10"/>
    </row>
    <row r="144" spans="1:19" ht="237" customHeight="1" x14ac:dyDescent="0.25">
      <c r="A144" s="396"/>
      <c r="B144" s="396"/>
      <c r="C144" s="396"/>
      <c r="D144" s="396"/>
      <c r="E144" s="398"/>
      <c r="F144" s="600" t="s">
        <v>2930</v>
      </c>
      <c r="G144" s="542"/>
      <c r="H144" s="542"/>
      <c r="I144" s="542"/>
      <c r="J144" s="542"/>
      <c r="K144" s="542"/>
      <c r="L144" s="542"/>
      <c r="M144" s="399"/>
      <c r="N144" s="397"/>
      <c r="O144" s="10"/>
      <c r="P144" s="10"/>
      <c r="Q144" s="10"/>
      <c r="R144" s="10"/>
      <c r="S144" s="10"/>
    </row>
    <row r="145" spans="1:19" ht="12.75" customHeight="1" x14ac:dyDescent="0.25">
      <c r="A145" s="396"/>
      <c r="B145" s="396"/>
      <c r="C145" s="396"/>
      <c r="D145" s="396"/>
      <c r="E145" s="398"/>
      <c r="F145" s="589"/>
      <c r="G145" s="589"/>
      <c r="H145" s="589"/>
      <c r="I145" s="589"/>
      <c r="J145" s="589"/>
      <c r="K145" s="589"/>
      <c r="L145" s="589"/>
      <c r="M145" s="399"/>
      <c r="N145" s="397"/>
      <c r="O145" s="10"/>
      <c r="P145" s="10"/>
      <c r="Q145" s="10"/>
      <c r="R145" s="10"/>
      <c r="S145" s="10"/>
    </row>
    <row r="146" spans="1:19" ht="30" customHeight="1" x14ac:dyDescent="0.25">
      <c r="A146" s="396"/>
      <c r="B146" s="396"/>
      <c r="C146" s="396"/>
      <c r="D146" s="396"/>
      <c r="E146" s="398"/>
      <c r="F146" s="589" t="str">
        <f>CONCATENATE("Para constancia, se firma en la ciudad de ",VLOOKUP($C$3,Tabla2[#All],10,FALSE),", el ",TEXT(H58, "dd mmmm yyyy")," en dos (2) ejemplares del mismo tenor y valor.")</f>
        <v>Para constancia, se firma en la ciudad de Armenia, Quindío, el viernes, 19 abril 2024 en dos (2) ejemplares del mismo tenor y valor.</v>
      </c>
      <c r="G146" s="589"/>
      <c r="H146" s="589"/>
      <c r="I146" s="589"/>
      <c r="J146" s="589"/>
      <c r="K146" s="589"/>
      <c r="L146" s="589"/>
      <c r="M146" s="399"/>
      <c r="N146" s="397"/>
      <c r="O146" s="10"/>
      <c r="P146" s="10"/>
      <c r="Q146" s="10"/>
      <c r="R146" s="10"/>
      <c r="S146" s="10"/>
    </row>
    <row r="147" spans="1:19" ht="17.25" customHeight="1" x14ac:dyDescent="0.25">
      <c r="E147" s="377"/>
      <c r="F147" s="217"/>
      <c r="G147" s="217"/>
      <c r="H147" s="217"/>
      <c r="I147" s="217"/>
      <c r="J147" s="217"/>
      <c r="K147" s="217"/>
      <c r="L147" s="217"/>
      <c r="M147" s="378"/>
      <c r="N147" s="10"/>
      <c r="O147" s="10"/>
      <c r="P147" s="10"/>
      <c r="Q147" s="10"/>
      <c r="R147" s="10"/>
      <c r="S147" s="10"/>
    </row>
    <row r="148" spans="1:19" ht="7.5" hidden="1" customHeight="1" x14ac:dyDescent="0.25">
      <c r="E148" s="377"/>
      <c r="F148" s="253" t="s">
        <v>2512</v>
      </c>
      <c r="G148" s="223"/>
      <c r="H148" s="223"/>
      <c r="I148" s="223"/>
      <c r="J148" s="384"/>
      <c r="K148" s="558" t="s">
        <v>2513</v>
      </c>
      <c r="L148" s="559"/>
      <c r="M148" s="378"/>
    </row>
    <row r="149" spans="1:19" ht="23.25" customHeight="1" x14ac:dyDescent="0.25">
      <c r="E149" s="377"/>
      <c r="F149" s="419" t="str">
        <f>H19</f>
        <v>Valencia Echeverry S.A.S.</v>
      </c>
      <c r="G149" s="223"/>
      <c r="H149" s="223"/>
      <c r="I149" s="223"/>
      <c r="J149" s="384"/>
      <c r="K149" s="598" t="str">
        <f>H36</f>
        <v>Cristian Camilo Rincón Giraldo</v>
      </c>
      <c r="L149" s="599"/>
      <c r="M149" s="378"/>
    </row>
    <row r="150" spans="1:19" ht="29.25" customHeight="1" x14ac:dyDescent="0.25">
      <c r="E150" s="377"/>
      <c r="F150" s="240" t="str">
        <f>_xlfn.CONCAT(H21," No. ",L21)</f>
        <v>NIT. No. 901252224-2</v>
      </c>
      <c r="G150" s="223"/>
      <c r="H150" s="223"/>
      <c r="I150" s="223"/>
      <c r="J150" s="384"/>
      <c r="K150" s="554" t="str">
        <f>_xlfn.CONCAT(H38," No. ",L38)</f>
        <v>Cédula de ciudadanía No. 1010085659.</v>
      </c>
      <c r="L150" s="555"/>
      <c r="M150" s="378"/>
    </row>
    <row r="151" spans="1:19" ht="12.75" customHeight="1" thickBot="1" x14ac:dyDescent="0.3">
      <c r="E151" s="385"/>
      <c r="F151" s="250"/>
      <c r="G151" s="250"/>
      <c r="H151" s="250"/>
      <c r="I151" s="250"/>
      <c r="J151" s="251"/>
      <c r="K151" s="251"/>
      <c r="L151" s="251"/>
      <c r="M151" s="386"/>
    </row>
    <row r="152" spans="1:19" ht="21" customHeight="1" x14ac:dyDescent="0.25">
      <c r="E152" s="384"/>
      <c r="F152" s="223"/>
      <c r="G152" s="223"/>
      <c r="H152" s="223"/>
      <c r="I152" s="223"/>
      <c r="J152" s="221"/>
      <c r="K152" s="221"/>
      <c r="L152" s="221"/>
      <c r="M152" s="384"/>
    </row>
    <row r="153" spans="1:19" ht="16.5" thickBot="1" x14ac:dyDescent="0.3">
      <c r="E153" s="384"/>
      <c r="F153" s="223"/>
      <c r="G153" s="223"/>
      <c r="I153" s="223"/>
      <c r="J153" s="221"/>
      <c r="K153" s="221"/>
      <c r="L153" s="221"/>
      <c r="M153" s="384"/>
    </row>
    <row r="154" spans="1:19" x14ac:dyDescent="0.25">
      <c r="E154" s="387"/>
      <c r="F154" s="388"/>
      <c r="G154" s="388"/>
      <c r="H154" s="420"/>
      <c r="I154" s="388"/>
      <c r="J154" s="388"/>
      <c r="K154" s="388"/>
      <c r="L154" s="388"/>
      <c r="M154" s="382"/>
    </row>
    <row r="155" spans="1:19" ht="10.5" customHeight="1" x14ac:dyDescent="0.25">
      <c r="E155" s="377"/>
      <c r="F155" s="541" t="str">
        <f>H58</f>
        <v>viernes, 19 abril 2024</v>
      </c>
      <c r="G155" s="541"/>
      <c r="H155" s="541"/>
      <c r="I155" s="541"/>
      <c r="J155" s="541"/>
      <c r="K155" s="541"/>
      <c r="L155" s="541"/>
      <c r="M155" s="378"/>
    </row>
    <row r="156" spans="1:19" x14ac:dyDescent="0.25">
      <c r="E156" s="377"/>
      <c r="F156" s="222"/>
      <c r="G156" s="222"/>
      <c r="H156" s="222"/>
      <c r="I156" s="222"/>
      <c r="J156" s="222"/>
      <c r="K156" s="222"/>
      <c r="L156" s="222"/>
      <c r="M156" s="378"/>
    </row>
    <row r="157" spans="1:19" x14ac:dyDescent="0.25">
      <c r="E157" s="377"/>
      <c r="F157" s="222" t="s">
        <v>2514</v>
      </c>
      <c r="G157" s="222"/>
      <c r="H157" s="222"/>
      <c r="I157" s="222"/>
      <c r="J157" s="222"/>
      <c r="K157" s="222"/>
      <c r="L157" s="222"/>
      <c r="M157" s="378"/>
    </row>
    <row r="158" spans="1:19" ht="34.5" customHeight="1" x14ac:dyDescent="0.25">
      <c r="E158" s="377"/>
      <c r="F158" s="222" t="str">
        <f>C3</f>
        <v>Valencia Echeverry S.A.S.</v>
      </c>
      <c r="G158" s="222"/>
      <c r="H158" s="222"/>
      <c r="I158" s="222"/>
      <c r="J158" s="222"/>
      <c r="K158" s="222"/>
      <c r="L158" s="222"/>
      <c r="M158" s="378"/>
    </row>
    <row r="159" spans="1:19" ht="21" customHeight="1" x14ac:dyDescent="0.25">
      <c r="E159" s="377"/>
      <c r="F159" s="222" t="s">
        <v>2515</v>
      </c>
      <c r="G159" s="222"/>
      <c r="H159" s="222"/>
      <c r="I159" s="222"/>
      <c r="J159" s="222"/>
      <c r="K159" s="222"/>
      <c r="L159" s="222"/>
      <c r="M159" s="378"/>
    </row>
    <row r="160" spans="1:19" x14ac:dyDescent="0.25">
      <c r="E160" s="377"/>
      <c r="F160" s="222"/>
      <c r="G160" s="222"/>
      <c r="H160" s="222"/>
      <c r="I160" s="222"/>
      <c r="J160" s="222"/>
      <c r="K160" s="222"/>
      <c r="L160" s="222"/>
      <c r="M160" s="378"/>
    </row>
    <row r="161" spans="5:13" x14ac:dyDescent="0.25">
      <c r="E161" s="377"/>
      <c r="F161" s="542" t="s">
        <v>2642</v>
      </c>
      <c r="G161" s="542"/>
      <c r="H161" s="542"/>
      <c r="I161" s="542"/>
      <c r="J161" s="542"/>
      <c r="K161" s="542"/>
      <c r="L161" s="542"/>
      <c r="M161" s="378"/>
    </row>
    <row r="162" spans="5:13" x14ac:dyDescent="0.25">
      <c r="E162" s="377"/>
      <c r="F162" s="542"/>
      <c r="G162" s="542"/>
      <c r="H162" s="542"/>
      <c r="I162" s="542"/>
      <c r="J162" s="542"/>
      <c r="K162" s="542"/>
      <c r="L162" s="542"/>
      <c r="M162" s="378"/>
    </row>
    <row r="163" spans="5:13" ht="9" customHeight="1" x14ac:dyDescent="0.25">
      <c r="E163" s="377"/>
      <c r="F163" s="542"/>
      <c r="G163" s="542"/>
      <c r="H163" s="542"/>
      <c r="I163" s="542"/>
      <c r="J163" s="542"/>
      <c r="K163" s="542"/>
      <c r="L163" s="542"/>
      <c r="M163" s="378"/>
    </row>
    <row r="164" spans="5:13" x14ac:dyDescent="0.25">
      <c r="E164" s="377"/>
      <c r="F164" s="217"/>
      <c r="G164" s="217"/>
      <c r="H164" s="217"/>
      <c r="I164" s="217"/>
      <c r="J164" s="217"/>
      <c r="K164" s="217"/>
      <c r="L164" s="217"/>
      <c r="M164" s="378"/>
    </row>
    <row r="165" spans="5:13" x14ac:dyDescent="0.25">
      <c r="E165" s="377"/>
      <c r="F165" s="542" t="s">
        <v>2946</v>
      </c>
      <c r="G165" s="542"/>
      <c r="H165" s="542"/>
      <c r="I165" s="542"/>
      <c r="J165" s="542"/>
      <c r="K165" s="542"/>
      <c r="L165" s="542"/>
      <c r="M165" s="378"/>
    </row>
    <row r="166" spans="5:13" x14ac:dyDescent="0.25">
      <c r="E166" s="377"/>
      <c r="F166" s="542"/>
      <c r="G166" s="542"/>
      <c r="H166" s="542"/>
      <c r="I166" s="542"/>
      <c r="J166" s="542"/>
      <c r="K166" s="542"/>
      <c r="L166" s="542"/>
      <c r="M166" s="378"/>
    </row>
    <row r="167" spans="5:13" ht="41.1" customHeight="1" x14ac:dyDescent="0.25">
      <c r="E167" s="377"/>
      <c r="F167" s="542"/>
      <c r="G167" s="542"/>
      <c r="H167" s="542"/>
      <c r="I167" s="542"/>
      <c r="J167" s="542"/>
      <c r="K167" s="542"/>
      <c r="L167" s="542"/>
      <c r="M167" s="378"/>
    </row>
    <row r="168" spans="5:13" ht="15" customHeight="1" x14ac:dyDescent="0.25">
      <c r="E168" s="377"/>
      <c r="F168" s="542"/>
      <c r="G168" s="542"/>
      <c r="H168" s="542"/>
      <c r="I168" s="542"/>
      <c r="J168" s="542"/>
      <c r="K168" s="542"/>
      <c r="L168" s="542"/>
      <c r="M168" s="378"/>
    </row>
    <row r="169" spans="5:13" ht="9.75" customHeight="1" x14ac:dyDescent="0.25">
      <c r="E169" s="377"/>
      <c r="F169" s="217"/>
      <c r="G169" s="217"/>
      <c r="H169" s="217"/>
      <c r="I169" s="217"/>
      <c r="J169" s="217"/>
      <c r="K169" s="217"/>
      <c r="L169" s="217"/>
      <c r="M169" s="378"/>
    </row>
    <row r="170" spans="5:13" ht="12.95" customHeight="1" x14ac:dyDescent="0.25">
      <c r="E170" s="377"/>
      <c r="F170" s="542" t="s">
        <v>2947</v>
      </c>
      <c r="G170" s="542"/>
      <c r="H170" s="542"/>
      <c r="I170" s="542"/>
      <c r="J170" s="542"/>
      <c r="K170" s="542"/>
      <c r="L170" s="542"/>
      <c r="M170" s="378"/>
    </row>
    <row r="171" spans="5:13" ht="12.95" customHeight="1" x14ac:dyDescent="0.25">
      <c r="E171" s="377"/>
      <c r="F171" s="542"/>
      <c r="G171" s="542"/>
      <c r="H171" s="542"/>
      <c r="I171" s="542"/>
      <c r="J171" s="542"/>
      <c r="K171" s="542"/>
      <c r="L171" s="542"/>
      <c r="M171" s="378"/>
    </row>
    <row r="172" spans="5:13" ht="12.95" customHeight="1" x14ac:dyDescent="0.25">
      <c r="E172" s="377"/>
      <c r="F172" s="542"/>
      <c r="G172" s="542"/>
      <c r="H172" s="542"/>
      <c r="I172" s="542"/>
      <c r="J172" s="542"/>
      <c r="K172" s="542"/>
      <c r="L172" s="542"/>
      <c r="M172" s="378"/>
    </row>
    <row r="173" spans="5:13" ht="12.95" customHeight="1" x14ac:dyDescent="0.25">
      <c r="E173" s="377"/>
      <c r="F173" s="542"/>
      <c r="G173" s="542"/>
      <c r="H173" s="542"/>
      <c r="I173" s="542"/>
      <c r="J173" s="542"/>
      <c r="K173" s="542"/>
      <c r="L173" s="542"/>
      <c r="M173" s="378"/>
    </row>
    <row r="174" spans="5:13" ht="21" customHeight="1" x14ac:dyDescent="0.25">
      <c r="E174" s="377"/>
      <c r="F174" s="542"/>
      <c r="G174" s="542"/>
      <c r="H174" s="542"/>
      <c r="I174" s="542"/>
      <c r="J174" s="542"/>
      <c r="K174" s="542"/>
      <c r="L174" s="542"/>
      <c r="M174" s="378"/>
    </row>
    <row r="175" spans="5:13" x14ac:dyDescent="0.25">
      <c r="E175" s="377"/>
      <c r="F175" s="222"/>
      <c r="G175" s="222"/>
      <c r="H175" s="222"/>
      <c r="I175" s="222"/>
      <c r="J175" s="222"/>
      <c r="K175" s="222"/>
      <c r="L175" s="222"/>
      <c r="M175" s="378"/>
    </row>
    <row r="176" spans="5:13" x14ac:dyDescent="0.25">
      <c r="E176" s="377"/>
      <c r="F176" s="222" t="s">
        <v>2474</v>
      </c>
      <c r="G176" s="222"/>
      <c r="H176" s="222"/>
      <c r="I176" s="222"/>
      <c r="J176" s="222"/>
      <c r="K176" s="222"/>
      <c r="L176" s="222"/>
      <c r="M176" s="378"/>
    </row>
    <row r="177" spans="5:13" x14ac:dyDescent="0.25">
      <c r="E177" s="377"/>
      <c r="F177" s="222"/>
      <c r="G177" s="222"/>
      <c r="H177" s="222"/>
      <c r="I177" s="222"/>
      <c r="J177" s="222"/>
      <c r="K177" s="222"/>
      <c r="L177" s="222"/>
      <c r="M177" s="378"/>
    </row>
    <row r="178" spans="5:13" x14ac:dyDescent="0.25">
      <c r="E178" s="377"/>
      <c r="F178" s="309"/>
      <c r="G178" s="222"/>
      <c r="H178" s="222"/>
      <c r="I178" s="222"/>
      <c r="J178" s="222"/>
      <c r="K178" s="222"/>
      <c r="L178" s="222"/>
      <c r="M178" s="378"/>
    </row>
    <row r="179" spans="5:13" x14ac:dyDescent="0.25">
      <c r="E179" s="377"/>
      <c r="F179" s="310"/>
      <c r="G179" s="222"/>
      <c r="H179" s="222"/>
      <c r="I179" s="222"/>
      <c r="J179" s="222"/>
      <c r="K179" s="222"/>
      <c r="L179" s="222"/>
      <c r="M179" s="378"/>
    </row>
    <row r="180" spans="5:13" x14ac:dyDescent="0.25">
      <c r="E180" s="377"/>
      <c r="F180" s="311" t="s">
        <v>2519</v>
      </c>
      <c r="G180" s="222"/>
      <c r="H180" s="222"/>
      <c r="I180" s="222"/>
      <c r="J180" s="222"/>
      <c r="K180" s="222"/>
      <c r="L180" s="222"/>
      <c r="M180" s="378"/>
    </row>
    <row r="181" spans="5:13" ht="23.25" customHeight="1" x14ac:dyDescent="0.25">
      <c r="E181" s="377"/>
      <c r="F181" s="310" t="str">
        <f>H36</f>
        <v>Cristian Camilo Rincón Giraldo</v>
      </c>
      <c r="G181" s="222"/>
      <c r="H181" s="222"/>
      <c r="I181" s="220"/>
      <c r="J181" s="222"/>
      <c r="K181" s="222"/>
      <c r="L181" s="222"/>
      <c r="M181" s="378"/>
    </row>
    <row r="182" spans="5:13" ht="30.75" customHeight="1" x14ac:dyDescent="0.25">
      <c r="E182" s="377"/>
      <c r="F182" s="312" t="str">
        <f>K150</f>
        <v>Cédula de ciudadanía No. 1010085659.</v>
      </c>
      <c r="G182" s="222"/>
      <c r="H182" s="222"/>
      <c r="I182" s="220"/>
      <c r="J182" s="222"/>
      <c r="K182" s="222"/>
      <c r="L182" s="222"/>
      <c r="M182" s="378"/>
    </row>
    <row r="183" spans="5:13" ht="16.5" thickBot="1" x14ac:dyDescent="0.3">
      <c r="E183" s="385"/>
      <c r="F183" s="389"/>
      <c r="G183" s="389"/>
      <c r="H183" s="389"/>
      <c r="I183" s="389"/>
      <c r="J183" s="389"/>
      <c r="K183" s="389"/>
      <c r="L183" s="390"/>
      <c r="M183" s="252"/>
    </row>
  </sheetData>
  <mergeCells count="2434">
    <mergeCell ref="F170:L174"/>
    <mergeCell ref="F5:H5"/>
    <mergeCell ref="K148:L148"/>
    <mergeCell ref="K149:L149"/>
    <mergeCell ref="K150:L150"/>
    <mergeCell ref="F155:L155"/>
    <mergeCell ref="F48:F49"/>
    <mergeCell ref="F51:F52"/>
    <mergeCell ref="H60:L60"/>
    <mergeCell ref="H62:L62"/>
    <mergeCell ref="H70:L70"/>
    <mergeCell ref="F17:H17"/>
    <mergeCell ref="F72:L72"/>
    <mergeCell ref="H31:L31"/>
    <mergeCell ref="H36:L36"/>
    <mergeCell ref="H40:L40"/>
    <mergeCell ref="H42:L42"/>
    <mergeCell ref="F88:L88"/>
    <mergeCell ref="F103:L103"/>
    <mergeCell ref="F77:L77"/>
    <mergeCell ref="F83:L83"/>
    <mergeCell ref="F128:L128"/>
    <mergeCell ref="F142:L142"/>
    <mergeCell ref="F141:L141"/>
    <mergeCell ref="F143:L143"/>
    <mergeCell ref="F144:L144"/>
    <mergeCell ref="F107:L107"/>
    <mergeCell ref="F96:L96"/>
    <mergeCell ref="F97:L97"/>
    <mergeCell ref="F98:L98"/>
    <mergeCell ref="F99:L99"/>
    <mergeCell ref="F100:L100"/>
    <mergeCell ref="F161:L163"/>
    <mergeCell ref="F165:L168"/>
    <mergeCell ref="F117:L117"/>
    <mergeCell ref="F118:L118"/>
    <mergeCell ref="F119:L119"/>
    <mergeCell ref="F108:L108"/>
    <mergeCell ref="F109:L109"/>
    <mergeCell ref="F111:L111"/>
    <mergeCell ref="F110:L110"/>
    <mergeCell ref="F134:L134"/>
    <mergeCell ref="F122:L122"/>
    <mergeCell ref="H44:L44"/>
    <mergeCell ref="H46:L46"/>
    <mergeCell ref="H64:L64"/>
    <mergeCell ref="H29:L29"/>
    <mergeCell ref="F101:L101"/>
    <mergeCell ref="F102:L102"/>
    <mergeCell ref="F105:L105"/>
    <mergeCell ref="F106:L106"/>
    <mergeCell ref="F82:L82"/>
    <mergeCell ref="F85:L85"/>
    <mergeCell ref="F87:L87"/>
    <mergeCell ref="F89:L89"/>
    <mergeCell ref="F104:L104"/>
    <mergeCell ref="F145:L145"/>
    <mergeCell ref="F146:L146"/>
    <mergeCell ref="F130:L130"/>
    <mergeCell ref="F131:L131"/>
    <mergeCell ref="F132:L132"/>
    <mergeCell ref="F135:L135"/>
    <mergeCell ref="F136:L136"/>
    <mergeCell ref="F127:L127"/>
    <mergeCell ref="BE112:BK112"/>
    <mergeCell ref="BL112:BR112"/>
    <mergeCell ref="BS112:BY112"/>
    <mergeCell ref="BZ112:CF112"/>
    <mergeCell ref="V112:AB112"/>
    <mergeCell ref="AC112:AI112"/>
    <mergeCell ref="AJ112:AP112"/>
    <mergeCell ref="AQ112:AW112"/>
    <mergeCell ref="E2:F2"/>
    <mergeCell ref="F3:L3"/>
    <mergeCell ref="H19:L19"/>
    <mergeCell ref="H23:L23"/>
    <mergeCell ref="H27:L27"/>
    <mergeCell ref="H7:L7"/>
    <mergeCell ref="H11:L11"/>
    <mergeCell ref="H13:L13"/>
    <mergeCell ref="H15:L15"/>
    <mergeCell ref="F74:L74"/>
    <mergeCell ref="F75:L75"/>
    <mergeCell ref="F76:L76"/>
    <mergeCell ref="F78:L78"/>
    <mergeCell ref="F121:L121"/>
    <mergeCell ref="F129:L129"/>
    <mergeCell ref="F120:L120"/>
    <mergeCell ref="F123:L123"/>
    <mergeCell ref="F124:L124"/>
    <mergeCell ref="F125:L125"/>
    <mergeCell ref="F126:L126"/>
    <mergeCell ref="F90:L90"/>
    <mergeCell ref="F91:L91"/>
    <mergeCell ref="F92:L92"/>
    <mergeCell ref="F93:L93"/>
    <mergeCell ref="F95:L95"/>
    <mergeCell ref="F115:L115"/>
    <mergeCell ref="F116:L116"/>
    <mergeCell ref="F139:L139"/>
    <mergeCell ref="F140:L140"/>
    <mergeCell ref="AX112:BD112"/>
    <mergeCell ref="F137:L137"/>
    <mergeCell ref="F138:L138"/>
    <mergeCell ref="GH112:GN112"/>
    <mergeCell ref="GO112:GU112"/>
    <mergeCell ref="GV112:HB112"/>
    <mergeCell ref="HC112:HI112"/>
    <mergeCell ref="HJ112:HP112"/>
    <mergeCell ref="EY112:FE112"/>
    <mergeCell ref="FF112:FL112"/>
    <mergeCell ref="FM112:FS112"/>
    <mergeCell ref="FT112:FZ112"/>
    <mergeCell ref="GA112:GG112"/>
    <mergeCell ref="DP112:DV112"/>
    <mergeCell ref="DW112:EC112"/>
    <mergeCell ref="ED112:EJ112"/>
    <mergeCell ref="EK112:EQ112"/>
    <mergeCell ref="ER112:EX112"/>
    <mergeCell ref="CG112:CM112"/>
    <mergeCell ref="CN112:CT112"/>
    <mergeCell ref="CU112:DA112"/>
    <mergeCell ref="DB112:DH112"/>
    <mergeCell ref="DI112:DO112"/>
    <mergeCell ref="LR112:LX112"/>
    <mergeCell ref="LY112:ME112"/>
    <mergeCell ref="MF112:ML112"/>
    <mergeCell ref="MM112:MS112"/>
    <mergeCell ref="MT112:MZ112"/>
    <mergeCell ref="KI112:KO112"/>
    <mergeCell ref="KP112:KV112"/>
    <mergeCell ref="KW112:LC112"/>
    <mergeCell ref="LD112:LJ112"/>
    <mergeCell ref="LK112:LQ112"/>
    <mergeCell ref="IZ112:JF112"/>
    <mergeCell ref="JG112:JM112"/>
    <mergeCell ref="JN112:JT112"/>
    <mergeCell ref="JU112:KA112"/>
    <mergeCell ref="KB112:KH112"/>
    <mergeCell ref="HQ112:HW112"/>
    <mergeCell ref="HX112:ID112"/>
    <mergeCell ref="IE112:IK112"/>
    <mergeCell ref="IL112:IR112"/>
    <mergeCell ref="IS112:IY112"/>
    <mergeCell ref="RB112:RH112"/>
    <mergeCell ref="RI112:RO112"/>
    <mergeCell ref="RP112:RV112"/>
    <mergeCell ref="RW112:SC112"/>
    <mergeCell ref="SD112:SJ112"/>
    <mergeCell ref="PS112:PY112"/>
    <mergeCell ref="PZ112:QF112"/>
    <mergeCell ref="QG112:QM112"/>
    <mergeCell ref="QN112:QT112"/>
    <mergeCell ref="QU112:RA112"/>
    <mergeCell ref="OJ112:OP112"/>
    <mergeCell ref="OQ112:OW112"/>
    <mergeCell ref="OX112:PD112"/>
    <mergeCell ref="PE112:PK112"/>
    <mergeCell ref="PL112:PR112"/>
    <mergeCell ref="NA112:NG112"/>
    <mergeCell ref="NH112:NN112"/>
    <mergeCell ref="NO112:NU112"/>
    <mergeCell ref="NV112:OB112"/>
    <mergeCell ref="OC112:OI112"/>
    <mergeCell ref="WL112:WR112"/>
    <mergeCell ref="WS112:WY112"/>
    <mergeCell ref="WZ112:XF112"/>
    <mergeCell ref="XG112:XM112"/>
    <mergeCell ref="XN112:XT112"/>
    <mergeCell ref="VC112:VI112"/>
    <mergeCell ref="VJ112:VP112"/>
    <mergeCell ref="VQ112:VW112"/>
    <mergeCell ref="VX112:WD112"/>
    <mergeCell ref="WE112:WK112"/>
    <mergeCell ref="TT112:TZ112"/>
    <mergeCell ref="UA112:UG112"/>
    <mergeCell ref="UH112:UN112"/>
    <mergeCell ref="UO112:UU112"/>
    <mergeCell ref="UV112:VB112"/>
    <mergeCell ref="SK112:SQ112"/>
    <mergeCell ref="SR112:SX112"/>
    <mergeCell ref="SY112:TE112"/>
    <mergeCell ref="TF112:TL112"/>
    <mergeCell ref="TM112:TS112"/>
    <mergeCell ref="ABV112:ACB112"/>
    <mergeCell ref="ACC112:ACI112"/>
    <mergeCell ref="ACJ112:ACP112"/>
    <mergeCell ref="ACQ112:ACW112"/>
    <mergeCell ref="ACX112:ADD112"/>
    <mergeCell ref="AAM112:AAS112"/>
    <mergeCell ref="AAT112:AAZ112"/>
    <mergeCell ref="ABA112:ABG112"/>
    <mergeCell ref="ABH112:ABN112"/>
    <mergeCell ref="ABO112:ABU112"/>
    <mergeCell ref="ZD112:ZJ112"/>
    <mergeCell ref="ZK112:ZQ112"/>
    <mergeCell ref="ZR112:ZX112"/>
    <mergeCell ref="ZY112:AAE112"/>
    <mergeCell ref="AAF112:AAL112"/>
    <mergeCell ref="XU112:YA112"/>
    <mergeCell ref="YB112:YH112"/>
    <mergeCell ref="YI112:YO112"/>
    <mergeCell ref="YP112:YV112"/>
    <mergeCell ref="YW112:ZC112"/>
    <mergeCell ref="AHF112:AHL112"/>
    <mergeCell ref="AHM112:AHS112"/>
    <mergeCell ref="AHT112:AHZ112"/>
    <mergeCell ref="AIA112:AIG112"/>
    <mergeCell ref="AIH112:AIN112"/>
    <mergeCell ref="AFW112:AGC112"/>
    <mergeCell ref="AGD112:AGJ112"/>
    <mergeCell ref="AGK112:AGQ112"/>
    <mergeCell ref="AGR112:AGX112"/>
    <mergeCell ref="AGY112:AHE112"/>
    <mergeCell ref="AEN112:AET112"/>
    <mergeCell ref="AEU112:AFA112"/>
    <mergeCell ref="AFB112:AFH112"/>
    <mergeCell ref="AFI112:AFO112"/>
    <mergeCell ref="AFP112:AFV112"/>
    <mergeCell ref="ADE112:ADK112"/>
    <mergeCell ref="ADL112:ADR112"/>
    <mergeCell ref="ADS112:ADY112"/>
    <mergeCell ref="ADZ112:AEF112"/>
    <mergeCell ref="AEG112:AEM112"/>
    <mergeCell ref="AMP112:AMV112"/>
    <mergeCell ref="AMW112:ANC112"/>
    <mergeCell ref="AND112:ANJ112"/>
    <mergeCell ref="ANK112:ANQ112"/>
    <mergeCell ref="ANR112:ANX112"/>
    <mergeCell ref="ALG112:ALM112"/>
    <mergeCell ref="ALN112:ALT112"/>
    <mergeCell ref="ALU112:AMA112"/>
    <mergeCell ref="AMB112:AMH112"/>
    <mergeCell ref="AMI112:AMO112"/>
    <mergeCell ref="AJX112:AKD112"/>
    <mergeCell ref="AKE112:AKK112"/>
    <mergeCell ref="AKL112:AKR112"/>
    <mergeCell ref="AKS112:AKY112"/>
    <mergeCell ref="AKZ112:ALF112"/>
    <mergeCell ref="AIO112:AIU112"/>
    <mergeCell ref="AIV112:AJB112"/>
    <mergeCell ref="AJC112:AJI112"/>
    <mergeCell ref="AJJ112:AJP112"/>
    <mergeCell ref="AJQ112:AJW112"/>
    <mergeCell ref="ARZ112:ASF112"/>
    <mergeCell ref="ASG112:ASM112"/>
    <mergeCell ref="ASN112:AST112"/>
    <mergeCell ref="ASU112:ATA112"/>
    <mergeCell ref="ATB112:ATH112"/>
    <mergeCell ref="AQQ112:AQW112"/>
    <mergeCell ref="AQX112:ARD112"/>
    <mergeCell ref="ARE112:ARK112"/>
    <mergeCell ref="ARL112:ARR112"/>
    <mergeCell ref="ARS112:ARY112"/>
    <mergeCell ref="APH112:APN112"/>
    <mergeCell ref="APO112:APU112"/>
    <mergeCell ref="APV112:AQB112"/>
    <mergeCell ref="AQC112:AQI112"/>
    <mergeCell ref="AQJ112:AQP112"/>
    <mergeCell ref="ANY112:AOE112"/>
    <mergeCell ref="AOF112:AOL112"/>
    <mergeCell ref="AOM112:AOS112"/>
    <mergeCell ref="AOT112:AOZ112"/>
    <mergeCell ref="APA112:APG112"/>
    <mergeCell ref="AXJ112:AXP112"/>
    <mergeCell ref="AXQ112:AXW112"/>
    <mergeCell ref="AXX112:AYD112"/>
    <mergeCell ref="AYE112:AYK112"/>
    <mergeCell ref="AYL112:AYR112"/>
    <mergeCell ref="AWA112:AWG112"/>
    <mergeCell ref="AWH112:AWN112"/>
    <mergeCell ref="AWO112:AWU112"/>
    <mergeCell ref="AWV112:AXB112"/>
    <mergeCell ref="AXC112:AXI112"/>
    <mergeCell ref="AUR112:AUX112"/>
    <mergeCell ref="AUY112:AVE112"/>
    <mergeCell ref="AVF112:AVL112"/>
    <mergeCell ref="AVM112:AVS112"/>
    <mergeCell ref="AVT112:AVZ112"/>
    <mergeCell ref="ATI112:ATO112"/>
    <mergeCell ref="ATP112:ATV112"/>
    <mergeCell ref="ATW112:AUC112"/>
    <mergeCell ref="AUD112:AUJ112"/>
    <mergeCell ref="AUK112:AUQ112"/>
    <mergeCell ref="BCT112:BCZ112"/>
    <mergeCell ref="BDA112:BDG112"/>
    <mergeCell ref="BDH112:BDN112"/>
    <mergeCell ref="BDO112:BDU112"/>
    <mergeCell ref="BDV112:BEB112"/>
    <mergeCell ref="BBK112:BBQ112"/>
    <mergeCell ref="BBR112:BBX112"/>
    <mergeCell ref="BBY112:BCE112"/>
    <mergeCell ref="BCF112:BCL112"/>
    <mergeCell ref="BCM112:BCS112"/>
    <mergeCell ref="BAB112:BAH112"/>
    <mergeCell ref="BAI112:BAO112"/>
    <mergeCell ref="BAP112:BAV112"/>
    <mergeCell ref="BAW112:BBC112"/>
    <mergeCell ref="BBD112:BBJ112"/>
    <mergeCell ref="AYS112:AYY112"/>
    <mergeCell ref="AYZ112:AZF112"/>
    <mergeCell ref="AZG112:AZM112"/>
    <mergeCell ref="AZN112:AZT112"/>
    <mergeCell ref="AZU112:BAA112"/>
    <mergeCell ref="BID112:BIJ112"/>
    <mergeCell ref="BIK112:BIQ112"/>
    <mergeCell ref="BIR112:BIX112"/>
    <mergeCell ref="BIY112:BJE112"/>
    <mergeCell ref="BJF112:BJL112"/>
    <mergeCell ref="BGU112:BHA112"/>
    <mergeCell ref="BHB112:BHH112"/>
    <mergeCell ref="BHI112:BHO112"/>
    <mergeCell ref="BHP112:BHV112"/>
    <mergeCell ref="BHW112:BIC112"/>
    <mergeCell ref="BFL112:BFR112"/>
    <mergeCell ref="BFS112:BFY112"/>
    <mergeCell ref="BFZ112:BGF112"/>
    <mergeCell ref="BGG112:BGM112"/>
    <mergeCell ref="BGN112:BGT112"/>
    <mergeCell ref="BEC112:BEI112"/>
    <mergeCell ref="BEJ112:BEP112"/>
    <mergeCell ref="BEQ112:BEW112"/>
    <mergeCell ref="BEX112:BFD112"/>
    <mergeCell ref="BFE112:BFK112"/>
    <mergeCell ref="BNN112:BNT112"/>
    <mergeCell ref="BNU112:BOA112"/>
    <mergeCell ref="BOB112:BOH112"/>
    <mergeCell ref="BOI112:BOO112"/>
    <mergeCell ref="BOP112:BOV112"/>
    <mergeCell ref="BME112:BMK112"/>
    <mergeCell ref="BML112:BMR112"/>
    <mergeCell ref="BMS112:BMY112"/>
    <mergeCell ref="BMZ112:BNF112"/>
    <mergeCell ref="BNG112:BNM112"/>
    <mergeCell ref="BKV112:BLB112"/>
    <mergeCell ref="BLC112:BLI112"/>
    <mergeCell ref="BLJ112:BLP112"/>
    <mergeCell ref="BLQ112:BLW112"/>
    <mergeCell ref="BLX112:BMD112"/>
    <mergeCell ref="BJM112:BJS112"/>
    <mergeCell ref="BJT112:BJZ112"/>
    <mergeCell ref="BKA112:BKG112"/>
    <mergeCell ref="BKH112:BKN112"/>
    <mergeCell ref="BKO112:BKU112"/>
    <mergeCell ref="BSX112:BTD112"/>
    <mergeCell ref="BTE112:BTK112"/>
    <mergeCell ref="BTL112:BTR112"/>
    <mergeCell ref="BTS112:BTY112"/>
    <mergeCell ref="BTZ112:BUF112"/>
    <mergeCell ref="BRO112:BRU112"/>
    <mergeCell ref="BRV112:BSB112"/>
    <mergeCell ref="BSC112:BSI112"/>
    <mergeCell ref="BSJ112:BSP112"/>
    <mergeCell ref="BSQ112:BSW112"/>
    <mergeCell ref="BQF112:BQL112"/>
    <mergeCell ref="BQM112:BQS112"/>
    <mergeCell ref="BQT112:BQZ112"/>
    <mergeCell ref="BRA112:BRG112"/>
    <mergeCell ref="BRH112:BRN112"/>
    <mergeCell ref="BOW112:BPC112"/>
    <mergeCell ref="BPD112:BPJ112"/>
    <mergeCell ref="BPK112:BPQ112"/>
    <mergeCell ref="BPR112:BPX112"/>
    <mergeCell ref="BPY112:BQE112"/>
    <mergeCell ref="BYH112:BYN112"/>
    <mergeCell ref="BYO112:BYU112"/>
    <mergeCell ref="BYV112:BZB112"/>
    <mergeCell ref="BZC112:BZI112"/>
    <mergeCell ref="BZJ112:BZP112"/>
    <mergeCell ref="BWY112:BXE112"/>
    <mergeCell ref="BXF112:BXL112"/>
    <mergeCell ref="BXM112:BXS112"/>
    <mergeCell ref="BXT112:BXZ112"/>
    <mergeCell ref="BYA112:BYG112"/>
    <mergeCell ref="BVP112:BVV112"/>
    <mergeCell ref="BVW112:BWC112"/>
    <mergeCell ref="BWD112:BWJ112"/>
    <mergeCell ref="BWK112:BWQ112"/>
    <mergeCell ref="BWR112:BWX112"/>
    <mergeCell ref="BUG112:BUM112"/>
    <mergeCell ref="BUN112:BUT112"/>
    <mergeCell ref="BUU112:BVA112"/>
    <mergeCell ref="BVB112:BVH112"/>
    <mergeCell ref="BVI112:BVO112"/>
    <mergeCell ref="CDR112:CDX112"/>
    <mergeCell ref="CDY112:CEE112"/>
    <mergeCell ref="CEF112:CEL112"/>
    <mergeCell ref="CEM112:CES112"/>
    <mergeCell ref="CET112:CEZ112"/>
    <mergeCell ref="CCI112:CCO112"/>
    <mergeCell ref="CCP112:CCV112"/>
    <mergeCell ref="CCW112:CDC112"/>
    <mergeCell ref="CDD112:CDJ112"/>
    <mergeCell ref="CDK112:CDQ112"/>
    <mergeCell ref="CAZ112:CBF112"/>
    <mergeCell ref="CBG112:CBM112"/>
    <mergeCell ref="CBN112:CBT112"/>
    <mergeCell ref="CBU112:CCA112"/>
    <mergeCell ref="CCB112:CCH112"/>
    <mergeCell ref="BZQ112:BZW112"/>
    <mergeCell ref="BZX112:CAD112"/>
    <mergeCell ref="CAE112:CAK112"/>
    <mergeCell ref="CAL112:CAR112"/>
    <mergeCell ref="CAS112:CAY112"/>
    <mergeCell ref="CJB112:CJH112"/>
    <mergeCell ref="CJI112:CJO112"/>
    <mergeCell ref="CJP112:CJV112"/>
    <mergeCell ref="CJW112:CKC112"/>
    <mergeCell ref="CKD112:CKJ112"/>
    <mergeCell ref="CHS112:CHY112"/>
    <mergeCell ref="CHZ112:CIF112"/>
    <mergeCell ref="CIG112:CIM112"/>
    <mergeCell ref="CIN112:CIT112"/>
    <mergeCell ref="CIU112:CJA112"/>
    <mergeCell ref="CGJ112:CGP112"/>
    <mergeCell ref="CGQ112:CGW112"/>
    <mergeCell ref="CGX112:CHD112"/>
    <mergeCell ref="CHE112:CHK112"/>
    <mergeCell ref="CHL112:CHR112"/>
    <mergeCell ref="CFA112:CFG112"/>
    <mergeCell ref="CFH112:CFN112"/>
    <mergeCell ref="CFO112:CFU112"/>
    <mergeCell ref="CFV112:CGB112"/>
    <mergeCell ref="CGC112:CGI112"/>
    <mergeCell ref="COL112:COR112"/>
    <mergeCell ref="COS112:COY112"/>
    <mergeCell ref="COZ112:CPF112"/>
    <mergeCell ref="CPG112:CPM112"/>
    <mergeCell ref="CPN112:CPT112"/>
    <mergeCell ref="CNC112:CNI112"/>
    <mergeCell ref="CNJ112:CNP112"/>
    <mergeCell ref="CNQ112:CNW112"/>
    <mergeCell ref="CNX112:COD112"/>
    <mergeCell ref="COE112:COK112"/>
    <mergeCell ref="CLT112:CLZ112"/>
    <mergeCell ref="CMA112:CMG112"/>
    <mergeCell ref="CMH112:CMN112"/>
    <mergeCell ref="CMO112:CMU112"/>
    <mergeCell ref="CMV112:CNB112"/>
    <mergeCell ref="CKK112:CKQ112"/>
    <mergeCell ref="CKR112:CKX112"/>
    <mergeCell ref="CKY112:CLE112"/>
    <mergeCell ref="CLF112:CLL112"/>
    <mergeCell ref="CLM112:CLS112"/>
    <mergeCell ref="CTV112:CUB112"/>
    <mergeCell ref="CUC112:CUI112"/>
    <mergeCell ref="CUJ112:CUP112"/>
    <mergeCell ref="CUQ112:CUW112"/>
    <mergeCell ref="CUX112:CVD112"/>
    <mergeCell ref="CSM112:CSS112"/>
    <mergeCell ref="CST112:CSZ112"/>
    <mergeCell ref="CTA112:CTG112"/>
    <mergeCell ref="CTH112:CTN112"/>
    <mergeCell ref="CTO112:CTU112"/>
    <mergeCell ref="CRD112:CRJ112"/>
    <mergeCell ref="CRK112:CRQ112"/>
    <mergeCell ref="CRR112:CRX112"/>
    <mergeCell ref="CRY112:CSE112"/>
    <mergeCell ref="CSF112:CSL112"/>
    <mergeCell ref="CPU112:CQA112"/>
    <mergeCell ref="CQB112:CQH112"/>
    <mergeCell ref="CQI112:CQO112"/>
    <mergeCell ref="CQP112:CQV112"/>
    <mergeCell ref="CQW112:CRC112"/>
    <mergeCell ref="CZF112:CZL112"/>
    <mergeCell ref="CZM112:CZS112"/>
    <mergeCell ref="CZT112:CZZ112"/>
    <mergeCell ref="DAA112:DAG112"/>
    <mergeCell ref="DAH112:DAN112"/>
    <mergeCell ref="CXW112:CYC112"/>
    <mergeCell ref="CYD112:CYJ112"/>
    <mergeCell ref="CYK112:CYQ112"/>
    <mergeCell ref="CYR112:CYX112"/>
    <mergeCell ref="CYY112:CZE112"/>
    <mergeCell ref="CWN112:CWT112"/>
    <mergeCell ref="CWU112:CXA112"/>
    <mergeCell ref="CXB112:CXH112"/>
    <mergeCell ref="CXI112:CXO112"/>
    <mergeCell ref="CXP112:CXV112"/>
    <mergeCell ref="CVE112:CVK112"/>
    <mergeCell ref="CVL112:CVR112"/>
    <mergeCell ref="CVS112:CVY112"/>
    <mergeCell ref="CVZ112:CWF112"/>
    <mergeCell ref="CWG112:CWM112"/>
    <mergeCell ref="DEP112:DEV112"/>
    <mergeCell ref="DEW112:DFC112"/>
    <mergeCell ref="DFD112:DFJ112"/>
    <mergeCell ref="DFK112:DFQ112"/>
    <mergeCell ref="DFR112:DFX112"/>
    <mergeCell ref="DDG112:DDM112"/>
    <mergeCell ref="DDN112:DDT112"/>
    <mergeCell ref="DDU112:DEA112"/>
    <mergeCell ref="DEB112:DEH112"/>
    <mergeCell ref="DEI112:DEO112"/>
    <mergeCell ref="DBX112:DCD112"/>
    <mergeCell ref="DCE112:DCK112"/>
    <mergeCell ref="DCL112:DCR112"/>
    <mergeCell ref="DCS112:DCY112"/>
    <mergeCell ref="DCZ112:DDF112"/>
    <mergeCell ref="DAO112:DAU112"/>
    <mergeCell ref="DAV112:DBB112"/>
    <mergeCell ref="DBC112:DBI112"/>
    <mergeCell ref="DBJ112:DBP112"/>
    <mergeCell ref="DBQ112:DBW112"/>
    <mergeCell ref="DJZ112:DKF112"/>
    <mergeCell ref="DKG112:DKM112"/>
    <mergeCell ref="DKN112:DKT112"/>
    <mergeCell ref="DKU112:DLA112"/>
    <mergeCell ref="DLB112:DLH112"/>
    <mergeCell ref="DIQ112:DIW112"/>
    <mergeCell ref="DIX112:DJD112"/>
    <mergeCell ref="DJE112:DJK112"/>
    <mergeCell ref="DJL112:DJR112"/>
    <mergeCell ref="DJS112:DJY112"/>
    <mergeCell ref="DHH112:DHN112"/>
    <mergeCell ref="DHO112:DHU112"/>
    <mergeCell ref="DHV112:DIB112"/>
    <mergeCell ref="DIC112:DII112"/>
    <mergeCell ref="DIJ112:DIP112"/>
    <mergeCell ref="DFY112:DGE112"/>
    <mergeCell ref="DGF112:DGL112"/>
    <mergeCell ref="DGM112:DGS112"/>
    <mergeCell ref="DGT112:DGZ112"/>
    <mergeCell ref="DHA112:DHG112"/>
    <mergeCell ref="DPJ112:DPP112"/>
    <mergeCell ref="DPQ112:DPW112"/>
    <mergeCell ref="DPX112:DQD112"/>
    <mergeCell ref="DQE112:DQK112"/>
    <mergeCell ref="DQL112:DQR112"/>
    <mergeCell ref="DOA112:DOG112"/>
    <mergeCell ref="DOH112:DON112"/>
    <mergeCell ref="DOO112:DOU112"/>
    <mergeCell ref="DOV112:DPB112"/>
    <mergeCell ref="DPC112:DPI112"/>
    <mergeCell ref="DMR112:DMX112"/>
    <mergeCell ref="DMY112:DNE112"/>
    <mergeCell ref="DNF112:DNL112"/>
    <mergeCell ref="DNM112:DNS112"/>
    <mergeCell ref="DNT112:DNZ112"/>
    <mergeCell ref="DLI112:DLO112"/>
    <mergeCell ref="DLP112:DLV112"/>
    <mergeCell ref="DLW112:DMC112"/>
    <mergeCell ref="DMD112:DMJ112"/>
    <mergeCell ref="DMK112:DMQ112"/>
    <mergeCell ref="DUT112:DUZ112"/>
    <mergeCell ref="DVA112:DVG112"/>
    <mergeCell ref="DVH112:DVN112"/>
    <mergeCell ref="DVO112:DVU112"/>
    <mergeCell ref="DVV112:DWB112"/>
    <mergeCell ref="DTK112:DTQ112"/>
    <mergeCell ref="DTR112:DTX112"/>
    <mergeCell ref="DTY112:DUE112"/>
    <mergeCell ref="DUF112:DUL112"/>
    <mergeCell ref="DUM112:DUS112"/>
    <mergeCell ref="DSB112:DSH112"/>
    <mergeCell ref="DSI112:DSO112"/>
    <mergeCell ref="DSP112:DSV112"/>
    <mergeCell ref="DSW112:DTC112"/>
    <mergeCell ref="DTD112:DTJ112"/>
    <mergeCell ref="DQS112:DQY112"/>
    <mergeCell ref="DQZ112:DRF112"/>
    <mergeCell ref="DRG112:DRM112"/>
    <mergeCell ref="DRN112:DRT112"/>
    <mergeCell ref="DRU112:DSA112"/>
    <mergeCell ref="EAD112:EAJ112"/>
    <mergeCell ref="EAK112:EAQ112"/>
    <mergeCell ref="EAR112:EAX112"/>
    <mergeCell ref="EAY112:EBE112"/>
    <mergeCell ref="EBF112:EBL112"/>
    <mergeCell ref="DYU112:DZA112"/>
    <mergeCell ref="DZB112:DZH112"/>
    <mergeCell ref="DZI112:DZO112"/>
    <mergeCell ref="DZP112:DZV112"/>
    <mergeCell ref="DZW112:EAC112"/>
    <mergeCell ref="DXL112:DXR112"/>
    <mergeCell ref="DXS112:DXY112"/>
    <mergeCell ref="DXZ112:DYF112"/>
    <mergeCell ref="DYG112:DYM112"/>
    <mergeCell ref="DYN112:DYT112"/>
    <mergeCell ref="DWC112:DWI112"/>
    <mergeCell ref="DWJ112:DWP112"/>
    <mergeCell ref="DWQ112:DWW112"/>
    <mergeCell ref="DWX112:DXD112"/>
    <mergeCell ref="DXE112:DXK112"/>
    <mergeCell ref="EFN112:EFT112"/>
    <mergeCell ref="EFU112:EGA112"/>
    <mergeCell ref="EGB112:EGH112"/>
    <mergeCell ref="EGI112:EGO112"/>
    <mergeCell ref="EGP112:EGV112"/>
    <mergeCell ref="EEE112:EEK112"/>
    <mergeCell ref="EEL112:EER112"/>
    <mergeCell ref="EES112:EEY112"/>
    <mergeCell ref="EEZ112:EFF112"/>
    <mergeCell ref="EFG112:EFM112"/>
    <mergeCell ref="ECV112:EDB112"/>
    <mergeCell ref="EDC112:EDI112"/>
    <mergeCell ref="EDJ112:EDP112"/>
    <mergeCell ref="EDQ112:EDW112"/>
    <mergeCell ref="EDX112:EED112"/>
    <mergeCell ref="EBM112:EBS112"/>
    <mergeCell ref="EBT112:EBZ112"/>
    <mergeCell ref="ECA112:ECG112"/>
    <mergeCell ref="ECH112:ECN112"/>
    <mergeCell ref="ECO112:ECU112"/>
    <mergeCell ref="EKX112:ELD112"/>
    <mergeCell ref="ELE112:ELK112"/>
    <mergeCell ref="ELL112:ELR112"/>
    <mergeCell ref="ELS112:ELY112"/>
    <mergeCell ref="ELZ112:EMF112"/>
    <mergeCell ref="EJO112:EJU112"/>
    <mergeCell ref="EJV112:EKB112"/>
    <mergeCell ref="EKC112:EKI112"/>
    <mergeCell ref="EKJ112:EKP112"/>
    <mergeCell ref="EKQ112:EKW112"/>
    <mergeCell ref="EIF112:EIL112"/>
    <mergeCell ref="EIM112:EIS112"/>
    <mergeCell ref="EIT112:EIZ112"/>
    <mergeCell ref="EJA112:EJG112"/>
    <mergeCell ref="EJH112:EJN112"/>
    <mergeCell ref="EGW112:EHC112"/>
    <mergeCell ref="EHD112:EHJ112"/>
    <mergeCell ref="EHK112:EHQ112"/>
    <mergeCell ref="EHR112:EHX112"/>
    <mergeCell ref="EHY112:EIE112"/>
    <mergeCell ref="EQH112:EQN112"/>
    <mergeCell ref="EQO112:EQU112"/>
    <mergeCell ref="EQV112:ERB112"/>
    <mergeCell ref="ERC112:ERI112"/>
    <mergeCell ref="ERJ112:ERP112"/>
    <mergeCell ref="EOY112:EPE112"/>
    <mergeCell ref="EPF112:EPL112"/>
    <mergeCell ref="EPM112:EPS112"/>
    <mergeCell ref="EPT112:EPZ112"/>
    <mergeCell ref="EQA112:EQG112"/>
    <mergeCell ref="ENP112:ENV112"/>
    <mergeCell ref="ENW112:EOC112"/>
    <mergeCell ref="EOD112:EOJ112"/>
    <mergeCell ref="EOK112:EOQ112"/>
    <mergeCell ref="EOR112:EOX112"/>
    <mergeCell ref="EMG112:EMM112"/>
    <mergeCell ref="EMN112:EMT112"/>
    <mergeCell ref="EMU112:ENA112"/>
    <mergeCell ref="ENB112:ENH112"/>
    <mergeCell ref="ENI112:ENO112"/>
    <mergeCell ref="EVR112:EVX112"/>
    <mergeCell ref="EVY112:EWE112"/>
    <mergeCell ref="EWF112:EWL112"/>
    <mergeCell ref="EWM112:EWS112"/>
    <mergeCell ref="EWT112:EWZ112"/>
    <mergeCell ref="EUI112:EUO112"/>
    <mergeCell ref="EUP112:EUV112"/>
    <mergeCell ref="EUW112:EVC112"/>
    <mergeCell ref="EVD112:EVJ112"/>
    <mergeCell ref="EVK112:EVQ112"/>
    <mergeCell ref="ESZ112:ETF112"/>
    <mergeCell ref="ETG112:ETM112"/>
    <mergeCell ref="ETN112:ETT112"/>
    <mergeCell ref="ETU112:EUA112"/>
    <mergeCell ref="EUB112:EUH112"/>
    <mergeCell ref="ERQ112:ERW112"/>
    <mergeCell ref="ERX112:ESD112"/>
    <mergeCell ref="ESE112:ESK112"/>
    <mergeCell ref="ESL112:ESR112"/>
    <mergeCell ref="ESS112:ESY112"/>
    <mergeCell ref="FBB112:FBH112"/>
    <mergeCell ref="FBI112:FBO112"/>
    <mergeCell ref="FBP112:FBV112"/>
    <mergeCell ref="FBW112:FCC112"/>
    <mergeCell ref="FCD112:FCJ112"/>
    <mergeCell ref="EZS112:EZY112"/>
    <mergeCell ref="EZZ112:FAF112"/>
    <mergeCell ref="FAG112:FAM112"/>
    <mergeCell ref="FAN112:FAT112"/>
    <mergeCell ref="FAU112:FBA112"/>
    <mergeCell ref="EYJ112:EYP112"/>
    <mergeCell ref="EYQ112:EYW112"/>
    <mergeCell ref="EYX112:EZD112"/>
    <mergeCell ref="EZE112:EZK112"/>
    <mergeCell ref="EZL112:EZR112"/>
    <mergeCell ref="EXA112:EXG112"/>
    <mergeCell ref="EXH112:EXN112"/>
    <mergeCell ref="EXO112:EXU112"/>
    <mergeCell ref="EXV112:EYB112"/>
    <mergeCell ref="EYC112:EYI112"/>
    <mergeCell ref="FGL112:FGR112"/>
    <mergeCell ref="FGS112:FGY112"/>
    <mergeCell ref="FGZ112:FHF112"/>
    <mergeCell ref="FHG112:FHM112"/>
    <mergeCell ref="FHN112:FHT112"/>
    <mergeCell ref="FFC112:FFI112"/>
    <mergeCell ref="FFJ112:FFP112"/>
    <mergeCell ref="FFQ112:FFW112"/>
    <mergeCell ref="FFX112:FGD112"/>
    <mergeCell ref="FGE112:FGK112"/>
    <mergeCell ref="FDT112:FDZ112"/>
    <mergeCell ref="FEA112:FEG112"/>
    <mergeCell ref="FEH112:FEN112"/>
    <mergeCell ref="FEO112:FEU112"/>
    <mergeCell ref="FEV112:FFB112"/>
    <mergeCell ref="FCK112:FCQ112"/>
    <mergeCell ref="FCR112:FCX112"/>
    <mergeCell ref="FCY112:FDE112"/>
    <mergeCell ref="FDF112:FDL112"/>
    <mergeCell ref="FDM112:FDS112"/>
    <mergeCell ref="FLV112:FMB112"/>
    <mergeCell ref="FMC112:FMI112"/>
    <mergeCell ref="FMJ112:FMP112"/>
    <mergeCell ref="FMQ112:FMW112"/>
    <mergeCell ref="FMX112:FND112"/>
    <mergeCell ref="FKM112:FKS112"/>
    <mergeCell ref="FKT112:FKZ112"/>
    <mergeCell ref="FLA112:FLG112"/>
    <mergeCell ref="FLH112:FLN112"/>
    <mergeCell ref="FLO112:FLU112"/>
    <mergeCell ref="FJD112:FJJ112"/>
    <mergeCell ref="FJK112:FJQ112"/>
    <mergeCell ref="FJR112:FJX112"/>
    <mergeCell ref="FJY112:FKE112"/>
    <mergeCell ref="FKF112:FKL112"/>
    <mergeCell ref="FHU112:FIA112"/>
    <mergeCell ref="FIB112:FIH112"/>
    <mergeCell ref="FII112:FIO112"/>
    <mergeCell ref="FIP112:FIV112"/>
    <mergeCell ref="FIW112:FJC112"/>
    <mergeCell ref="FRF112:FRL112"/>
    <mergeCell ref="FRM112:FRS112"/>
    <mergeCell ref="FRT112:FRZ112"/>
    <mergeCell ref="FSA112:FSG112"/>
    <mergeCell ref="FSH112:FSN112"/>
    <mergeCell ref="FPW112:FQC112"/>
    <mergeCell ref="FQD112:FQJ112"/>
    <mergeCell ref="FQK112:FQQ112"/>
    <mergeCell ref="FQR112:FQX112"/>
    <mergeCell ref="FQY112:FRE112"/>
    <mergeCell ref="FON112:FOT112"/>
    <mergeCell ref="FOU112:FPA112"/>
    <mergeCell ref="FPB112:FPH112"/>
    <mergeCell ref="FPI112:FPO112"/>
    <mergeCell ref="FPP112:FPV112"/>
    <mergeCell ref="FNE112:FNK112"/>
    <mergeCell ref="FNL112:FNR112"/>
    <mergeCell ref="FNS112:FNY112"/>
    <mergeCell ref="FNZ112:FOF112"/>
    <mergeCell ref="FOG112:FOM112"/>
    <mergeCell ref="FWP112:FWV112"/>
    <mergeCell ref="FWW112:FXC112"/>
    <mergeCell ref="FXD112:FXJ112"/>
    <mergeCell ref="FXK112:FXQ112"/>
    <mergeCell ref="FXR112:FXX112"/>
    <mergeCell ref="FVG112:FVM112"/>
    <mergeCell ref="FVN112:FVT112"/>
    <mergeCell ref="FVU112:FWA112"/>
    <mergeCell ref="FWB112:FWH112"/>
    <mergeCell ref="FWI112:FWO112"/>
    <mergeCell ref="FTX112:FUD112"/>
    <mergeCell ref="FUE112:FUK112"/>
    <mergeCell ref="FUL112:FUR112"/>
    <mergeCell ref="FUS112:FUY112"/>
    <mergeCell ref="FUZ112:FVF112"/>
    <mergeCell ref="FSO112:FSU112"/>
    <mergeCell ref="FSV112:FTB112"/>
    <mergeCell ref="FTC112:FTI112"/>
    <mergeCell ref="FTJ112:FTP112"/>
    <mergeCell ref="FTQ112:FTW112"/>
    <mergeCell ref="GBZ112:GCF112"/>
    <mergeCell ref="GCG112:GCM112"/>
    <mergeCell ref="GCN112:GCT112"/>
    <mergeCell ref="GCU112:GDA112"/>
    <mergeCell ref="GDB112:GDH112"/>
    <mergeCell ref="GAQ112:GAW112"/>
    <mergeCell ref="GAX112:GBD112"/>
    <mergeCell ref="GBE112:GBK112"/>
    <mergeCell ref="GBL112:GBR112"/>
    <mergeCell ref="GBS112:GBY112"/>
    <mergeCell ref="FZH112:FZN112"/>
    <mergeCell ref="FZO112:FZU112"/>
    <mergeCell ref="FZV112:GAB112"/>
    <mergeCell ref="GAC112:GAI112"/>
    <mergeCell ref="GAJ112:GAP112"/>
    <mergeCell ref="FXY112:FYE112"/>
    <mergeCell ref="FYF112:FYL112"/>
    <mergeCell ref="FYM112:FYS112"/>
    <mergeCell ref="FYT112:FYZ112"/>
    <mergeCell ref="FZA112:FZG112"/>
    <mergeCell ref="GHJ112:GHP112"/>
    <mergeCell ref="GHQ112:GHW112"/>
    <mergeCell ref="GHX112:GID112"/>
    <mergeCell ref="GIE112:GIK112"/>
    <mergeCell ref="GIL112:GIR112"/>
    <mergeCell ref="GGA112:GGG112"/>
    <mergeCell ref="GGH112:GGN112"/>
    <mergeCell ref="GGO112:GGU112"/>
    <mergeCell ref="GGV112:GHB112"/>
    <mergeCell ref="GHC112:GHI112"/>
    <mergeCell ref="GER112:GEX112"/>
    <mergeCell ref="GEY112:GFE112"/>
    <mergeCell ref="GFF112:GFL112"/>
    <mergeCell ref="GFM112:GFS112"/>
    <mergeCell ref="GFT112:GFZ112"/>
    <mergeCell ref="GDI112:GDO112"/>
    <mergeCell ref="GDP112:GDV112"/>
    <mergeCell ref="GDW112:GEC112"/>
    <mergeCell ref="GED112:GEJ112"/>
    <mergeCell ref="GEK112:GEQ112"/>
    <mergeCell ref="GMT112:GMZ112"/>
    <mergeCell ref="GNA112:GNG112"/>
    <mergeCell ref="GNH112:GNN112"/>
    <mergeCell ref="GNO112:GNU112"/>
    <mergeCell ref="GNV112:GOB112"/>
    <mergeCell ref="GLK112:GLQ112"/>
    <mergeCell ref="GLR112:GLX112"/>
    <mergeCell ref="GLY112:GME112"/>
    <mergeCell ref="GMF112:GML112"/>
    <mergeCell ref="GMM112:GMS112"/>
    <mergeCell ref="GKB112:GKH112"/>
    <mergeCell ref="GKI112:GKO112"/>
    <mergeCell ref="GKP112:GKV112"/>
    <mergeCell ref="GKW112:GLC112"/>
    <mergeCell ref="GLD112:GLJ112"/>
    <mergeCell ref="GIS112:GIY112"/>
    <mergeCell ref="GIZ112:GJF112"/>
    <mergeCell ref="GJG112:GJM112"/>
    <mergeCell ref="GJN112:GJT112"/>
    <mergeCell ref="GJU112:GKA112"/>
    <mergeCell ref="GSD112:GSJ112"/>
    <mergeCell ref="GSK112:GSQ112"/>
    <mergeCell ref="GSR112:GSX112"/>
    <mergeCell ref="GSY112:GTE112"/>
    <mergeCell ref="GTF112:GTL112"/>
    <mergeCell ref="GQU112:GRA112"/>
    <mergeCell ref="GRB112:GRH112"/>
    <mergeCell ref="GRI112:GRO112"/>
    <mergeCell ref="GRP112:GRV112"/>
    <mergeCell ref="GRW112:GSC112"/>
    <mergeCell ref="GPL112:GPR112"/>
    <mergeCell ref="GPS112:GPY112"/>
    <mergeCell ref="GPZ112:GQF112"/>
    <mergeCell ref="GQG112:GQM112"/>
    <mergeCell ref="GQN112:GQT112"/>
    <mergeCell ref="GOC112:GOI112"/>
    <mergeCell ref="GOJ112:GOP112"/>
    <mergeCell ref="GOQ112:GOW112"/>
    <mergeCell ref="GOX112:GPD112"/>
    <mergeCell ref="GPE112:GPK112"/>
    <mergeCell ref="GXN112:GXT112"/>
    <mergeCell ref="GXU112:GYA112"/>
    <mergeCell ref="GYB112:GYH112"/>
    <mergeCell ref="GYI112:GYO112"/>
    <mergeCell ref="GYP112:GYV112"/>
    <mergeCell ref="GWE112:GWK112"/>
    <mergeCell ref="GWL112:GWR112"/>
    <mergeCell ref="GWS112:GWY112"/>
    <mergeCell ref="GWZ112:GXF112"/>
    <mergeCell ref="GXG112:GXM112"/>
    <mergeCell ref="GUV112:GVB112"/>
    <mergeCell ref="GVC112:GVI112"/>
    <mergeCell ref="GVJ112:GVP112"/>
    <mergeCell ref="GVQ112:GVW112"/>
    <mergeCell ref="GVX112:GWD112"/>
    <mergeCell ref="GTM112:GTS112"/>
    <mergeCell ref="GTT112:GTZ112"/>
    <mergeCell ref="GUA112:GUG112"/>
    <mergeCell ref="GUH112:GUN112"/>
    <mergeCell ref="GUO112:GUU112"/>
    <mergeCell ref="HCX112:HDD112"/>
    <mergeCell ref="HDE112:HDK112"/>
    <mergeCell ref="HDL112:HDR112"/>
    <mergeCell ref="HDS112:HDY112"/>
    <mergeCell ref="HDZ112:HEF112"/>
    <mergeCell ref="HBO112:HBU112"/>
    <mergeCell ref="HBV112:HCB112"/>
    <mergeCell ref="HCC112:HCI112"/>
    <mergeCell ref="HCJ112:HCP112"/>
    <mergeCell ref="HCQ112:HCW112"/>
    <mergeCell ref="HAF112:HAL112"/>
    <mergeCell ref="HAM112:HAS112"/>
    <mergeCell ref="HAT112:HAZ112"/>
    <mergeCell ref="HBA112:HBG112"/>
    <mergeCell ref="HBH112:HBN112"/>
    <mergeCell ref="GYW112:GZC112"/>
    <mergeCell ref="GZD112:GZJ112"/>
    <mergeCell ref="GZK112:GZQ112"/>
    <mergeCell ref="GZR112:GZX112"/>
    <mergeCell ref="GZY112:HAE112"/>
    <mergeCell ref="HIH112:HIN112"/>
    <mergeCell ref="HIO112:HIU112"/>
    <mergeCell ref="HIV112:HJB112"/>
    <mergeCell ref="HJC112:HJI112"/>
    <mergeCell ref="HJJ112:HJP112"/>
    <mergeCell ref="HGY112:HHE112"/>
    <mergeCell ref="HHF112:HHL112"/>
    <mergeCell ref="HHM112:HHS112"/>
    <mergeCell ref="HHT112:HHZ112"/>
    <mergeCell ref="HIA112:HIG112"/>
    <mergeCell ref="HFP112:HFV112"/>
    <mergeCell ref="HFW112:HGC112"/>
    <mergeCell ref="HGD112:HGJ112"/>
    <mergeCell ref="HGK112:HGQ112"/>
    <mergeCell ref="HGR112:HGX112"/>
    <mergeCell ref="HEG112:HEM112"/>
    <mergeCell ref="HEN112:HET112"/>
    <mergeCell ref="HEU112:HFA112"/>
    <mergeCell ref="HFB112:HFH112"/>
    <mergeCell ref="HFI112:HFO112"/>
    <mergeCell ref="HNR112:HNX112"/>
    <mergeCell ref="HNY112:HOE112"/>
    <mergeCell ref="HOF112:HOL112"/>
    <mergeCell ref="HOM112:HOS112"/>
    <mergeCell ref="HOT112:HOZ112"/>
    <mergeCell ref="HMI112:HMO112"/>
    <mergeCell ref="HMP112:HMV112"/>
    <mergeCell ref="HMW112:HNC112"/>
    <mergeCell ref="HND112:HNJ112"/>
    <mergeCell ref="HNK112:HNQ112"/>
    <mergeCell ref="HKZ112:HLF112"/>
    <mergeCell ref="HLG112:HLM112"/>
    <mergeCell ref="HLN112:HLT112"/>
    <mergeCell ref="HLU112:HMA112"/>
    <mergeCell ref="HMB112:HMH112"/>
    <mergeCell ref="HJQ112:HJW112"/>
    <mergeCell ref="HJX112:HKD112"/>
    <mergeCell ref="HKE112:HKK112"/>
    <mergeCell ref="HKL112:HKR112"/>
    <mergeCell ref="HKS112:HKY112"/>
    <mergeCell ref="HTB112:HTH112"/>
    <mergeCell ref="HTI112:HTO112"/>
    <mergeCell ref="HTP112:HTV112"/>
    <mergeCell ref="HTW112:HUC112"/>
    <mergeCell ref="HUD112:HUJ112"/>
    <mergeCell ref="HRS112:HRY112"/>
    <mergeCell ref="HRZ112:HSF112"/>
    <mergeCell ref="HSG112:HSM112"/>
    <mergeCell ref="HSN112:HST112"/>
    <mergeCell ref="HSU112:HTA112"/>
    <mergeCell ref="HQJ112:HQP112"/>
    <mergeCell ref="HQQ112:HQW112"/>
    <mergeCell ref="HQX112:HRD112"/>
    <mergeCell ref="HRE112:HRK112"/>
    <mergeCell ref="HRL112:HRR112"/>
    <mergeCell ref="HPA112:HPG112"/>
    <mergeCell ref="HPH112:HPN112"/>
    <mergeCell ref="HPO112:HPU112"/>
    <mergeCell ref="HPV112:HQB112"/>
    <mergeCell ref="HQC112:HQI112"/>
    <mergeCell ref="HYL112:HYR112"/>
    <mergeCell ref="HYS112:HYY112"/>
    <mergeCell ref="HYZ112:HZF112"/>
    <mergeCell ref="HZG112:HZM112"/>
    <mergeCell ref="HZN112:HZT112"/>
    <mergeCell ref="HXC112:HXI112"/>
    <mergeCell ref="HXJ112:HXP112"/>
    <mergeCell ref="HXQ112:HXW112"/>
    <mergeCell ref="HXX112:HYD112"/>
    <mergeCell ref="HYE112:HYK112"/>
    <mergeCell ref="HVT112:HVZ112"/>
    <mergeCell ref="HWA112:HWG112"/>
    <mergeCell ref="HWH112:HWN112"/>
    <mergeCell ref="HWO112:HWU112"/>
    <mergeCell ref="HWV112:HXB112"/>
    <mergeCell ref="HUK112:HUQ112"/>
    <mergeCell ref="HUR112:HUX112"/>
    <mergeCell ref="HUY112:HVE112"/>
    <mergeCell ref="HVF112:HVL112"/>
    <mergeCell ref="HVM112:HVS112"/>
    <mergeCell ref="IDV112:IEB112"/>
    <mergeCell ref="IEC112:IEI112"/>
    <mergeCell ref="IEJ112:IEP112"/>
    <mergeCell ref="IEQ112:IEW112"/>
    <mergeCell ref="IEX112:IFD112"/>
    <mergeCell ref="ICM112:ICS112"/>
    <mergeCell ref="ICT112:ICZ112"/>
    <mergeCell ref="IDA112:IDG112"/>
    <mergeCell ref="IDH112:IDN112"/>
    <mergeCell ref="IDO112:IDU112"/>
    <mergeCell ref="IBD112:IBJ112"/>
    <mergeCell ref="IBK112:IBQ112"/>
    <mergeCell ref="IBR112:IBX112"/>
    <mergeCell ref="IBY112:ICE112"/>
    <mergeCell ref="ICF112:ICL112"/>
    <mergeCell ref="HZU112:IAA112"/>
    <mergeCell ref="IAB112:IAH112"/>
    <mergeCell ref="IAI112:IAO112"/>
    <mergeCell ref="IAP112:IAV112"/>
    <mergeCell ref="IAW112:IBC112"/>
    <mergeCell ref="IJF112:IJL112"/>
    <mergeCell ref="IJM112:IJS112"/>
    <mergeCell ref="IJT112:IJZ112"/>
    <mergeCell ref="IKA112:IKG112"/>
    <mergeCell ref="IKH112:IKN112"/>
    <mergeCell ref="IHW112:IIC112"/>
    <mergeCell ref="IID112:IIJ112"/>
    <mergeCell ref="IIK112:IIQ112"/>
    <mergeCell ref="IIR112:IIX112"/>
    <mergeCell ref="IIY112:IJE112"/>
    <mergeCell ref="IGN112:IGT112"/>
    <mergeCell ref="IGU112:IHA112"/>
    <mergeCell ref="IHB112:IHH112"/>
    <mergeCell ref="IHI112:IHO112"/>
    <mergeCell ref="IHP112:IHV112"/>
    <mergeCell ref="IFE112:IFK112"/>
    <mergeCell ref="IFL112:IFR112"/>
    <mergeCell ref="IFS112:IFY112"/>
    <mergeCell ref="IFZ112:IGF112"/>
    <mergeCell ref="IGG112:IGM112"/>
    <mergeCell ref="IOP112:IOV112"/>
    <mergeCell ref="IOW112:IPC112"/>
    <mergeCell ref="IPD112:IPJ112"/>
    <mergeCell ref="IPK112:IPQ112"/>
    <mergeCell ref="IPR112:IPX112"/>
    <mergeCell ref="ING112:INM112"/>
    <mergeCell ref="INN112:INT112"/>
    <mergeCell ref="INU112:IOA112"/>
    <mergeCell ref="IOB112:IOH112"/>
    <mergeCell ref="IOI112:IOO112"/>
    <mergeCell ref="ILX112:IMD112"/>
    <mergeCell ref="IME112:IMK112"/>
    <mergeCell ref="IML112:IMR112"/>
    <mergeCell ref="IMS112:IMY112"/>
    <mergeCell ref="IMZ112:INF112"/>
    <mergeCell ref="IKO112:IKU112"/>
    <mergeCell ref="IKV112:ILB112"/>
    <mergeCell ref="ILC112:ILI112"/>
    <mergeCell ref="ILJ112:ILP112"/>
    <mergeCell ref="ILQ112:ILW112"/>
    <mergeCell ref="ITZ112:IUF112"/>
    <mergeCell ref="IUG112:IUM112"/>
    <mergeCell ref="IUN112:IUT112"/>
    <mergeCell ref="IUU112:IVA112"/>
    <mergeCell ref="IVB112:IVH112"/>
    <mergeCell ref="ISQ112:ISW112"/>
    <mergeCell ref="ISX112:ITD112"/>
    <mergeCell ref="ITE112:ITK112"/>
    <mergeCell ref="ITL112:ITR112"/>
    <mergeCell ref="ITS112:ITY112"/>
    <mergeCell ref="IRH112:IRN112"/>
    <mergeCell ref="IRO112:IRU112"/>
    <mergeCell ref="IRV112:ISB112"/>
    <mergeCell ref="ISC112:ISI112"/>
    <mergeCell ref="ISJ112:ISP112"/>
    <mergeCell ref="IPY112:IQE112"/>
    <mergeCell ref="IQF112:IQL112"/>
    <mergeCell ref="IQM112:IQS112"/>
    <mergeCell ref="IQT112:IQZ112"/>
    <mergeCell ref="IRA112:IRG112"/>
    <mergeCell ref="IZJ112:IZP112"/>
    <mergeCell ref="IZQ112:IZW112"/>
    <mergeCell ref="IZX112:JAD112"/>
    <mergeCell ref="JAE112:JAK112"/>
    <mergeCell ref="JAL112:JAR112"/>
    <mergeCell ref="IYA112:IYG112"/>
    <mergeCell ref="IYH112:IYN112"/>
    <mergeCell ref="IYO112:IYU112"/>
    <mergeCell ref="IYV112:IZB112"/>
    <mergeCell ref="IZC112:IZI112"/>
    <mergeCell ref="IWR112:IWX112"/>
    <mergeCell ref="IWY112:IXE112"/>
    <mergeCell ref="IXF112:IXL112"/>
    <mergeCell ref="IXM112:IXS112"/>
    <mergeCell ref="IXT112:IXZ112"/>
    <mergeCell ref="IVI112:IVO112"/>
    <mergeCell ref="IVP112:IVV112"/>
    <mergeCell ref="IVW112:IWC112"/>
    <mergeCell ref="IWD112:IWJ112"/>
    <mergeCell ref="IWK112:IWQ112"/>
    <mergeCell ref="JET112:JEZ112"/>
    <mergeCell ref="JFA112:JFG112"/>
    <mergeCell ref="JFH112:JFN112"/>
    <mergeCell ref="JFO112:JFU112"/>
    <mergeCell ref="JFV112:JGB112"/>
    <mergeCell ref="JDK112:JDQ112"/>
    <mergeCell ref="JDR112:JDX112"/>
    <mergeCell ref="JDY112:JEE112"/>
    <mergeCell ref="JEF112:JEL112"/>
    <mergeCell ref="JEM112:JES112"/>
    <mergeCell ref="JCB112:JCH112"/>
    <mergeCell ref="JCI112:JCO112"/>
    <mergeCell ref="JCP112:JCV112"/>
    <mergeCell ref="JCW112:JDC112"/>
    <mergeCell ref="JDD112:JDJ112"/>
    <mergeCell ref="JAS112:JAY112"/>
    <mergeCell ref="JAZ112:JBF112"/>
    <mergeCell ref="JBG112:JBM112"/>
    <mergeCell ref="JBN112:JBT112"/>
    <mergeCell ref="JBU112:JCA112"/>
    <mergeCell ref="JKD112:JKJ112"/>
    <mergeCell ref="JKK112:JKQ112"/>
    <mergeCell ref="JKR112:JKX112"/>
    <mergeCell ref="JKY112:JLE112"/>
    <mergeCell ref="JLF112:JLL112"/>
    <mergeCell ref="JIU112:JJA112"/>
    <mergeCell ref="JJB112:JJH112"/>
    <mergeCell ref="JJI112:JJO112"/>
    <mergeCell ref="JJP112:JJV112"/>
    <mergeCell ref="JJW112:JKC112"/>
    <mergeCell ref="JHL112:JHR112"/>
    <mergeCell ref="JHS112:JHY112"/>
    <mergeCell ref="JHZ112:JIF112"/>
    <mergeCell ref="JIG112:JIM112"/>
    <mergeCell ref="JIN112:JIT112"/>
    <mergeCell ref="JGC112:JGI112"/>
    <mergeCell ref="JGJ112:JGP112"/>
    <mergeCell ref="JGQ112:JGW112"/>
    <mergeCell ref="JGX112:JHD112"/>
    <mergeCell ref="JHE112:JHK112"/>
    <mergeCell ref="JPN112:JPT112"/>
    <mergeCell ref="JPU112:JQA112"/>
    <mergeCell ref="JQB112:JQH112"/>
    <mergeCell ref="JQI112:JQO112"/>
    <mergeCell ref="JQP112:JQV112"/>
    <mergeCell ref="JOE112:JOK112"/>
    <mergeCell ref="JOL112:JOR112"/>
    <mergeCell ref="JOS112:JOY112"/>
    <mergeCell ref="JOZ112:JPF112"/>
    <mergeCell ref="JPG112:JPM112"/>
    <mergeCell ref="JMV112:JNB112"/>
    <mergeCell ref="JNC112:JNI112"/>
    <mergeCell ref="JNJ112:JNP112"/>
    <mergeCell ref="JNQ112:JNW112"/>
    <mergeCell ref="JNX112:JOD112"/>
    <mergeCell ref="JLM112:JLS112"/>
    <mergeCell ref="JLT112:JLZ112"/>
    <mergeCell ref="JMA112:JMG112"/>
    <mergeCell ref="JMH112:JMN112"/>
    <mergeCell ref="JMO112:JMU112"/>
    <mergeCell ref="JUX112:JVD112"/>
    <mergeCell ref="JVE112:JVK112"/>
    <mergeCell ref="JVL112:JVR112"/>
    <mergeCell ref="JVS112:JVY112"/>
    <mergeCell ref="JVZ112:JWF112"/>
    <mergeCell ref="JTO112:JTU112"/>
    <mergeCell ref="JTV112:JUB112"/>
    <mergeCell ref="JUC112:JUI112"/>
    <mergeCell ref="JUJ112:JUP112"/>
    <mergeCell ref="JUQ112:JUW112"/>
    <mergeCell ref="JSF112:JSL112"/>
    <mergeCell ref="JSM112:JSS112"/>
    <mergeCell ref="JST112:JSZ112"/>
    <mergeCell ref="JTA112:JTG112"/>
    <mergeCell ref="JTH112:JTN112"/>
    <mergeCell ref="JQW112:JRC112"/>
    <mergeCell ref="JRD112:JRJ112"/>
    <mergeCell ref="JRK112:JRQ112"/>
    <mergeCell ref="JRR112:JRX112"/>
    <mergeCell ref="JRY112:JSE112"/>
    <mergeCell ref="KAH112:KAN112"/>
    <mergeCell ref="KAO112:KAU112"/>
    <mergeCell ref="KAV112:KBB112"/>
    <mergeCell ref="KBC112:KBI112"/>
    <mergeCell ref="KBJ112:KBP112"/>
    <mergeCell ref="JYY112:JZE112"/>
    <mergeCell ref="JZF112:JZL112"/>
    <mergeCell ref="JZM112:JZS112"/>
    <mergeCell ref="JZT112:JZZ112"/>
    <mergeCell ref="KAA112:KAG112"/>
    <mergeCell ref="JXP112:JXV112"/>
    <mergeCell ref="JXW112:JYC112"/>
    <mergeCell ref="JYD112:JYJ112"/>
    <mergeCell ref="JYK112:JYQ112"/>
    <mergeCell ref="JYR112:JYX112"/>
    <mergeCell ref="JWG112:JWM112"/>
    <mergeCell ref="JWN112:JWT112"/>
    <mergeCell ref="JWU112:JXA112"/>
    <mergeCell ref="JXB112:JXH112"/>
    <mergeCell ref="JXI112:JXO112"/>
    <mergeCell ref="KFR112:KFX112"/>
    <mergeCell ref="KFY112:KGE112"/>
    <mergeCell ref="KGF112:KGL112"/>
    <mergeCell ref="KGM112:KGS112"/>
    <mergeCell ref="KGT112:KGZ112"/>
    <mergeCell ref="KEI112:KEO112"/>
    <mergeCell ref="KEP112:KEV112"/>
    <mergeCell ref="KEW112:KFC112"/>
    <mergeCell ref="KFD112:KFJ112"/>
    <mergeCell ref="KFK112:KFQ112"/>
    <mergeCell ref="KCZ112:KDF112"/>
    <mergeCell ref="KDG112:KDM112"/>
    <mergeCell ref="KDN112:KDT112"/>
    <mergeCell ref="KDU112:KEA112"/>
    <mergeCell ref="KEB112:KEH112"/>
    <mergeCell ref="KBQ112:KBW112"/>
    <mergeCell ref="KBX112:KCD112"/>
    <mergeCell ref="KCE112:KCK112"/>
    <mergeCell ref="KCL112:KCR112"/>
    <mergeCell ref="KCS112:KCY112"/>
    <mergeCell ref="KLB112:KLH112"/>
    <mergeCell ref="KLI112:KLO112"/>
    <mergeCell ref="KLP112:KLV112"/>
    <mergeCell ref="KLW112:KMC112"/>
    <mergeCell ref="KMD112:KMJ112"/>
    <mergeCell ref="KJS112:KJY112"/>
    <mergeCell ref="KJZ112:KKF112"/>
    <mergeCell ref="KKG112:KKM112"/>
    <mergeCell ref="KKN112:KKT112"/>
    <mergeCell ref="KKU112:KLA112"/>
    <mergeCell ref="KIJ112:KIP112"/>
    <mergeCell ref="KIQ112:KIW112"/>
    <mergeCell ref="KIX112:KJD112"/>
    <mergeCell ref="KJE112:KJK112"/>
    <mergeCell ref="KJL112:KJR112"/>
    <mergeCell ref="KHA112:KHG112"/>
    <mergeCell ref="KHH112:KHN112"/>
    <mergeCell ref="KHO112:KHU112"/>
    <mergeCell ref="KHV112:KIB112"/>
    <mergeCell ref="KIC112:KII112"/>
    <mergeCell ref="KQL112:KQR112"/>
    <mergeCell ref="KQS112:KQY112"/>
    <mergeCell ref="KQZ112:KRF112"/>
    <mergeCell ref="KRG112:KRM112"/>
    <mergeCell ref="KRN112:KRT112"/>
    <mergeCell ref="KPC112:KPI112"/>
    <mergeCell ref="KPJ112:KPP112"/>
    <mergeCell ref="KPQ112:KPW112"/>
    <mergeCell ref="KPX112:KQD112"/>
    <mergeCell ref="KQE112:KQK112"/>
    <mergeCell ref="KNT112:KNZ112"/>
    <mergeCell ref="KOA112:KOG112"/>
    <mergeCell ref="KOH112:KON112"/>
    <mergeCell ref="KOO112:KOU112"/>
    <mergeCell ref="KOV112:KPB112"/>
    <mergeCell ref="KMK112:KMQ112"/>
    <mergeCell ref="KMR112:KMX112"/>
    <mergeCell ref="KMY112:KNE112"/>
    <mergeCell ref="KNF112:KNL112"/>
    <mergeCell ref="KNM112:KNS112"/>
    <mergeCell ref="KVV112:KWB112"/>
    <mergeCell ref="KWC112:KWI112"/>
    <mergeCell ref="KWJ112:KWP112"/>
    <mergeCell ref="KWQ112:KWW112"/>
    <mergeCell ref="KWX112:KXD112"/>
    <mergeCell ref="KUM112:KUS112"/>
    <mergeCell ref="KUT112:KUZ112"/>
    <mergeCell ref="KVA112:KVG112"/>
    <mergeCell ref="KVH112:KVN112"/>
    <mergeCell ref="KVO112:KVU112"/>
    <mergeCell ref="KTD112:KTJ112"/>
    <mergeCell ref="KTK112:KTQ112"/>
    <mergeCell ref="KTR112:KTX112"/>
    <mergeCell ref="KTY112:KUE112"/>
    <mergeCell ref="KUF112:KUL112"/>
    <mergeCell ref="KRU112:KSA112"/>
    <mergeCell ref="KSB112:KSH112"/>
    <mergeCell ref="KSI112:KSO112"/>
    <mergeCell ref="KSP112:KSV112"/>
    <mergeCell ref="KSW112:KTC112"/>
    <mergeCell ref="LBF112:LBL112"/>
    <mergeCell ref="LBM112:LBS112"/>
    <mergeCell ref="LBT112:LBZ112"/>
    <mergeCell ref="LCA112:LCG112"/>
    <mergeCell ref="LCH112:LCN112"/>
    <mergeCell ref="KZW112:LAC112"/>
    <mergeCell ref="LAD112:LAJ112"/>
    <mergeCell ref="LAK112:LAQ112"/>
    <mergeCell ref="LAR112:LAX112"/>
    <mergeCell ref="LAY112:LBE112"/>
    <mergeCell ref="KYN112:KYT112"/>
    <mergeCell ref="KYU112:KZA112"/>
    <mergeCell ref="KZB112:KZH112"/>
    <mergeCell ref="KZI112:KZO112"/>
    <mergeCell ref="KZP112:KZV112"/>
    <mergeCell ref="KXE112:KXK112"/>
    <mergeCell ref="KXL112:KXR112"/>
    <mergeCell ref="KXS112:KXY112"/>
    <mergeCell ref="KXZ112:KYF112"/>
    <mergeCell ref="KYG112:KYM112"/>
    <mergeCell ref="LGP112:LGV112"/>
    <mergeCell ref="LGW112:LHC112"/>
    <mergeCell ref="LHD112:LHJ112"/>
    <mergeCell ref="LHK112:LHQ112"/>
    <mergeCell ref="LHR112:LHX112"/>
    <mergeCell ref="LFG112:LFM112"/>
    <mergeCell ref="LFN112:LFT112"/>
    <mergeCell ref="LFU112:LGA112"/>
    <mergeCell ref="LGB112:LGH112"/>
    <mergeCell ref="LGI112:LGO112"/>
    <mergeCell ref="LDX112:LED112"/>
    <mergeCell ref="LEE112:LEK112"/>
    <mergeCell ref="LEL112:LER112"/>
    <mergeCell ref="LES112:LEY112"/>
    <mergeCell ref="LEZ112:LFF112"/>
    <mergeCell ref="LCO112:LCU112"/>
    <mergeCell ref="LCV112:LDB112"/>
    <mergeCell ref="LDC112:LDI112"/>
    <mergeCell ref="LDJ112:LDP112"/>
    <mergeCell ref="LDQ112:LDW112"/>
    <mergeCell ref="LLZ112:LMF112"/>
    <mergeCell ref="LMG112:LMM112"/>
    <mergeCell ref="LMN112:LMT112"/>
    <mergeCell ref="LMU112:LNA112"/>
    <mergeCell ref="LNB112:LNH112"/>
    <mergeCell ref="LKQ112:LKW112"/>
    <mergeCell ref="LKX112:LLD112"/>
    <mergeCell ref="LLE112:LLK112"/>
    <mergeCell ref="LLL112:LLR112"/>
    <mergeCell ref="LLS112:LLY112"/>
    <mergeCell ref="LJH112:LJN112"/>
    <mergeCell ref="LJO112:LJU112"/>
    <mergeCell ref="LJV112:LKB112"/>
    <mergeCell ref="LKC112:LKI112"/>
    <mergeCell ref="LKJ112:LKP112"/>
    <mergeCell ref="LHY112:LIE112"/>
    <mergeCell ref="LIF112:LIL112"/>
    <mergeCell ref="LIM112:LIS112"/>
    <mergeCell ref="LIT112:LIZ112"/>
    <mergeCell ref="LJA112:LJG112"/>
    <mergeCell ref="LRJ112:LRP112"/>
    <mergeCell ref="LRQ112:LRW112"/>
    <mergeCell ref="LRX112:LSD112"/>
    <mergeCell ref="LSE112:LSK112"/>
    <mergeCell ref="LSL112:LSR112"/>
    <mergeCell ref="LQA112:LQG112"/>
    <mergeCell ref="LQH112:LQN112"/>
    <mergeCell ref="LQO112:LQU112"/>
    <mergeCell ref="LQV112:LRB112"/>
    <mergeCell ref="LRC112:LRI112"/>
    <mergeCell ref="LOR112:LOX112"/>
    <mergeCell ref="LOY112:LPE112"/>
    <mergeCell ref="LPF112:LPL112"/>
    <mergeCell ref="LPM112:LPS112"/>
    <mergeCell ref="LPT112:LPZ112"/>
    <mergeCell ref="LNI112:LNO112"/>
    <mergeCell ref="LNP112:LNV112"/>
    <mergeCell ref="LNW112:LOC112"/>
    <mergeCell ref="LOD112:LOJ112"/>
    <mergeCell ref="LOK112:LOQ112"/>
    <mergeCell ref="LWT112:LWZ112"/>
    <mergeCell ref="LXA112:LXG112"/>
    <mergeCell ref="LXH112:LXN112"/>
    <mergeCell ref="LXO112:LXU112"/>
    <mergeCell ref="LXV112:LYB112"/>
    <mergeCell ref="LVK112:LVQ112"/>
    <mergeCell ref="LVR112:LVX112"/>
    <mergeCell ref="LVY112:LWE112"/>
    <mergeCell ref="LWF112:LWL112"/>
    <mergeCell ref="LWM112:LWS112"/>
    <mergeCell ref="LUB112:LUH112"/>
    <mergeCell ref="LUI112:LUO112"/>
    <mergeCell ref="LUP112:LUV112"/>
    <mergeCell ref="LUW112:LVC112"/>
    <mergeCell ref="LVD112:LVJ112"/>
    <mergeCell ref="LSS112:LSY112"/>
    <mergeCell ref="LSZ112:LTF112"/>
    <mergeCell ref="LTG112:LTM112"/>
    <mergeCell ref="LTN112:LTT112"/>
    <mergeCell ref="LTU112:LUA112"/>
    <mergeCell ref="MCD112:MCJ112"/>
    <mergeCell ref="MCK112:MCQ112"/>
    <mergeCell ref="MCR112:MCX112"/>
    <mergeCell ref="MCY112:MDE112"/>
    <mergeCell ref="MDF112:MDL112"/>
    <mergeCell ref="MAU112:MBA112"/>
    <mergeCell ref="MBB112:MBH112"/>
    <mergeCell ref="MBI112:MBO112"/>
    <mergeCell ref="MBP112:MBV112"/>
    <mergeCell ref="MBW112:MCC112"/>
    <mergeCell ref="LZL112:LZR112"/>
    <mergeCell ref="LZS112:LZY112"/>
    <mergeCell ref="LZZ112:MAF112"/>
    <mergeCell ref="MAG112:MAM112"/>
    <mergeCell ref="MAN112:MAT112"/>
    <mergeCell ref="LYC112:LYI112"/>
    <mergeCell ref="LYJ112:LYP112"/>
    <mergeCell ref="LYQ112:LYW112"/>
    <mergeCell ref="LYX112:LZD112"/>
    <mergeCell ref="LZE112:LZK112"/>
    <mergeCell ref="MHN112:MHT112"/>
    <mergeCell ref="MHU112:MIA112"/>
    <mergeCell ref="MIB112:MIH112"/>
    <mergeCell ref="MII112:MIO112"/>
    <mergeCell ref="MIP112:MIV112"/>
    <mergeCell ref="MGE112:MGK112"/>
    <mergeCell ref="MGL112:MGR112"/>
    <mergeCell ref="MGS112:MGY112"/>
    <mergeCell ref="MGZ112:MHF112"/>
    <mergeCell ref="MHG112:MHM112"/>
    <mergeCell ref="MEV112:MFB112"/>
    <mergeCell ref="MFC112:MFI112"/>
    <mergeCell ref="MFJ112:MFP112"/>
    <mergeCell ref="MFQ112:MFW112"/>
    <mergeCell ref="MFX112:MGD112"/>
    <mergeCell ref="MDM112:MDS112"/>
    <mergeCell ref="MDT112:MDZ112"/>
    <mergeCell ref="MEA112:MEG112"/>
    <mergeCell ref="MEH112:MEN112"/>
    <mergeCell ref="MEO112:MEU112"/>
    <mergeCell ref="MMX112:MND112"/>
    <mergeCell ref="MNE112:MNK112"/>
    <mergeCell ref="MNL112:MNR112"/>
    <mergeCell ref="MNS112:MNY112"/>
    <mergeCell ref="MNZ112:MOF112"/>
    <mergeCell ref="MLO112:MLU112"/>
    <mergeCell ref="MLV112:MMB112"/>
    <mergeCell ref="MMC112:MMI112"/>
    <mergeCell ref="MMJ112:MMP112"/>
    <mergeCell ref="MMQ112:MMW112"/>
    <mergeCell ref="MKF112:MKL112"/>
    <mergeCell ref="MKM112:MKS112"/>
    <mergeCell ref="MKT112:MKZ112"/>
    <mergeCell ref="MLA112:MLG112"/>
    <mergeCell ref="MLH112:MLN112"/>
    <mergeCell ref="MIW112:MJC112"/>
    <mergeCell ref="MJD112:MJJ112"/>
    <mergeCell ref="MJK112:MJQ112"/>
    <mergeCell ref="MJR112:MJX112"/>
    <mergeCell ref="MJY112:MKE112"/>
    <mergeCell ref="MSH112:MSN112"/>
    <mergeCell ref="MSO112:MSU112"/>
    <mergeCell ref="MSV112:MTB112"/>
    <mergeCell ref="MTC112:MTI112"/>
    <mergeCell ref="MTJ112:MTP112"/>
    <mergeCell ref="MQY112:MRE112"/>
    <mergeCell ref="MRF112:MRL112"/>
    <mergeCell ref="MRM112:MRS112"/>
    <mergeCell ref="MRT112:MRZ112"/>
    <mergeCell ref="MSA112:MSG112"/>
    <mergeCell ref="MPP112:MPV112"/>
    <mergeCell ref="MPW112:MQC112"/>
    <mergeCell ref="MQD112:MQJ112"/>
    <mergeCell ref="MQK112:MQQ112"/>
    <mergeCell ref="MQR112:MQX112"/>
    <mergeCell ref="MOG112:MOM112"/>
    <mergeCell ref="MON112:MOT112"/>
    <mergeCell ref="MOU112:MPA112"/>
    <mergeCell ref="MPB112:MPH112"/>
    <mergeCell ref="MPI112:MPO112"/>
    <mergeCell ref="MXR112:MXX112"/>
    <mergeCell ref="MXY112:MYE112"/>
    <mergeCell ref="MYF112:MYL112"/>
    <mergeCell ref="MYM112:MYS112"/>
    <mergeCell ref="MYT112:MYZ112"/>
    <mergeCell ref="MWI112:MWO112"/>
    <mergeCell ref="MWP112:MWV112"/>
    <mergeCell ref="MWW112:MXC112"/>
    <mergeCell ref="MXD112:MXJ112"/>
    <mergeCell ref="MXK112:MXQ112"/>
    <mergeCell ref="MUZ112:MVF112"/>
    <mergeCell ref="MVG112:MVM112"/>
    <mergeCell ref="MVN112:MVT112"/>
    <mergeCell ref="MVU112:MWA112"/>
    <mergeCell ref="MWB112:MWH112"/>
    <mergeCell ref="MTQ112:MTW112"/>
    <mergeCell ref="MTX112:MUD112"/>
    <mergeCell ref="MUE112:MUK112"/>
    <mergeCell ref="MUL112:MUR112"/>
    <mergeCell ref="MUS112:MUY112"/>
    <mergeCell ref="NDB112:NDH112"/>
    <mergeCell ref="NDI112:NDO112"/>
    <mergeCell ref="NDP112:NDV112"/>
    <mergeCell ref="NDW112:NEC112"/>
    <mergeCell ref="NED112:NEJ112"/>
    <mergeCell ref="NBS112:NBY112"/>
    <mergeCell ref="NBZ112:NCF112"/>
    <mergeCell ref="NCG112:NCM112"/>
    <mergeCell ref="NCN112:NCT112"/>
    <mergeCell ref="NCU112:NDA112"/>
    <mergeCell ref="NAJ112:NAP112"/>
    <mergeCell ref="NAQ112:NAW112"/>
    <mergeCell ref="NAX112:NBD112"/>
    <mergeCell ref="NBE112:NBK112"/>
    <mergeCell ref="NBL112:NBR112"/>
    <mergeCell ref="MZA112:MZG112"/>
    <mergeCell ref="MZH112:MZN112"/>
    <mergeCell ref="MZO112:MZU112"/>
    <mergeCell ref="MZV112:NAB112"/>
    <mergeCell ref="NAC112:NAI112"/>
    <mergeCell ref="NIL112:NIR112"/>
    <mergeCell ref="NIS112:NIY112"/>
    <mergeCell ref="NIZ112:NJF112"/>
    <mergeCell ref="NJG112:NJM112"/>
    <mergeCell ref="NJN112:NJT112"/>
    <mergeCell ref="NHC112:NHI112"/>
    <mergeCell ref="NHJ112:NHP112"/>
    <mergeCell ref="NHQ112:NHW112"/>
    <mergeCell ref="NHX112:NID112"/>
    <mergeCell ref="NIE112:NIK112"/>
    <mergeCell ref="NFT112:NFZ112"/>
    <mergeCell ref="NGA112:NGG112"/>
    <mergeCell ref="NGH112:NGN112"/>
    <mergeCell ref="NGO112:NGU112"/>
    <mergeCell ref="NGV112:NHB112"/>
    <mergeCell ref="NEK112:NEQ112"/>
    <mergeCell ref="NER112:NEX112"/>
    <mergeCell ref="NEY112:NFE112"/>
    <mergeCell ref="NFF112:NFL112"/>
    <mergeCell ref="NFM112:NFS112"/>
    <mergeCell ref="NNV112:NOB112"/>
    <mergeCell ref="NOC112:NOI112"/>
    <mergeCell ref="NOJ112:NOP112"/>
    <mergeCell ref="NOQ112:NOW112"/>
    <mergeCell ref="NOX112:NPD112"/>
    <mergeCell ref="NMM112:NMS112"/>
    <mergeCell ref="NMT112:NMZ112"/>
    <mergeCell ref="NNA112:NNG112"/>
    <mergeCell ref="NNH112:NNN112"/>
    <mergeCell ref="NNO112:NNU112"/>
    <mergeCell ref="NLD112:NLJ112"/>
    <mergeCell ref="NLK112:NLQ112"/>
    <mergeCell ref="NLR112:NLX112"/>
    <mergeCell ref="NLY112:NME112"/>
    <mergeCell ref="NMF112:NML112"/>
    <mergeCell ref="NJU112:NKA112"/>
    <mergeCell ref="NKB112:NKH112"/>
    <mergeCell ref="NKI112:NKO112"/>
    <mergeCell ref="NKP112:NKV112"/>
    <mergeCell ref="NKW112:NLC112"/>
    <mergeCell ref="NTF112:NTL112"/>
    <mergeCell ref="NTM112:NTS112"/>
    <mergeCell ref="NTT112:NTZ112"/>
    <mergeCell ref="NUA112:NUG112"/>
    <mergeCell ref="NUH112:NUN112"/>
    <mergeCell ref="NRW112:NSC112"/>
    <mergeCell ref="NSD112:NSJ112"/>
    <mergeCell ref="NSK112:NSQ112"/>
    <mergeCell ref="NSR112:NSX112"/>
    <mergeCell ref="NSY112:NTE112"/>
    <mergeCell ref="NQN112:NQT112"/>
    <mergeCell ref="NQU112:NRA112"/>
    <mergeCell ref="NRB112:NRH112"/>
    <mergeCell ref="NRI112:NRO112"/>
    <mergeCell ref="NRP112:NRV112"/>
    <mergeCell ref="NPE112:NPK112"/>
    <mergeCell ref="NPL112:NPR112"/>
    <mergeCell ref="NPS112:NPY112"/>
    <mergeCell ref="NPZ112:NQF112"/>
    <mergeCell ref="NQG112:NQM112"/>
    <mergeCell ref="NYP112:NYV112"/>
    <mergeCell ref="NYW112:NZC112"/>
    <mergeCell ref="NZD112:NZJ112"/>
    <mergeCell ref="NZK112:NZQ112"/>
    <mergeCell ref="NZR112:NZX112"/>
    <mergeCell ref="NXG112:NXM112"/>
    <mergeCell ref="NXN112:NXT112"/>
    <mergeCell ref="NXU112:NYA112"/>
    <mergeCell ref="NYB112:NYH112"/>
    <mergeCell ref="NYI112:NYO112"/>
    <mergeCell ref="NVX112:NWD112"/>
    <mergeCell ref="NWE112:NWK112"/>
    <mergeCell ref="NWL112:NWR112"/>
    <mergeCell ref="NWS112:NWY112"/>
    <mergeCell ref="NWZ112:NXF112"/>
    <mergeCell ref="NUO112:NUU112"/>
    <mergeCell ref="NUV112:NVB112"/>
    <mergeCell ref="NVC112:NVI112"/>
    <mergeCell ref="NVJ112:NVP112"/>
    <mergeCell ref="NVQ112:NVW112"/>
    <mergeCell ref="ODZ112:OEF112"/>
    <mergeCell ref="OEG112:OEM112"/>
    <mergeCell ref="OEN112:OET112"/>
    <mergeCell ref="OEU112:OFA112"/>
    <mergeCell ref="OFB112:OFH112"/>
    <mergeCell ref="OCQ112:OCW112"/>
    <mergeCell ref="OCX112:ODD112"/>
    <mergeCell ref="ODE112:ODK112"/>
    <mergeCell ref="ODL112:ODR112"/>
    <mergeCell ref="ODS112:ODY112"/>
    <mergeCell ref="OBH112:OBN112"/>
    <mergeCell ref="OBO112:OBU112"/>
    <mergeCell ref="OBV112:OCB112"/>
    <mergeCell ref="OCC112:OCI112"/>
    <mergeCell ref="OCJ112:OCP112"/>
    <mergeCell ref="NZY112:OAE112"/>
    <mergeCell ref="OAF112:OAL112"/>
    <mergeCell ref="OAM112:OAS112"/>
    <mergeCell ref="OAT112:OAZ112"/>
    <mergeCell ref="OBA112:OBG112"/>
    <mergeCell ref="OJJ112:OJP112"/>
    <mergeCell ref="OJQ112:OJW112"/>
    <mergeCell ref="OJX112:OKD112"/>
    <mergeCell ref="OKE112:OKK112"/>
    <mergeCell ref="OKL112:OKR112"/>
    <mergeCell ref="OIA112:OIG112"/>
    <mergeCell ref="OIH112:OIN112"/>
    <mergeCell ref="OIO112:OIU112"/>
    <mergeCell ref="OIV112:OJB112"/>
    <mergeCell ref="OJC112:OJI112"/>
    <mergeCell ref="OGR112:OGX112"/>
    <mergeCell ref="OGY112:OHE112"/>
    <mergeCell ref="OHF112:OHL112"/>
    <mergeCell ref="OHM112:OHS112"/>
    <mergeCell ref="OHT112:OHZ112"/>
    <mergeCell ref="OFI112:OFO112"/>
    <mergeCell ref="OFP112:OFV112"/>
    <mergeCell ref="OFW112:OGC112"/>
    <mergeCell ref="OGD112:OGJ112"/>
    <mergeCell ref="OGK112:OGQ112"/>
    <mergeCell ref="OOT112:OOZ112"/>
    <mergeCell ref="OPA112:OPG112"/>
    <mergeCell ref="OPH112:OPN112"/>
    <mergeCell ref="OPO112:OPU112"/>
    <mergeCell ref="OPV112:OQB112"/>
    <mergeCell ref="ONK112:ONQ112"/>
    <mergeCell ref="ONR112:ONX112"/>
    <mergeCell ref="ONY112:OOE112"/>
    <mergeCell ref="OOF112:OOL112"/>
    <mergeCell ref="OOM112:OOS112"/>
    <mergeCell ref="OMB112:OMH112"/>
    <mergeCell ref="OMI112:OMO112"/>
    <mergeCell ref="OMP112:OMV112"/>
    <mergeCell ref="OMW112:ONC112"/>
    <mergeCell ref="OND112:ONJ112"/>
    <mergeCell ref="OKS112:OKY112"/>
    <mergeCell ref="OKZ112:OLF112"/>
    <mergeCell ref="OLG112:OLM112"/>
    <mergeCell ref="OLN112:OLT112"/>
    <mergeCell ref="OLU112:OMA112"/>
    <mergeCell ref="OUD112:OUJ112"/>
    <mergeCell ref="OUK112:OUQ112"/>
    <mergeCell ref="OUR112:OUX112"/>
    <mergeCell ref="OUY112:OVE112"/>
    <mergeCell ref="OVF112:OVL112"/>
    <mergeCell ref="OSU112:OTA112"/>
    <mergeCell ref="OTB112:OTH112"/>
    <mergeCell ref="OTI112:OTO112"/>
    <mergeCell ref="OTP112:OTV112"/>
    <mergeCell ref="OTW112:OUC112"/>
    <mergeCell ref="ORL112:ORR112"/>
    <mergeCell ref="ORS112:ORY112"/>
    <mergeCell ref="ORZ112:OSF112"/>
    <mergeCell ref="OSG112:OSM112"/>
    <mergeCell ref="OSN112:OST112"/>
    <mergeCell ref="OQC112:OQI112"/>
    <mergeCell ref="OQJ112:OQP112"/>
    <mergeCell ref="OQQ112:OQW112"/>
    <mergeCell ref="OQX112:ORD112"/>
    <mergeCell ref="ORE112:ORK112"/>
    <mergeCell ref="OZN112:OZT112"/>
    <mergeCell ref="OZU112:PAA112"/>
    <mergeCell ref="PAB112:PAH112"/>
    <mergeCell ref="PAI112:PAO112"/>
    <mergeCell ref="PAP112:PAV112"/>
    <mergeCell ref="OYE112:OYK112"/>
    <mergeCell ref="OYL112:OYR112"/>
    <mergeCell ref="OYS112:OYY112"/>
    <mergeCell ref="OYZ112:OZF112"/>
    <mergeCell ref="OZG112:OZM112"/>
    <mergeCell ref="OWV112:OXB112"/>
    <mergeCell ref="OXC112:OXI112"/>
    <mergeCell ref="OXJ112:OXP112"/>
    <mergeCell ref="OXQ112:OXW112"/>
    <mergeCell ref="OXX112:OYD112"/>
    <mergeCell ref="OVM112:OVS112"/>
    <mergeCell ref="OVT112:OVZ112"/>
    <mergeCell ref="OWA112:OWG112"/>
    <mergeCell ref="OWH112:OWN112"/>
    <mergeCell ref="OWO112:OWU112"/>
    <mergeCell ref="PEX112:PFD112"/>
    <mergeCell ref="PFE112:PFK112"/>
    <mergeCell ref="PFL112:PFR112"/>
    <mergeCell ref="PFS112:PFY112"/>
    <mergeCell ref="PFZ112:PGF112"/>
    <mergeCell ref="PDO112:PDU112"/>
    <mergeCell ref="PDV112:PEB112"/>
    <mergeCell ref="PEC112:PEI112"/>
    <mergeCell ref="PEJ112:PEP112"/>
    <mergeCell ref="PEQ112:PEW112"/>
    <mergeCell ref="PCF112:PCL112"/>
    <mergeCell ref="PCM112:PCS112"/>
    <mergeCell ref="PCT112:PCZ112"/>
    <mergeCell ref="PDA112:PDG112"/>
    <mergeCell ref="PDH112:PDN112"/>
    <mergeCell ref="PAW112:PBC112"/>
    <mergeCell ref="PBD112:PBJ112"/>
    <mergeCell ref="PBK112:PBQ112"/>
    <mergeCell ref="PBR112:PBX112"/>
    <mergeCell ref="PBY112:PCE112"/>
    <mergeCell ref="PKH112:PKN112"/>
    <mergeCell ref="PKO112:PKU112"/>
    <mergeCell ref="PKV112:PLB112"/>
    <mergeCell ref="PLC112:PLI112"/>
    <mergeCell ref="PLJ112:PLP112"/>
    <mergeCell ref="PIY112:PJE112"/>
    <mergeCell ref="PJF112:PJL112"/>
    <mergeCell ref="PJM112:PJS112"/>
    <mergeCell ref="PJT112:PJZ112"/>
    <mergeCell ref="PKA112:PKG112"/>
    <mergeCell ref="PHP112:PHV112"/>
    <mergeCell ref="PHW112:PIC112"/>
    <mergeCell ref="PID112:PIJ112"/>
    <mergeCell ref="PIK112:PIQ112"/>
    <mergeCell ref="PIR112:PIX112"/>
    <mergeCell ref="PGG112:PGM112"/>
    <mergeCell ref="PGN112:PGT112"/>
    <mergeCell ref="PGU112:PHA112"/>
    <mergeCell ref="PHB112:PHH112"/>
    <mergeCell ref="PHI112:PHO112"/>
    <mergeCell ref="PPR112:PPX112"/>
    <mergeCell ref="PPY112:PQE112"/>
    <mergeCell ref="PQF112:PQL112"/>
    <mergeCell ref="PQM112:PQS112"/>
    <mergeCell ref="PQT112:PQZ112"/>
    <mergeCell ref="POI112:POO112"/>
    <mergeCell ref="POP112:POV112"/>
    <mergeCell ref="POW112:PPC112"/>
    <mergeCell ref="PPD112:PPJ112"/>
    <mergeCell ref="PPK112:PPQ112"/>
    <mergeCell ref="PMZ112:PNF112"/>
    <mergeCell ref="PNG112:PNM112"/>
    <mergeCell ref="PNN112:PNT112"/>
    <mergeCell ref="PNU112:POA112"/>
    <mergeCell ref="POB112:POH112"/>
    <mergeCell ref="PLQ112:PLW112"/>
    <mergeCell ref="PLX112:PMD112"/>
    <mergeCell ref="PME112:PMK112"/>
    <mergeCell ref="PML112:PMR112"/>
    <mergeCell ref="PMS112:PMY112"/>
    <mergeCell ref="PVB112:PVH112"/>
    <mergeCell ref="PVI112:PVO112"/>
    <mergeCell ref="PVP112:PVV112"/>
    <mergeCell ref="PVW112:PWC112"/>
    <mergeCell ref="PWD112:PWJ112"/>
    <mergeCell ref="PTS112:PTY112"/>
    <mergeCell ref="PTZ112:PUF112"/>
    <mergeCell ref="PUG112:PUM112"/>
    <mergeCell ref="PUN112:PUT112"/>
    <mergeCell ref="PUU112:PVA112"/>
    <mergeCell ref="PSJ112:PSP112"/>
    <mergeCell ref="PSQ112:PSW112"/>
    <mergeCell ref="PSX112:PTD112"/>
    <mergeCell ref="PTE112:PTK112"/>
    <mergeCell ref="PTL112:PTR112"/>
    <mergeCell ref="PRA112:PRG112"/>
    <mergeCell ref="PRH112:PRN112"/>
    <mergeCell ref="PRO112:PRU112"/>
    <mergeCell ref="PRV112:PSB112"/>
    <mergeCell ref="PSC112:PSI112"/>
    <mergeCell ref="QAL112:QAR112"/>
    <mergeCell ref="QAS112:QAY112"/>
    <mergeCell ref="QAZ112:QBF112"/>
    <mergeCell ref="QBG112:QBM112"/>
    <mergeCell ref="QBN112:QBT112"/>
    <mergeCell ref="PZC112:PZI112"/>
    <mergeCell ref="PZJ112:PZP112"/>
    <mergeCell ref="PZQ112:PZW112"/>
    <mergeCell ref="PZX112:QAD112"/>
    <mergeCell ref="QAE112:QAK112"/>
    <mergeCell ref="PXT112:PXZ112"/>
    <mergeCell ref="PYA112:PYG112"/>
    <mergeCell ref="PYH112:PYN112"/>
    <mergeCell ref="PYO112:PYU112"/>
    <mergeCell ref="PYV112:PZB112"/>
    <mergeCell ref="PWK112:PWQ112"/>
    <mergeCell ref="PWR112:PWX112"/>
    <mergeCell ref="PWY112:PXE112"/>
    <mergeCell ref="PXF112:PXL112"/>
    <mergeCell ref="PXM112:PXS112"/>
    <mergeCell ref="QFV112:QGB112"/>
    <mergeCell ref="QGC112:QGI112"/>
    <mergeCell ref="QGJ112:QGP112"/>
    <mergeCell ref="QGQ112:QGW112"/>
    <mergeCell ref="QGX112:QHD112"/>
    <mergeCell ref="QEM112:QES112"/>
    <mergeCell ref="QET112:QEZ112"/>
    <mergeCell ref="QFA112:QFG112"/>
    <mergeCell ref="QFH112:QFN112"/>
    <mergeCell ref="QFO112:QFU112"/>
    <mergeCell ref="QDD112:QDJ112"/>
    <mergeCell ref="QDK112:QDQ112"/>
    <mergeCell ref="QDR112:QDX112"/>
    <mergeCell ref="QDY112:QEE112"/>
    <mergeCell ref="QEF112:QEL112"/>
    <mergeCell ref="QBU112:QCA112"/>
    <mergeCell ref="QCB112:QCH112"/>
    <mergeCell ref="QCI112:QCO112"/>
    <mergeCell ref="QCP112:QCV112"/>
    <mergeCell ref="QCW112:QDC112"/>
    <mergeCell ref="QLF112:QLL112"/>
    <mergeCell ref="QLM112:QLS112"/>
    <mergeCell ref="QLT112:QLZ112"/>
    <mergeCell ref="QMA112:QMG112"/>
    <mergeCell ref="QMH112:QMN112"/>
    <mergeCell ref="QJW112:QKC112"/>
    <mergeCell ref="QKD112:QKJ112"/>
    <mergeCell ref="QKK112:QKQ112"/>
    <mergeCell ref="QKR112:QKX112"/>
    <mergeCell ref="QKY112:QLE112"/>
    <mergeCell ref="QIN112:QIT112"/>
    <mergeCell ref="QIU112:QJA112"/>
    <mergeCell ref="QJB112:QJH112"/>
    <mergeCell ref="QJI112:QJO112"/>
    <mergeCell ref="QJP112:QJV112"/>
    <mergeCell ref="QHE112:QHK112"/>
    <mergeCell ref="QHL112:QHR112"/>
    <mergeCell ref="QHS112:QHY112"/>
    <mergeCell ref="QHZ112:QIF112"/>
    <mergeCell ref="QIG112:QIM112"/>
    <mergeCell ref="QQP112:QQV112"/>
    <mergeCell ref="QQW112:QRC112"/>
    <mergeCell ref="QRD112:QRJ112"/>
    <mergeCell ref="QRK112:QRQ112"/>
    <mergeCell ref="QRR112:QRX112"/>
    <mergeCell ref="QPG112:QPM112"/>
    <mergeCell ref="QPN112:QPT112"/>
    <mergeCell ref="QPU112:QQA112"/>
    <mergeCell ref="QQB112:QQH112"/>
    <mergeCell ref="QQI112:QQO112"/>
    <mergeCell ref="QNX112:QOD112"/>
    <mergeCell ref="QOE112:QOK112"/>
    <mergeCell ref="QOL112:QOR112"/>
    <mergeCell ref="QOS112:QOY112"/>
    <mergeCell ref="QOZ112:QPF112"/>
    <mergeCell ref="QMO112:QMU112"/>
    <mergeCell ref="QMV112:QNB112"/>
    <mergeCell ref="QNC112:QNI112"/>
    <mergeCell ref="QNJ112:QNP112"/>
    <mergeCell ref="QNQ112:QNW112"/>
    <mergeCell ref="QVZ112:QWF112"/>
    <mergeCell ref="QWG112:QWM112"/>
    <mergeCell ref="QWN112:QWT112"/>
    <mergeCell ref="QWU112:QXA112"/>
    <mergeCell ref="QXB112:QXH112"/>
    <mergeCell ref="QUQ112:QUW112"/>
    <mergeCell ref="QUX112:QVD112"/>
    <mergeCell ref="QVE112:QVK112"/>
    <mergeCell ref="QVL112:QVR112"/>
    <mergeCell ref="QVS112:QVY112"/>
    <mergeCell ref="QTH112:QTN112"/>
    <mergeCell ref="QTO112:QTU112"/>
    <mergeCell ref="QTV112:QUB112"/>
    <mergeCell ref="QUC112:QUI112"/>
    <mergeCell ref="QUJ112:QUP112"/>
    <mergeCell ref="QRY112:QSE112"/>
    <mergeCell ref="QSF112:QSL112"/>
    <mergeCell ref="QSM112:QSS112"/>
    <mergeCell ref="QST112:QSZ112"/>
    <mergeCell ref="QTA112:QTG112"/>
    <mergeCell ref="RBJ112:RBP112"/>
    <mergeCell ref="RBQ112:RBW112"/>
    <mergeCell ref="RBX112:RCD112"/>
    <mergeCell ref="RCE112:RCK112"/>
    <mergeCell ref="RCL112:RCR112"/>
    <mergeCell ref="RAA112:RAG112"/>
    <mergeCell ref="RAH112:RAN112"/>
    <mergeCell ref="RAO112:RAU112"/>
    <mergeCell ref="RAV112:RBB112"/>
    <mergeCell ref="RBC112:RBI112"/>
    <mergeCell ref="QYR112:QYX112"/>
    <mergeCell ref="QYY112:QZE112"/>
    <mergeCell ref="QZF112:QZL112"/>
    <mergeCell ref="QZM112:QZS112"/>
    <mergeCell ref="QZT112:QZZ112"/>
    <mergeCell ref="QXI112:QXO112"/>
    <mergeCell ref="QXP112:QXV112"/>
    <mergeCell ref="QXW112:QYC112"/>
    <mergeCell ref="QYD112:QYJ112"/>
    <mergeCell ref="QYK112:QYQ112"/>
    <mergeCell ref="RGT112:RGZ112"/>
    <mergeCell ref="RHA112:RHG112"/>
    <mergeCell ref="RHH112:RHN112"/>
    <mergeCell ref="RHO112:RHU112"/>
    <mergeCell ref="RHV112:RIB112"/>
    <mergeCell ref="RFK112:RFQ112"/>
    <mergeCell ref="RFR112:RFX112"/>
    <mergeCell ref="RFY112:RGE112"/>
    <mergeCell ref="RGF112:RGL112"/>
    <mergeCell ref="RGM112:RGS112"/>
    <mergeCell ref="REB112:REH112"/>
    <mergeCell ref="REI112:REO112"/>
    <mergeCell ref="REP112:REV112"/>
    <mergeCell ref="REW112:RFC112"/>
    <mergeCell ref="RFD112:RFJ112"/>
    <mergeCell ref="RCS112:RCY112"/>
    <mergeCell ref="RCZ112:RDF112"/>
    <mergeCell ref="RDG112:RDM112"/>
    <mergeCell ref="RDN112:RDT112"/>
    <mergeCell ref="RDU112:REA112"/>
    <mergeCell ref="RMD112:RMJ112"/>
    <mergeCell ref="RMK112:RMQ112"/>
    <mergeCell ref="RMR112:RMX112"/>
    <mergeCell ref="RMY112:RNE112"/>
    <mergeCell ref="RNF112:RNL112"/>
    <mergeCell ref="RKU112:RLA112"/>
    <mergeCell ref="RLB112:RLH112"/>
    <mergeCell ref="RLI112:RLO112"/>
    <mergeCell ref="RLP112:RLV112"/>
    <mergeCell ref="RLW112:RMC112"/>
    <mergeCell ref="RJL112:RJR112"/>
    <mergeCell ref="RJS112:RJY112"/>
    <mergeCell ref="RJZ112:RKF112"/>
    <mergeCell ref="RKG112:RKM112"/>
    <mergeCell ref="RKN112:RKT112"/>
    <mergeCell ref="RIC112:RII112"/>
    <mergeCell ref="RIJ112:RIP112"/>
    <mergeCell ref="RIQ112:RIW112"/>
    <mergeCell ref="RIX112:RJD112"/>
    <mergeCell ref="RJE112:RJK112"/>
    <mergeCell ref="RRN112:RRT112"/>
    <mergeCell ref="RRU112:RSA112"/>
    <mergeCell ref="RSB112:RSH112"/>
    <mergeCell ref="RSI112:RSO112"/>
    <mergeCell ref="RSP112:RSV112"/>
    <mergeCell ref="RQE112:RQK112"/>
    <mergeCell ref="RQL112:RQR112"/>
    <mergeCell ref="RQS112:RQY112"/>
    <mergeCell ref="RQZ112:RRF112"/>
    <mergeCell ref="RRG112:RRM112"/>
    <mergeCell ref="ROV112:RPB112"/>
    <mergeCell ref="RPC112:RPI112"/>
    <mergeCell ref="RPJ112:RPP112"/>
    <mergeCell ref="RPQ112:RPW112"/>
    <mergeCell ref="RPX112:RQD112"/>
    <mergeCell ref="RNM112:RNS112"/>
    <mergeCell ref="RNT112:RNZ112"/>
    <mergeCell ref="ROA112:ROG112"/>
    <mergeCell ref="ROH112:RON112"/>
    <mergeCell ref="ROO112:ROU112"/>
    <mergeCell ref="RWX112:RXD112"/>
    <mergeCell ref="RXE112:RXK112"/>
    <mergeCell ref="RXL112:RXR112"/>
    <mergeCell ref="RXS112:RXY112"/>
    <mergeCell ref="RXZ112:RYF112"/>
    <mergeCell ref="RVO112:RVU112"/>
    <mergeCell ref="RVV112:RWB112"/>
    <mergeCell ref="RWC112:RWI112"/>
    <mergeCell ref="RWJ112:RWP112"/>
    <mergeCell ref="RWQ112:RWW112"/>
    <mergeCell ref="RUF112:RUL112"/>
    <mergeCell ref="RUM112:RUS112"/>
    <mergeCell ref="RUT112:RUZ112"/>
    <mergeCell ref="RVA112:RVG112"/>
    <mergeCell ref="RVH112:RVN112"/>
    <mergeCell ref="RSW112:RTC112"/>
    <mergeCell ref="RTD112:RTJ112"/>
    <mergeCell ref="RTK112:RTQ112"/>
    <mergeCell ref="RTR112:RTX112"/>
    <mergeCell ref="RTY112:RUE112"/>
    <mergeCell ref="SCH112:SCN112"/>
    <mergeCell ref="SCO112:SCU112"/>
    <mergeCell ref="SCV112:SDB112"/>
    <mergeCell ref="SDC112:SDI112"/>
    <mergeCell ref="SDJ112:SDP112"/>
    <mergeCell ref="SAY112:SBE112"/>
    <mergeCell ref="SBF112:SBL112"/>
    <mergeCell ref="SBM112:SBS112"/>
    <mergeCell ref="SBT112:SBZ112"/>
    <mergeCell ref="SCA112:SCG112"/>
    <mergeCell ref="RZP112:RZV112"/>
    <mergeCell ref="RZW112:SAC112"/>
    <mergeCell ref="SAD112:SAJ112"/>
    <mergeCell ref="SAK112:SAQ112"/>
    <mergeCell ref="SAR112:SAX112"/>
    <mergeCell ref="RYG112:RYM112"/>
    <mergeCell ref="RYN112:RYT112"/>
    <mergeCell ref="RYU112:RZA112"/>
    <mergeCell ref="RZB112:RZH112"/>
    <mergeCell ref="RZI112:RZO112"/>
    <mergeCell ref="SHR112:SHX112"/>
    <mergeCell ref="SHY112:SIE112"/>
    <mergeCell ref="SIF112:SIL112"/>
    <mergeCell ref="SIM112:SIS112"/>
    <mergeCell ref="SIT112:SIZ112"/>
    <mergeCell ref="SGI112:SGO112"/>
    <mergeCell ref="SGP112:SGV112"/>
    <mergeCell ref="SGW112:SHC112"/>
    <mergeCell ref="SHD112:SHJ112"/>
    <mergeCell ref="SHK112:SHQ112"/>
    <mergeCell ref="SEZ112:SFF112"/>
    <mergeCell ref="SFG112:SFM112"/>
    <mergeCell ref="SFN112:SFT112"/>
    <mergeCell ref="SFU112:SGA112"/>
    <mergeCell ref="SGB112:SGH112"/>
    <mergeCell ref="SDQ112:SDW112"/>
    <mergeCell ref="SDX112:SED112"/>
    <mergeCell ref="SEE112:SEK112"/>
    <mergeCell ref="SEL112:SER112"/>
    <mergeCell ref="SES112:SEY112"/>
    <mergeCell ref="SNB112:SNH112"/>
    <mergeCell ref="SNI112:SNO112"/>
    <mergeCell ref="SNP112:SNV112"/>
    <mergeCell ref="SNW112:SOC112"/>
    <mergeCell ref="SOD112:SOJ112"/>
    <mergeCell ref="SLS112:SLY112"/>
    <mergeCell ref="SLZ112:SMF112"/>
    <mergeCell ref="SMG112:SMM112"/>
    <mergeCell ref="SMN112:SMT112"/>
    <mergeCell ref="SMU112:SNA112"/>
    <mergeCell ref="SKJ112:SKP112"/>
    <mergeCell ref="SKQ112:SKW112"/>
    <mergeCell ref="SKX112:SLD112"/>
    <mergeCell ref="SLE112:SLK112"/>
    <mergeCell ref="SLL112:SLR112"/>
    <mergeCell ref="SJA112:SJG112"/>
    <mergeCell ref="SJH112:SJN112"/>
    <mergeCell ref="SJO112:SJU112"/>
    <mergeCell ref="SJV112:SKB112"/>
    <mergeCell ref="SKC112:SKI112"/>
    <mergeCell ref="SSL112:SSR112"/>
    <mergeCell ref="SSS112:SSY112"/>
    <mergeCell ref="SSZ112:STF112"/>
    <mergeCell ref="STG112:STM112"/>
    <mergeCell ref="STN112:STT112"/>
    <mergeCell ref="SRC112:SRI112"/>
    <mergeCell ref="SRJ112:SRP112"/>
    <mergeCell ref="SRQ112:SRW112"/>
    <mergeCell ref="SRX112:SSD112"/>
    <mergeCell ref="SSE112:SSK112"/>
    <mergeCell ref="SPT112:SPZ112"/>
    <mergeCell ref="SQA112:SQG112"/>
    <mergeCell ref="SQH112:SQN112"/>
    <mergeCell ref="SQO112:SQU112"/>
    <mergeCell ref="SQV112:SRB112"/>
    <mergeCell ref="SOK112:SOQ112"/>
    <mergeCell ref="SOR112:SOX112"/>
    <mergeCell ref="SOY112:SPE112"/>
    <mergeCell ref="SPF112:SPL112"/>
    <mergeCell ref="SPM112:SPS112"/>
    <mergeCell ref="SXV112:SYB112"/>
    <mergeCell ref="SYC112:SYI112"/>
    <mergeCell ref="SYJ112:SYP112"/>
    <mergeCell ref="SYQ112:SYW112"/>
    <mergeCell ref="SYX112:SZD112"/>
    <mergeCell ref="SWM112:SWS112"/>
    <mergeCell ref="SWT112:SWZ112"/>
    <mergeCell ref="SXA112:SXG112"/>
    <mergeCell ref="SXH112:SXN112"/>
    <mergeCell ref="SXO112:SXU112"/>
    <mergeCell ref="SVD112:SVJ112"/>
    <mergeCell ref="SVK112:SVQ112"/>
    <mergeCell ref="SVR112:SVX112"/>
    <mergeCell ref="SVY112:SWE112"/>
    <mergeCell ref="SWF112:SWL112"/>
    <mergeCell ref="STU112:SUA112"/>
    <mergeCell ref="SUB112:SUH112"/>
    <mergeCell ref="SUI112:SUO112"/>
    <mergeCell ref="SUP112:SUV112"/>
    <mergeCell ref="SUW112:SVC112"/>
    <mergeCell ref="TDF112:TDL112"/>
    <mergeCell ref="TDM112:TDS112"/>
    <mergeCell ref="TDT112:TDZ112"/>
    <mergeCell ref="TEA112:TEG112"/>
    <mergeCell ref="TEH112:TEN112"/>
    <mergeCell ref="TBW112:TCC112"/>
    <mergeCell ref="TCD112:TCJ112"/>
    <mergeCell ref="TCK112:TCQ112"/>
    <mergeCell ref="TCR112:TCX112"/>
    <mergeCell ref="TCY112:TDE112"/>
    <mergeCell ref="TAN112:TAT112"/>
    <mergeCell ref="TAU112:TBA112"/>
    <mergeCell ref="TBB112:TBH112"/>
    <mergeCell ref="TBI112:TBO112"/>
    <mergeCell ref="TBP112:TBV112"/>
    <mergeCell ref="SZE112:SZK112"/>
    <mergeCell ref="SZL112:SZR112"/>
    <mergeCell ref="SZS112:SZY112"/>
    <mergeCell ref="SZZ112:TAF112"/>
    <mergeCell ref="TAG112:TAM112"/>
    <mergeCell ref="TIP112:TIV112"/>
    <mergeCell ref="TIW112:TJC112"/>
    <mergeCell ref="TJD112:TJJ112"/>
    <mergeCell ref="TJK112:TJQ112"/>
    <mergeCell ref="TJR112:TJX112"/>
    <mergeCell ref="THG112:THM112"/>
    <mergeCell ref="THN112:THT112"/>
    <mergeCell ref="THU112:TIA112"/>
    <mergeCell ref="TIB112:TIH112"/>
    <mergeCell ref="TII112:TIO112"/>
    <mergeCell ref="TFX112:TGD112"/>
    <mergeCell ref="TGE112:TGK112"/>
    <mergeCell ref="TGL112:TGR112"/>
    <mergeCell ref="TGS112:TGY112"/>
    <mergeCell ref="TGZ112:THF112"/>
    <mergeCell ref="TEO112:TEU112"/>
    <mergeCell ref="TEV112:TFB112"/>
    <mergeCell ref="TFC112:TFI112"/>
    <mergeCell ref="TFJ112:TFP112"/>
    <mergeCell ref="TFQ112:TFW112"/>
    <mergeCell ref="TNZ112:TOF112"/>
    <mergeCell ref="TOG112:TOM112"/>
    <mergeCell ref="TON112:TOT112"/>
    <mergeCell ref="TOU112:TPA112"/>
    <mergeCell ref="TPB112:TPH112"/>
    <mergeCell ref="TMQ112:TMW112"/>
    <mergeCell ref="TMX112:TND112"/>
    <mergeCell ref="TNE112:TNK112"/>
    <mergeCell ref="TNL112:TNR112"/>
    <mergeCell ref="TNS112:TNY112"/>
    <mergeCell ref="TLH112:TLN112"/>
    <mergeCell ref="TLO112:TLU112"/>
    <mergeCell ref="TLV112:TMB112"/>
    <mergeCell ref="TMC112:TMI112"/>
    <mergeCell ref="TMJ112:TMP112"/>
    <mergeCell ref="TJY112:TKE112"/>
    <mergeCell ref="TKF112:TKL112"/>
    <mergeCell ref="TKM112:TKS112"/>
    <mergeCell ref="TKT112:TKZ112"/>
    <mergeCell ref="TLA112:TLG112"/>
    <mergeCell ref="TTJ112:TTP112"/>
    <mergeCell ref="TTQ112:TTW112"/>
    <mergeCell ref="TTX112:TUD112"/>
    <mergeCell ref="TUE112:TUK112"/>
    <mergeCell ref="TUL112:TUR112"/>
    <mergeCell ref="TSA112:TSG112"/>
    <mergeCell ref="TSH112:TSN112"/>
    <mergeCell ref="TSO112:TSU112"/>
    <mergeCell ref="TSV112:TTB112"/>
    <mergeCell ref="TTC112:TTI112"/>
    <mergeCell ref="TQR112:TQX112"/>
    <mergeCell ref="TQY112:TRE112"/>
    <mergeCell ref="TRF112:TRL112"/>
    <mergeCell ref="TRM112:TRS112"/>
    <mergeCell ref="TRT112:TRZ112"/>
    <mergeCell ref="TPI112:TPO112"/>
    <mergeCell ref="TPP112:TPV112"/>
    <mergeCell ref="TPW112:TQC112"/>
    <mergeCell ref="TQD112:TQJ112"/>
    <mergeCell ref="TQK112:TQQ112"/>
    <mergeCell ref="TYT112:TYZ112"/>
    <mergeCell ref="TZA112:TZG112"/>
    <mergeCell ref="TZH112:TZN112"/>
    <mergeCell ref="TZO112:TZU112"/>
    <mergeCell ref="TZV112:UAB112"/>
    <mergeCell ref="TXK112:TXQ112"/>
    <mergeCell ref="TXR112:TXX112"/>
    <mergeCell ref="TXY112:TYE112"/>
    <mergeCell ref="TYF112:TYL112"/>
    <mergeCell ref="TYM112:TYS112"/>
    <mergeCell ref="TWB112:TWH112"/>
    <mergeCell ref="TWI112:TWO112"/>
    <mergeCell ref="TWP112:TWV112"/>
    <mergeCell ref="TWW112:TXC112"/>
    <mergeCell ref="TXD112:TXJ112"/>
    <mergeCell ref="TUS112:TUY112"/>
    <mergeCell ref="TUZ112:TVF112"/>
    <mergeCell ref="TVG112:TVM112"/>
    <mergeCell ref="TVN112:TVT112"/>
    <mergeCell ref="TVU112:TWA112"/>
    <mergeCell ref="UED112:UEJ112"/>
    <mergeCell ref="UEK112:UEQ112"/>
    <mergeCell ref="UER112:UEX112"/>
    <mergeCell ref="UEY112:UFE112"/>
    <mergeCell ref="UFF112:UFL112"/>
    <mergeCell ref="UCU112:UDA112"/>
    <mergeCell ref="UDB112:UDH112"/>
    <mergeCell ref="UDI112:UDO112"/>
    <mergeCell ref="UDP112:UDV112"/>
    <mergeCell ref="UDW112:UEC112"/>
    <mergeCell ref="UBL112:UBR112"/>
    <mergeCell ref="UBS112:UBY112"/>
    <mergeCell ref="UBZ112:UCF112"/>
    <mergeCell ref="UCG112:UCM112"/>
    <mergeCell ref="UCN112:UCT112"/>
    <mergeCell ref="UAC112:UAI112"/>
    <mergeCell ref="UAJ112:UAP112"/>
    <mergeCell ref="UAQ112:UAW112"/>
    <mergeCell ref="UAX112:UBD112"/>
    <mergeCell ref="UBE112:UBK112"/>
    <mergeCell ref="UJN112:UJT112"/>
    <mergeCell ref="UJU112:UKA112"/>
    <mergeCell ref="UKB112:UKH112"/>
    <mergeCell ref="UKI112:UKO112"/>
    <mergeCell ref="UKP112:UKV112"/>
    <mergeCell ref="UIE112:UIK112"/>
    <mergeCell ref="UIL112:UIR112"/>
    <mergeCell ref="UIS112:UIY112"/>
    <mergeCell ref="UIZ112:UJF112"/>
    <mergeCell ref="UJG112:UJM112"/>
    <mergeCell ref="UGV112:UHB112"/>
    <mergeCell ref="UHC112:UHI112"/>
    <mergeCell ref="UHJ112:UHP112"/>
    <mergeCell ref="UHQ112:UHW112"/>
    <mergeCell ref="UHX112:UID112"/>
    <mergeCell ref="UFM112:UFS112"/>
    <mergeCell ref="UFT112:UFZ112"/>
    <mergeCell ref="UGA112:UGG112"/>
    <mergeCell ref="UGH112:UGN112"/>
    <mergeCell ref="UGO112:UGU112"/>
    <mergeCell ref="UOX112:UPD112"/>
    <mergeCell ref="UPE112:UPK112"/>
    <mergeCell ref="UPL112:UPR112"/>
    <mergeCell ref="UPS112:UPY112"/>
    <mergeCell ref="UPZ112:UQF112"/>
    <mergeCell ref="UNO112:UNU112"/>
    <mergeCell ref="UNV112:UOB112"/>
    <mergeCell ref="UOC112:UOI112"/>
    <mergeCell ref="UOJ112:UOP112"/>
    <mergeCell ref="UOQ112:UOW112"/>
    <mergeCell ref="UMF112:UML112"/>
    <mergeCell ref="UMM112:UMS112"/>
    <mergeCell ref="UMT112:UMZ112"/>
    <mergeCell ref="UNA112:UNG112"/>
    <mergeCell ref="UNH112:UNN112"/>
    <mergeCell ref="UKW112:ULC112"/>
    <mergeCell ref="ULD112:ULJ112"/>
    <mergeCell ref="ULK112:ULQ112"/>
    <mergeCell ref="ULR112:ULX112"/>
    <mergeCell ref="ULY112:UME112"/>
    <mergeCell ref="UUH112:UUN112"/>
    <mergeCell ref="UUO112:UUU112"/>
    <mergeCell ref="UUV112:UVB112"/>
    <mergeCell ref="UVC112:UVI112"/>
    <mergeCell ref="UVJ112:UVP112"/>
    <mergeCell ref="USY112:UTE112"/>
    <mergeCell ref="UTF112:UTL112"/>
    <mergeCell ref="UTM112:UTS112"/>
    <mergeCell ref="UTT112:UTZ112"/>
    <mergeCell ref="UUA112:UUG112"/>
    <mergeCell ref="URP112:URV112"/>
    <mergeCell ref="URW112:USC112"/>
    <mergeCell ref="USD112:USJ112"/>
    <mergeCell ref="USK112:USQ112"/>
    <mergeCell ref="USR112:USX112"/>
    <mergeCell ref="UQG112:UQM112"/>
    <mergeCell ref="UQN112:UQT112"/>
    <mergeCell ref="UQU112:URA112"/>
    <mergeCell ref="URB112:URH112"/>
    <mergeCell ref="URI112:URO112"/>
    <mergeCell ref="UZR112:UZX112"/>
    <mergeCell ref="UZY112:VAE112"/>
    <mergeCell ref="VAF112:VAL112"/>
    <mergeCell ref="VAM112:VAS112"/>
    <mergeCell ref="VAT112:VAZ112"/>
    <mergeCell ref="UYI112:UYO112"/>
    <mergeCell ref="UYP112:UYV112"/>
    <mergeCell ref="UYW112:UZC112"/>
    <mergeCell ref="UZD112:UZJ112"/>
    <mergeCell ref="UZK112:UZQ112"/>
    <mergeCell ref="UWZ112:UXF112"/>
    <mergeCell ref="UXG112:UXM112"/>
    <mergeCell ref="UXN112:UXT112"/>
    <mergeCell ref="UXU112:UYA112"/>
    <mergeCell ref="UYB112:UYH112"/>
    <mergeCell ref="UVQ112:UVW112"/>
    <mergeCell ref="UVX112:UWD112"/>
    <mergeCell ref="UWE112:UWK112"/>
    <mergeCell ref="UWL112:UWR112"/>
    <mergeCell ref="UWS112:UWY112"/>
    <mergeCell ref="VFB112:VFH112"/>
    <mergeCell ref="VFI112:VFO112"/>
    <mergeCell ref="VFP112:VFV112"/>
    <mergeCell ref="VFW112:VGC112"/>
    <mergeCell ref="VGD112:VGJ112"/>
    <mergeCell ref="VDS112:VDY112"/>
    <mergeCell ref="VDZ112:VEF112"/>
    <mergeCell ref="VEG112:VEM112"/>
    <mergeCell ref="VEN112:VET112"/>
    <mergeCell ref="VEU112:VFA112"/>
    <mergeCell ref="VCJ112:VCP112"/>
    <mergeCell ref="VCQ112:VCW112"/>
    <mergeCell ref="VCX112:VDD112"/>
    <mergeCell ref="VDE112:VDK112"/>
    <mergeCell ref="VDL112:VDR112"/>
    <mergeCell ref="VBA112:VBG112"/>
    <mergeCell ref="VBH112:VBN112"/>
    <mergeCell ref="VBO112:VBU112"/>
    <mergeCell ref="VBV112:VCB112"/>
    <mergeCell ref="VCC112:VCI112"/>
    <mergeCell ref="VKL112:VKR112"/>
    <mergeCell ref="VKS112:VKY112"/>
    <mergeCell ref="VKZ112:VLF112"/>
    <mergeCell ref="VLG112:VLM112"/>
    <mergeCell ref="VLN112:VLT112"/>
    <mergeCell ref="VJC112:VJI112"/>
    <mergeCell ref="VJJ112:VJP112"/>
    <mergeCell ref="VJQ112:VJW112"/>
    <mergeCell ref="VJX112:VKD112"/>
    <mergeCell ref="VKE112:VKK112"/>
    <mergeCell ref="VHT112:VHZ112"/>
    <mergeCell ref="VIA112:VIG112"/>
    <mergeCell ref="VIH112:VIN112"/>
    <mergeCell ref="VIO112:VIU112"/>
    <mergeCell ref="VIV112:VJB112"/>
    <mergeCell ref="VGK112:VGQ112"/>
    <mergeCell ref="VGR112:VGX112"/>
    <mergeCell ref="VGY112:VHE112"/>
    <mergeCell ref="VHF112:VHL112"/>
    <mergeCell ref="VHM112:VHS112"/>
    <mergeCell ref="VPV112:VQB112"/>
    <mergeCell ref="VQC112:VQI112"/>
    <mergeCell ref="VQJ112:VQP112"/>
    <mergeCell ref="VQQ112:VQW112"/>
    <mergeCell ref="VQX112:VRD112"/>
    <mergeCell ref="VOM112:VOS112"/>
    <mergeCell ref="VOT112:VOZ112"/>
    <mergeCell ref="VPA112:VPG112"/>
    <mergeCell ref="VPH112:VPN112"/>
    <mergeCell ref="VPO112:VPU112"/>
    <mergeCell ref="VND112:VNJ112"/>
    <mergeCell ref="VNK112:VNQ112"/>
    <mergeCell ref="VNR112:VNX112"/>
    <mergeCell ref="VNY112:VOE112"/>
    <mergeCell ref="VOF112:VOL112"/>
    <mergeCell ref="VLU112:VMA112"/>
    <mergeCell ref="VMB112:VMH112"/>
    <mergeCell ref="VMI112:VMO112"/>
    <mergeCell ref="VMP112:VMV112"/>
    <mergeCell ref="VMW112:VNC112"/>
    <mergeCell ref="VVF112:VVL112"/>
    <mergeCell ref="VVM112:VVS112"/>
    <mergeCell ref="VVT112:VVZ112"/>
    <mergeCell ref="VWA112:VWG112"/>
    <mergeCell ref="VWH112:VWN112"/>
    <mergeCell ref="VTW112:VUC112"/>
    <mergeCell ref="VUD112:VUJ112"/>
    <mergeCell ref="VUK112:VUQ112"/>
    <mergeCell ref="VUR112:VUX112"/>
    <mergeCell ref="VUY112:VVE112"/>
    <mergeCell ref="VSN112:VST112"/>
    <mergeCell ref="VSU112:VTA112"/>
    <mergeCell ref="VTB112:VTH112"/>
    <mergeCell ref="VTI112:VTO112"/>
    <mergeCell ref="VTP112:VTV112"/>
    <mergeCell ref="VRE112:VRK112"/>
    <mergeCell ref="VRL112:VRR112"/>
    <mergeCell ref="VRS112:VRY112"/>
    <mergeCell ref="VRZ112:VSF112"/>
    <mergeCell ref="VSG112:VSM112"/>
    <mergeCell ref="WAP112:WAV112"/>
    <mergeCell ref="WAW112:WBC112"/>
    <mergeCell ref="WBD112:WBJ112"/>
    <mergeCell ref="WBK112:WBQ112"/>
    <mergeCell ref="WBR112:WBX112"/>
    <mergeCell ref="VZG112:VZM112"/>
    <mergeCell ref="VZN112:VZT112"/>
    <mergeCell ref="VZU112:WAA112"/>
    <mergeCell ref="WAB112:WAH112"/>
    <mergeCell ref="WAI112:WAO112"/>
    <mergeCell ref="VXX112:VYD112"/>
    <mergeCell ref="VYE112:VYK112"/>
    <mergeCell ref="VYL112:VYR112"/>
    <mergeCell ref="VYS112:VYY112"/>
    <mergeCell ref="VYZ112:VZF112"/>
    <mergeCell ref="VWO112:VWU112"/>
    <mergeCell ref="VWV112:VXB112"/>
    <mergeCell ref="VXC112:VXI112"/>
    <mergeCell ref="VXJ112:VXP112"/>
    <mergeCell ref="VXQ112:VXW112"/>
    <mergeCell ref="WFZ112:WGF112"/>
    <mergeCell ref="WGG112:WGM112"/>
    <mergeCell ref="WGN112:WGT112"/>
    <mergeCell ref="WGU112:WHA112"/>
    <mergeCell ref="WHB112:WHH112"/>
    <mergeCell ref="WEQ112:WEW112"/>
    <mergeCell ref="WEX112:WFD112"/>
    <mergeCell ref="WFE112:WFK112"/>
    <mergeCell ref="WFL112:WFR112"/>
    <mergeCell ref="WFS112:WFY112"/>
    <mergeCell ref="WDH112:WDN112"/>
    <mergeCell ref="WDO112:WDU112"/>
    <mergeCell ref="WDV112:WEB112"/>
    <mergeCell ref="WEC112:WEI112"/>
    <mergeCell ref="WEJ112:WEP112"/>
    <mergeCell ref="WBY112:WCE112"/>
    <mergeCell ref="WCF112:WCL112"/>
    <mergeCell ref="WCM112:WCS112"/>
    <mergeCell ref="WCT112:WCZ112"/>
    <mergeCell ref="WDA112:WDG112"/>
    <mergeCell ref="WLJ112:WLP112"/>
    <mergeCell ref="WLQ112:WLW112"/>
    <mergeCell ref="WLX112:WMD112"/>
    <mergeCell ref="WME112:WMK112"/>
    <mergeCell ref="WML112:WMR112"/>
    <mergeCell ref="WKA112:WKG112"/>
    <mergeCell ref="WKH112:WKN112"/>
    <mergeCell ref="WKO112:WKU112"/>
    <mergeCell ref="WKV112:WLB112"/>
    <mergeCell ref="WLC112:WLI112"/>
    <mergeCell ref="WIR112:WIX112"/>
    <mergeCell ref="WIY112:WJE112"/>
    <mergeCell ref="WJF112:WJL112"/>
    <mergeCell ref="WJM112:WJS112"/>
    <mergeCell ref="WJT112:WJZ112"/>
    <mergeCell ref="WHI112:WHO112"/>
    <mergeCell ref="WHP112:WHV112"/>
    <mergeCell ref="WHW112:WIC112"/>
    <mergeCell ref="WID112:WIJ112"/>
    <mergeCell ref="WIK112:WIQ112"/>
    <mergeCell ref="WQT112:WQZ112"/>
    <mergeCell ref="WRA112:WRG112"/>
    <mergeCell ref="WRH112:WRN112"/>
    <mergeCell ref="WRO112:WRU112"/>
    <mergeCell ref="WRV112:WSB112"/>
    <mergeCell ref="WPK112:WPQ112"/>
    <mergeCell ref="WPR112:WPX112"/>
    <mergeCell ref="WPY112:WQE112"/>
    <mergeCell ref="WQF112:WQL112"/>
    <mergeCell ref="WQM112:WQS112"/>
    <mergeCell ref="WOB112:WOH112"/>
    <mergeCell ref="WOI112:WOO112"/>
    <mergeCell ref="WOP112:WOV112"/>
    <mergeCell ref="WOW112:WPC112"/>
    <mergeCell ref="WPD112:WPJ112"/>
    <mergeCell ref="WMS112:WMY112"/>
    <mergeCell ref="WMZ112:WNF112"/>
    <mergeCell ref="WNG112:WNM112"/>
    <mergeCell ref="WNN112:WNT112"/>
    <mergeCell ref="WNU112:WOA112"/>
    <mergeCell ref="WWR112:WWX112"/>
    <mergeCell ref="WWY112:WXE112"/>
    <mergeCell ref="WXF112:WXL112"/>
    <mergeCell ref="WUU112:WVA112"/>
    <mergeCell ref="WVB112:WVH112"/>
    <mergeCell ref="WVI112:WVO112"/>
    <mergeCell ref="WVP112:WVV112"/>
    <mergeCell ref="WVW112:WWC112"/>
    <mergeCell ref="WTL112:WTR112"/>
    <mergeCell ref="WTS112:WTY112"/>
    <mergeCell ref="WTZ112:WUF112"/>
    <mergeCell ref="WUG112:WUM112"/>
    <mergeCell ref="WUN112:WUT112"/>
    <mergeCell ref="WSC112:WSI112"/>
    <mergeCell ref="WSJ112:WSP112"/>
    <mergeCell ref="WSQ112:WSW112"/>
    <mergeCell ref="WSX112:WTD112"/>
    <mergeCell ref="WTE112:WTK112"/>
    <mergeCell ref="XEF112:XEL112"/>
    <mergeCell ref="XEM112:XES112"/>
    <mergeCell ref="XET112:XEZ112"/>
    <mergeCell ref="XFA112:XFD112"/>
    <mergeCell ref="F113:L113"/>
    <mergeCell ref="XCW112:XDC112"/>
    <mergeCell ref="XDD112:XDJ112"/>
    <mergeCell ref="XDK112:XDQ112"/>
    <mergeCell ref="XDR112:XDX112"/>
    <mergeCell ref="XDY112:XEE112"/>
    <mergeCell ref="XBN112:XBT112"/>
    <mergeCell ref="XBU112:XCA112"/>
    <mergeCell ref="XCB112:XCH112"/>
    <mergeCell ref="XCI112:XCO112"/>
    <mergeCell ref="XCP112:XCV112"/>
    <mergeCell ref="XAE112:XAK112"/>
    <mergeCell ref="XAL112:XAR112"/>
    <mergeCell ref="XAS112:XAY112"/>
    <mergeCell ref="XAZ112:XBF112"/>
    <mergeCell ref="XBG112:XBM112"/>
    <mergeCell ref="WYV112:WZB112"/>
    <mergeCell ref="WZC112:WZI112"/>
    <mergeCell ref="WZJ112:WZP112"/>
    <mergeCell ref="WZQ112:WZW112"/>
    <mergeCell ref="WZX112:XAD112"/>
    <mergeCell ref="WXM112:WXS112"/>
    <mergeCell ref="WXT112:WXZ112"/>
    <mergeCell ref="WYA112:WYG112"/>
    <mergeCell ref="WYH112:WYN112"/>
    <mergeCell ref="WYO112:WYU112"/>
    <mergeCell ref="WWD112:WWJ112"/>
    <mergeCell ref="WWK112:WWQ112"/>
  </mergeCells>
  <hyperlinks>
    <hyperlink ref="H13" r:id="rId1" xr:uid="{9ACA3EFA-8247-4046-BC81-0830095DF622}"/>
  </hyperlinks>
  <printOptions verticalCentered="1"/>
  <pageMargins left="0.25" right="0.25" top="0.75" bottom="0.75" header="0.3" footer="0.3"/>
  <pageSetup paperSize="5" scale="92" fitToHeight="0" orientation="portrait" horizontalDpi="203" verticalDpi="203" r:id="rId2"/>
  <rowBreaks count="4" manualBreakCount="4">
    <brk id="80" min="4" max="12" man="1"/>
    <brk id="126" min="4" max="12" man="1"/>
    <brk id="141" min="4" max="12" man="1"/>
    <brk id="152" min="4" max="12" man="1"/>
  </rowBreaks>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D3820-631B-C04E-BFF4-661ED473A081}">
  <sheetPr codeName="Hoja11"/>
  <dimension ref="B2:M55"/>
  <sheetViews>
    <sheetView showGridLines="0" zoomScaleNormal="100" workbookViewId="0">
      <selection activeCell="B58" sqref="B58"/>
    </sheetView>
  </sheetViews>
  <sheetFormatPr baseColWidth="10" defaultColWidth="11" defaultRowHeight="15.75" x14ac:dyDescent="0.25"/>
  <cols>
    <col min="2" max="2" width="31.375" customWidth="1"/>
    <col min="3" max="3" width="19.375" bestFit="1" customWidth="1"/>
    <col min="4" max="4" width="14.375" customWidth="1"/>
    <col min="5" max="5" width="28.375" customWidth="1"/>
    <col min="6" max="6" width="20.875" customWidth="1"/>
    <col min="7" max="7" width="18.625" customWidth="1"/>
    <col min="8" max="8" width="17.875" customWidth="1"/>
    <col min="9" max="9" width="35.5" bestFit="1" customWidth="1"/>
    <col min="10" max="10" width="40.125" bestFit="1" customWidth="1"/>
    <col min="11" max="11" width="19.375" bestFit="1" customWidth="1"/>
    <col min="12" max="12" width="17.625" customWidth="1"/>
    <col min="13" max="13" width="19.375" customWidth="1"/>
  </cols>
  <sheetData>
    <row r="2" spans="2:13" ht="71.099999999999994" customHeight="1" x14ac:dyDescent="0.25">
      <c r="B2" s="15" t="s">
        <v>2643</v>
      </c>
      <c r="C2" s="16" t="s">
        <v>2644</v>
      </c>
      <c r="D2" s="16" t="s">
        <v>2645</v>
      </c>
      <c r="E2" s="16" t="s">
        <v>2646</v>
      </c>
      <c r="F2" s="16" t="s">
        <v>2647</v>
      </c>
      <c r="G2" s="16" t="s">
        <v>2648</v>
      </c>
      <c r="H2" s="16" t="s">
        <v>2649</v>
      </c>
      <c r="I2" s="16" t="s">
        <v>2650</v>
      </c>
      <c r="J2" s="17" t="s">
        <v>2651</v>
      </c>
      <c r="K2" s="16" t="s">
        <v>2652</v>
      </c>
      <c r="L2" s="16" t="s">
        <v>2653</v>
      </c>
      <c r="M2" s="16" t="s">
        <v>3027</v>
      </c>
    </row>
    <row r="3" spans="2:13" hidden="1" x14ac:dyDescent="0.25">
      <c r="B3" t="s">
        <v>494</v>
      </c>
      <c r="C3" t="s">
        <v>2654</v>
      </c>
      <c r="D3" s="9" t="s">
        <v>2655</v>
      </c>
      <c r="E3" t="s">
        <v>2656</v>
      </c>
      <c r="F3" t="s">
        <v>141</v>
      </c>
      <c r="G3" s="18">
        <v>30232305</v>
      </c>
      <c r="H3">
        <v>3206456821</v>
      </c>
      <c r="I3" s="5" t="s">
        <v>2657</v>
      </c>
      <c r="J3" t="s">
        <v>2658</v>
      </c>
      <c r="K3" t="s">
        <v>2659</v>
      </c>
      <c r="L3" t="s">
        <v>2660</v>
      </c>
    </row>
    <row r="4" spans="2:13" hidden="1" x14ac:dyDescent="0.25">
      <c r="B4" t="s">
        <v>2068</v>
      </c>
      <c r="C4" t="s">
        <v>2654</v>
      </c>
      <c r="D4" s="9" t="s">
        <v>2754</v>
      </c>
      <c r="E4" t="s">
        <v>2755</v>
      </c>
      <c r="F4" t="s">
        <v>141</v>
      </c>
      <c r="G4">
        <v>1094933909</v>
      </c>
      <c r="H4">
        <v>3003151020</v>
      </c>
      <c r="I4" s="5" t="s">
        <v>2137</v>
      </c>
      <c r="J4" t="s">
        <v>2756</v>
      </c>
      <c r="K4" t="s">
        <v>2659</v>
      </c>
      <c r="L4" t="s">
        <v>2660</v>
      </c>
    </row>
    <row r="5" spans="2:13" hidden="1" x14ac:dyDescent="0.25">
      <c r="B5" t="s">
        <v>1</v>
      </c>
      <c r="C5" t="s">
        <v>2654</v>
      </c>
      <c r="D5" s="9" t="s">
        <v>2661</v>
      </c>
      <c r="E5" t="s">
        <v>2662</v>
      </c>
      <c r="F5" t="s">
        <v>141</v>
      </c>
      <c r="G5" s="18">
        <v>3228415</v>
      </c>
      <c r="H5">
        <v>3113002107</v>
      </c>
      <c r="I5" s="5" t="s">
        <v>2663</v>
      </c>
      <c r="J5" t="s">
        <v>2664</v>
      </c>
      <c r="K5" t="s">
        <v>2659</v>
      </c>
      <c r="L5" t="s">
        <v>2660</v>
      </c>
    </row>
    <row r="6" spans="2:13" hidden="1" x14ac:dyDescent="0.25">
      <c r="B6" t="s">
        <v>1923</v>
      </c>
      <c r="C6" t="s">
        <v>2665</v>
      </c>
      <c r="D6" s="9">
        <v>5834289</v>
      </c>
      <c r="G6" s="18"/>
      <c r="H6">
        <v>3242824709</v>
      </c>
      <c r="J6" t="s">
        <v>2666</v>
      </c>
      <c r="K6" t="s">
        <v>2667</v>
      </c>
      <c r="L6" t="s">
        <v>2660</v>
      </c>
    </row>
    <row r="7" spans="2:13" hidden="1" x14ac:dyDescent="0.25">
      <c r="B7" t="s">
        <v>2902</v>
      </c>
      <c r="C7" t="s">
        <v>2678</v>
      </c>
      <c r="D7" s="9">
        <v>24469326</v>
      </c>
      <c r="H7">
        <v>3104204745</v>
      </c>
      <c r="I7" s="5" t="s">
        <v>2944</v>
      </c>
      <c r="J7" t="s">
        <v>2945</v>
      </c>
      <c r="K7" t="s">
        <v>2659</v>
      </c>
      <c r="L7" t="s">
        <v>2660</v>
      </c>
    </row>
    <row r="8" spans="2:13" hidden="1" x14ac:dyDescent="0.25">
      <c r="B8" t="s">
        <v>1039</v>
      </c>
      <c r="C8" t="s">
        <v>2654</v>
      </c>
      <c r="D8" s="9" t="s">
        <v>2668</v>
      </c>
      <c r="E8" t="s">
        <v>2669</v>
      </c>
      <c r="F8" t="s">
        <v>141</v>
      </c>
      <c r="G8" s="18">
        <v>1094952981</v>
      </c>
      <c r="H8">
        <v>3136131371</v>
      </c>
      <c r="I8" s="5" t="s">
        <v>2670</v>
      </c>
      <c r="J8" t="s">
        <v>2671</v>
      </c>
      <c r="K8" t="s">
        <v>2672</v>
      </c>
      <c r="L8" t="s">
        <v>2660</v>
      </c>
    </row>
    <row r="9" spans="2:13" hidden="1" x14ac:dyDescent="0.25">
      <c r="B9" t="s">
        <v>2392</v>
      </c>
      <c r="C9" t="s">
        <v>2654</v>
      </c>
      <c r="D9" s="9">
        <v>901276896</v>
      </c>
      <c r="E9" t="s">
        <v>2769</v>
      </c>
      <c r="F9" t="s">
        <v>141</v>
      </c>
      <c r="G9">
        <v>1018458124</v>
      </c>
      <c r="H9">
        <v>3107256967</v>
      </c>
      <c r="I9" s="5" t="s">
        <v>2770</v>
      </c>
      <c r="J9" t="s">
        <v>2397</v>
      </c>
      <c r="K9" t="s">
        <v>2771</v>
      </c>
      <c r="L9" t="s">
        <v>144</v>
      </c>
    </row>
    <row r="10" spans="2:13" hidden="1" x14ac:dyDescent="0.25">
      <c r="B10" t="s">
        <v>2035</v>
      </c>
      <c r="C10" t="s">
        <v>2654</v>
      </c>
      <c r="D10" s="9" t="s">
        <v>2766</v>
      </c>
      <c r="E10" t="s">
        <v>2742</v>
      </c>
      <c r="F10" t="s">
        <v>141</v>
      </c>
      <c r="G10">
        <v>41941088</v>
      </c>
      <c r="H10">
        <v>3116286373</v>
      </c>
      <c r="I10" s="5" t="s">
        <v>2767</v>
      </c>
      <c r="J10" t="s">
        <v>2768</v>
      </c>
      <c r="K10" t="s">
        <v>2659</v>
      </c>
      <c r="L10" t="s">
        <v>144</v>
      </c>
    </row>
    <row r="11" spans="2:13" hidden="1" x14ac:dyDescent="0.25">
      <c r="B11" t="s">
        <v>980</v>
      </c>
      <c r="C11" t="s">
        <v>2654</v>
      </c>
      <c r="D11" s="9" t="s">
        <v>2673</v>
      </c>
      <c r="E11" t="s">
        <v>2674</v>
      </c>
      <c r="F11" t="s">
        <v>141</v>
      </c>
      <c r="G11" s="18">
        <v>1094927442</v>
      </c>
      <c r="H11">
        <v>3166920036</v>
      </c>
      <c r="I11" s="5" t="s">
        <v>2675</v>
      </c>
      <c r="J11" t="s">
        <v>2676</v>
      </c>
      <c r="K11" t="s">
        <v>2659</v>
      </c>
      <c r="L11" t="s">
        <v>2660</v>
      </c>
    </row>
    <row r="12" spans="2:13" hidden="1" x14ac:dyDescent="0.25">
      <c r="B12" t="s">
        <v>2677</v>
      </c>
      <c r="C12" t="s">
        <v>2678</v>
      </c>
      <c r="D12" s="9">
        <v>24464430</v>
      </c>
      <c r="G12" s="18"/>
      <c r="H12">
        <v>3162844083</v>
      </c>
      <c r="J12" t="s">
        <v>2679</v>
      </c>
      <c r="K12" t="s">
        <v>2659</v>
      </c>
      <c r="L12" t="s">
        <v>2660</v>
      </c>
    </row>
    <row r="13" spans="2:13" hidden="1" x14ac:dyDescent="0.25">
      <c r="B13" t="s">
        <v>2085</v>
      </c>
      <c r="C13" t="s">
        <v>2760</v>
      </c>
      <c r="D13" s="9">
        <v>24568128</v>
      </c>
      <c r="H13">
        <v>3104227783</v>
      </c>
      <c r="I13" s="5" t="s">
        <v>2761</v>
      </c>
      <c r="J13" t="s">
        <v>2762</v>
      </c>
      <c r="K13" t="s">
        <v>2763</v>
      </c>
      <c r="L13" t="s">
        <v>2660</v>
      </c>
    </row>
    <row r="14" spans="2:13" hidden="1" x14ac:dyDescent="0.25">
      <c r="B14" t="s">
        <v>1048</v>
      </c>
      <c r="C14" t="s">
        <v>2654</v>
      </c>
      <c r="D14" s="9" t="s">
        <v>2680</v>
      </c>
      <c r="E14" t="s">
        <v>2681</v>
      </c>
      <c r="F14" t="s">
        <v>141</v>
      </c>
      <c r="G14" s="18">
        <v>1094952981</v>
      </c>
      <c r="H14">
        <v>3148739679</v>
      </c>
      <c r="I14" s="5" t="s">
        <v>2682</v>
      </c>
      <c r="J14" t="s">
        <v>2671</v>
      </c>
      <c r="K14" t="s">
        <v>2659</v>
      </c>
      <c r="L14" t="s">
        <v>144</v>
      </c>
    </row>
    <row r="15" spans="2:13" hidden="1" x14ac:dyDescent="0.25">
      <c r="B15" t="s">
        <v>431</v>
      </c>
      <c r="C15" t="s">
        <v>2654</v>
      </c>
      <c r="D15" s="9" t="s">
        <v>2683</v>
      </c>
      <c r="G15" s="18"/>
      <c r="H15">
        <v>3104527781</v>
      </c>
      <c r="I15" s="5" t="s">
        <v>2684</v>
      </c>
      <c r="J15" t="s">
        <v>2671</v>
      </c>
      <c r="K15" t="s">
        <v>2659</v>
      </c>
      <c r="L15" t="s">
        <v>2660</v>
      </c>
    </row>
    <row r="16" spans="2:13" hidden="1" x14ac:dyDescent="0.25">
      <c r="B16" t="s">
        <v>616</v>
      </c>
      <c r="C16" t="s">
        <v>2654</v>
      </c>
      <c r="D16" s="9" t="s">
        <v>2685</v>
      </c>
      <c r="E16" t="s">
        <v>2686</v>
      </c>
      <c r="F16" t="s">
        <v>141</v>
      </c>
      <c r="G16" s="18">
        <v>1094925612</v>
      </c>
      <c r="H16">
        <v>3147711074</v>
      </c>
      <c r="I16" s="5" t="s">
        <v>2687</v>
      </c>
      <c r="J16" t="s">
        <v>2688</v>
      </c>
      <c r="K16" t="s">
        <v>2659</v>
      </c>
      <c r="L16" t="s">
        <v>2660</v>
      </c>
    </row>
    <row r="17" spans="2:12" hidden="1" x14ac:dyDescent="0.25">
      <c r="B17" t="s">
        <v>732</v>
      </c>
      <c r="C17" t="s">
        <v>2654</v>
      </c>
      <c r="D17" s="9" t="s">
        <v>2689</v>
      </c>
      <c r="E17" t="s">
        <v>2690</v>
      </c>
      <c r="F17" t="s">
        <v>141</v>
      </c>
      <c r="G17" s="22">
        <v>9729550</v>
      </c>
      <c r="H17">
        <v>3003340023</v>
      </c>
      <c r="I17" s="5" t="s">
        <v>1339</v>
      </c>
      <c r="J17" t="s">
        <v>2691</v>
      </c>
      <c r="K17" t="s">
        <v>2659</v>
      </c>
      <c r="L17" t="s">
        <v>144</v>
      </c>
    </row>
    <row r="18" spans="2:12" hidden="1" x14ac:dyDescent="0.25">
      <c r="B18" t="s">
        <v>161</v>
      </c>
      <c r="C18" t="s">
        <v>2654</v>
      </c>
      <c r="D18" s="9" t="s">
        <v>2692</v>
      </c>
      <c r="E18" t="s">
        <v>2693</v>
      </c>
      <c r="F18" t="s">
        <v>141</v>
      </c>
      <c r="G18" s="18">
        <v>7559732</v>
      </c>
      <c r="H18">
        <v>3104517339</v>
      </c>
      <c r="I18" s="5" t="s">
        <v>2996</v>
      </c>
      <c r="J18" t="s">
        <v>2694</v>
      </c>
      <c r="K18" t="s">
        <v>2659</v>
      </c>
      <c r="L18" t="s">
        <v>2660</v>
      </c>
    </row>
    <row r="19" spans="2:12" hidden="1" x14ac:dyDescent="0.25">
      <c r="B19" t="s">
        <v>303</v>
      </c>
      <c r="C19" t="s">
        <v>2654</v>
      </c>
      <c r="D19" s="9" t="s">
        <v>2695</v>
      </c>
      <c r="E19" t="s">
        <v>2696</v>
      </c>
      <c r="F19" t="s">
        <v>141</v>
      </c>
      <c r="G19" s="18">
        <v>41935534</v>
      </c>
      <c r="H19">
        <v>3202031475</v>
      </c>
      <c r="I19" s="5" t="s">
        <v>2697</v>
      </c>
      <c r="J19" t="s">
        <v>2698</v>
      </c>
      <c r="K19" t="s">
        <v>2659</v>
      </c>
      <c r="L19" t="s">
        <v>2660</v>
      </c>
    </row>
    <row r="20" spans="2:12" hidden="1" x14ac:dyDescent="0.25">
      <c r="B20" t="s">
        <v>344</v>
      </c>
      <c r="C20" t="s">
        <v>2678</v>
      </c>
      <c r="D20" s="9">
        <v>7517842</v>
      </c>
      <c r="G20" s="18"/>
      <c r="H20">
        <v>3206839039</v>
      </c>
      <c r="I20" s="5" t="s">
        <v>2699</v>
      </c>
      <c r="J20" t="s">
        <v>2700</v>
      </c>
      <c r="K20" t="s">
        <v>2659</v>
      </c>
      <c r="L20" t="s">
        <v>2660</v>
      </c>
    </row>
    <row r="21" spans="2:12" hidden="1" x14ac:dyDescent="0.25">
      <c r="B21" t="s">
        <v>485</v>
      </c>
      <c r="C21" t="s">
        <v>141</v>
      </c>
      <c r="D21" s="9">
        <v>7546807</v>
      </c>
      <c r="G21" s="18"/>
      <c r="H21">
        <v>3104527781</v>
      </c>
      <c r="I21" s="5" t="s">
        <v>1791</v>
      </c>
      <c r="J21" t="s">
        <v>2671</v>
      </c>
      <c r="K21" t="s">
        <v>2659</v>
      </c>
      <c r="L21" t="s">
        <v>2660</v>
      </c>
    </row>
    <row r="22" spans="2:12" hidden="1" x14ac:dyDescent="0.25">
      <c r="B22" t="s">
        <v>2998</v>
      </c>
      <c r="C22" t="s">
        <v>2654</v>
      </c>
      <c r="D22" s="9" t="s">
        <v>2701</v>
      </c>
      <c r="E22" t="s">
        <v>2702</v>
      </c>
      <c r="F22" t="s">
        <v>141</v>
      </c>
      <c r="G22" s="22">
        <v>19467885</v>
      </c>
      <c r="H22">
        <v>3044572997</v>
      </c>
      <c r="I22" s="5" t="s">
        <v>2703</v>
      </c>
      <c r="J22" t="s">
        <v>2704</v>
      </c>
      <c r="K22" t="s">
        <v>2659</v>
      </c>
      <c r="L22" t="s">
        <v>2660</v>
      </c>
    </row>
    <row r="23" spans="2:12" hidden="1" x14ac:dyDescent="0.25">
      <c r="B23" t="s">
        <v>1027</v>
      </c>
      <c r="C23" t="s">
        <v>2654</v>
      </c>
      <c r="D23" s="9" t="s">
        <v>2705</v>
      </c>
      <c r="E23" t="s">
        <v>2706</v>
      </c>
      <c r="F23" t="s">
        <v>141</v>
      </c>
      <c r="G23" s="18">
        <v>1094885125</v>
      </c>
      <c r="H23">
        <v>3202031475</v>
      </c>
      <c r="I23" s="5" t="s">
        <v>2707</v>
      </c>
      <c r="J23" t="s">
        <v>2708</v>
      </c>
      <c r="K23" t="s">
        <v>2659</v>
      </c>
      <c r="L23" t="s">
        <v>2660</v>
      </c>
    </row>
    <row r="24" spans="2:12" hidden="1" x14ac:dyDescent="0.25">
      <c r="B24" t="s">
        <v>1880</v>
      </c>
      <c r="C24" t="s">
        <v>141</v>
      </c>
      <c r="D24" s="9">
        <v>9808078</v>
      </c>
      <c r="G24" s="18"/>
      <c r="H24">
        <v>3183250408</v>
      </c>
      <c r="I24" s="5" t="s">
        <v>2709</v>
      </c>
      <c r="J24" t="s">
        <v>2710</v>
      </c>
      <c r="K24" t="s">
        <v>2659</v>
      </c>
      <c r="L24" t="s">
        <v>2660</v>
      </c>
    </row>
    <row r="25" spans="2:12" hidden="1" x14ac:dyDescent="0.25">
      <c r="B25" t="s">
        <v>213</v>
      </c>
      <c r="C25" t="s">
        <v>141</v>
      </c>
      <c r="D25" s="9">
        <v>30310872</v>
      </c>
      <c r="G25" s="18"/>
      <c r="H25">
        <v>3136131371</v>
      </c>
      <c r="I25" s="5" t="s">
        <v>1791</v>
      </c>
      <c r="J25" t="s">
        <v>2671</v>
      </c>
      <c r="K25" t="s">
        <v>2659</v>
      </c>
      <c r="L25" t="s">
        <v>2660</v>
      </c>
    </row>
    <row r="26" spans="2:12" hidden="1" x14ac:dyDescent="0.25">
      <c r="B26" t="s">
        <v>848</v>
      </c>
      <c r="C26" t="s">
        <v>2678</v>
      </c>
      <c r="D26" s="9">
        <v>1094966078</v>
      </c>
      <c r="G26" s="18"/>
      <c r="H26">
        <v>3166997590</v>
      </c>
      <c r="J26" t="s">
        <v>2711</v>
      </c>
      <c r="K26" t="s">
        <v>2659</v>
      </c>
      <c r="L26" t="s">
        <v>2660</v>
      </c>
    </row>
    <row r="27" spans="2:12" hidden="1" x14ac:dyDescent="0.25">
      <c r="B27" t="s">
        <v>1616</v>
      </c>
      <c r="C27" t="s">
        <v>2654</v>
      </c>
      <c r="D27" t="s">
        <v>2712</v>
      </c>
      <c r="F27" t="s">
        <v>141</v>
      </c>
      <c r="G27">
        <v>1094966928</v>
      </c>
      <c r="H27">
        <v>3104973840</v>
      </c>
      <c r="I27" t="s">
        <v>2713</v>
      </c>
      <c r="J27" t="s">
        <v>2714</v>
      </c>
      <c r="K27" t="s">
        <v>2715</v>
      </c>
      <c r="L27" t="s">
        <v>2660</v>
      </c>
    </row>
    <row r="28" spans="2:12" hidden="1" x14ac:dyDescent="0.25">
      <c r="B28" t="s">
        <v>1905</v>
      </c>
      <c r="C28" t="s">
        <v>141</v>
      </c>
      <c r="D28" s="9">
        <v>41903314</v>
      </c>
      <c r="G28" s="18"/>
      <c r="H28">
        <v>3155395561</v>
      </c>
      <c r="I28" s="5" t="s">
        <v>2716</v>
      </c>
      <c r="J28" t="s">
        <v>2717</v>
      </c>
      <c r="K28" t="s">
        <v>2715</v>
      </c>
      <c r="L28" t="s">
        <v>2660</v>
      </c>
    </row>
    <row r="29" spans="2:12" hidden="1" x14ac:dyDescent="0.25">
      <c r="B29" t="s">
        <v>2167</v>
      </c>
      <c r="C29" t="s">
        <v>2740</v>
      </c>
      <c r="D29" s="9" t="s">
        <v>2741</v>
      </c>
      <c r="E29" t="s">
        <v>2742</v>
      </c>
      <c r="F29" t="s">
        <v>141</v>
      </c>
      <c r="G29">
        <v>41941088</v>
      </c>
      <c r="H29">
        <v>3188430166</v>
      </c>
      <c r="I29" s="5" t="s">
        <v>2743</v>
      </c>
      <c r="J29" t="s">
        <v>2744</v>
      </c>
      <c r="K29" t="s">
        <v>2659</v>
      </c>
      <c r="L29" t="s">
        <v>2660</v>
      </c>
    </row>
    <row r="30" spans="2:12" hidden="1" x14ac:dyDescent="0.25">
      <c r="B30" t="s">
        <v>224</v>
      </c>
      <c r="C30" t="s">
        <v>2654</v>
      </c>
      <c r="D30" s="9" t="s">
        <v>2718</v>
      </c>
      <c r="E30" t="s">
        <v>2696</v>
      </c>
      <c r="F30" t="s">
        <v>141</v>
      </c>
      <c r="G30" s="18">
        <v>41935534</v>
      </c>
      <c r="H30">
        <v>3202031475</v>
      </c>
      <c r="I30" s="5" t="s">
        <v>2697</v>
      </c>
      <c r="J30" t="s">
        <v>2698</v>
      </c>
      <c r="K30" t="s">
        <v>2659</v>
      </c>
      <c r="L30" t="s">
        <v>2660</v>
      </c>
    </row>
    <row r="31" spans="2:12" hidden="1" x14ac:dyDescent="0.25">
      <c r="B31" t="s">
        <v>1369</v>
      </c>
      <c r="C31" t="s">
        <v>2654</v>
      </c>
      <c r="D31" s="9" t="s">
        <v>2719</v>
      </c>
      <c r="E31" t="s">
        <v>2696</v>
      </c>
      <c r="F31" t="s">
        <v>141</v>
      </c>
      <c r="G31" s="18">
        <v>41935534</v>
      </c>
      <c r="H31">
        <v>3202031475</v>
      </c>
      <c r="I31" s="5" t="s">
        <v>2697</v>
      </c>
      <c r="J31" t="s">
        <v>2720</v>
      </c>
      <c r="K31" t="s">
        <v>2659</v>
      </c>
      <c r="L31" t="s">
        <v>2660</v>
      </c>
    </row>
    <row r="32" spans="2:12" hidden="1" x14ac:dyDescent="0.25">
      <c r="B32" t="s">
        <v>2078</v>
      </c>
      <c r="C32" t="s">
        <v>2757</v>
      </c>
      <c r="D32" s="9">
        <v>31656461</v>
      </c>
      <c r="H32">
        <v>3007073202</v>
      </c>
      <c r="I32" s="5" t="s">
        <v>2758</v>
      </c>
      <c r="J32" t="s">
        <v>2759</v>
      </c>
      <c r="K32" t="s">
        <v>2735</v>
      </c>
      <c r="L32" t="s">
        <v>2660</v>
      </c>
    </row>
    <row r="33" spans="2:13" hidden="1" x14ac:dyDescent="0.25">
      <c r="B33" t="s">
        <v>1985</v>
      </c>
      <c r="C33" t="s">
        <v>2654</v>
      </c>
      <c r="D33" s="9" t="s">
        <v>2750</v>
      </c>
      <c r="E33" t="s">
        <v>2751</v>
      </c>
      <c r="F33" t="s">
        <v>141</v>
      </c>
      <c r="G33">
        <v>52692217</v>
      </c>
      <c r="H33">
        <v>3132080324</v>
      </c>
      <c r="I33" s="5" t="s">
        <v>2752</v>
      </c>
      <c r="J33" t="s">
        <v>2753</v>
      </c>
      <c r="K33" t="s">
        <v>1775</v>
      </c>
      <c r="L33" t="s">
        <v>3028</v>
      </c>
      <c r="M33" s="5" t="s">
        <v>1993</v>
      </c>
    </row>
    <row r="34" spans="2:13" hidden="1" x14ac:dyDescent="0.25">
      <c r="B34" t="s">
        <v>2721</v>
      </c>
      <c r="C34" t="s">
        <v>2654</v>
      </c>
      <c r="D34" s="9" t="s">
        <v>2722</v>
      </c>
      <c r="E34" t="s">
        <v>2723</v>
      </c>
      <c r="F34" t="s">
        <v>141</v>
      </c>
      <c r="G34" s="18">
        <v>41958935</v>
      </c>
      <c r="H34">
        <v>3183250408</v>
      </c>
      <c r="I34" s="5" t="s">
        <v>2724</v>
      </c>
      <c r="J34" t="s">
        <v>2725</v>
      </c>
      <c r="K34" t="s">
        <v>2659</v>
      </c>
      <c r="L34" t="s">
        <v>2660</v>
      </c>
    </row>
    <row r="35" spans="2:13" hidden="1" x14ac:dyDescent="0.25">
      <c r="B35" t="s">
        <v>1762</v>
      </c>
      <c r="C35" t="s">
        <v>2654</v>
      </c>
      <c r="D35" s="9" t="s">
        <v>2736</v>
      </c>
      <c r="E35" t="s">
        <v>2737</v>
      </c>
      <c r="F35" t="s">
        <v>141</v>
      </c>
      <c r="G35" s="22">
        <v>24573310</v>
      </c>
      <c r="H35">
        <v>3147711072</v>
      </c>
      <c r="I35" s="5" t="s">
        <v>2738</v>
      </c>
      <c r="J35" t="s">
        <v>2739</v>
      </c>
      <c r="K35" t="s">
        <v>2715</v>
      </c>
      <c r="L35" t="s">
        <v>2660</v>
      </c>
    </row>
    <row r="36" spans="2:13" hidden="1" x14ac:dyDescent="0.25">
      <c r="B36" t="s">
        <v>2270</v>
      </c>
      <c r="C36" t="s">
        <v>2654</v>
      </c>
      <c r="D36" s="9" t="s">
        <v>2764</v>
      </c>
      <c r="E36" t="s">
        <v>2755</v>
      </c>
      <c r="F36" t="s">
        <v>141</v>
      </c>
      <c r="G36">
        <v>1094933909</v>
      </c>
      <c r="H36">
        <v>3003151020</v>
      </c>
      <c r="I36" s="5" t="s">
        <v>2137</v>
      </c>
      <c r="J36" t="s">
        <v>2765</v>
      </c>
      <c r="K36" t="s">
        <v>2659</v>
      </c>
      <c r="L36" t="s">
        <v>2660</v>
      </c>
    </row>
    <row r="37" spans="2:13" hidden="1" x14ac:dyDescent="0.25">
      <c r="B37" t="s">
        <v>1078</v>
      </c>
      <c r="C37" t="s">
        <v>2654</v>
      </c>
      <c r="D37" s="9" t="s">
        <v>2726</v>
      </c>
      <c r="E37" t="s">
        <v>2727</v>
      </c>
      <c r="F37" t="s">
        <v>141</v>
      </c>
      <c r="G37" s="18">
        <v>1002636970</v>
      </c>
      <c r="H37">
        <v>3104527781</v>
      </c>
      <c r="I37" s="5" t="s">
        <v>2728</v>
      </c>
      <c r="J37" t="s">
        <v>2729</v>
      </c>
      <c r="K37" t="s">
        <v>2659</v>
      </c>
      <c r="L37" t="s">
        <v>2660</v>
      </c>
    </row>
    <row r="38" spans="2:13" hidden="1" x14ac:dyDescent="0.25">
      <c r="B38" t="s">
        <v>272</v>
      </c>
      <c r="C38" t="s">
        <v>2654</v>
      </c>
      <c r="D38" s="9" t="s">
        <v>2730</v>
      </c>
      <c r="E38" t="s">
        <v>2731</v>
      </c>
      <c r="F38" t="s">
        <v>141</v>
      </c>
      <c r="G38" s="18">
        <v>41915946</v>
      </c>
      <c r="H38">
        <v>3178875241</v>
      </c>
      <c r="I38" s="5" t="s">
        <v>263</v>
      </c>
      <c r="J38" t="s">
        <v>2732</v>
      </c>
      <c r="K38" t="s">
        <v>2659</v>
      </c>
      <c r="L38" t="s">
        <v>2660</v>
      </c>
    </row>
    <row r="39" spans="2:13" x14ac:dyDescent="0.25">
      <c r="B39" t="s">
        <v>1184</v>
      </c>
      <c r="C39" t="s">
        <v>141</v>
      </c>
      <c r="D39" s="9">
        <v>1144051879</v>
      </c>
      <c r="G39" s="18"/>
      <c r="H39">
        <v>3223764264</v>
      </c>
      <c r="I39" s="5" t="s">
        <v>2733</v>
      </c>
      <c r="J39" t="s">
        <v>2734</v>
      </c>
      <c r="K39" t="s">
        <v>2735</v>
      </c>
      <c r="L39" t="s">
        <v>2660</v>
      </c>
    </row>
    <row r="40" spans="2:13" hidden="1" x14ac:dyDescent="0.25">
      <c r="B40" t="s">
        <v>1979</v>
      </c>
      <c r="C40" t="s">
        <v>2740</v>
      </c>
      <c r="D40" s="9" t="s">
        <v>2745</v>
      </c>
      <c r="E40" t="s">
        <v>2746</v>
      </c>
      <c r="F40" t="s">
        <v>141</v>
      </c>
      <c r="G40">
        <v>39621006</v>
      </c>
      <c r="H40">
        <v>3003223410</v>
      </c>
      <c r="I40" s="5" t="s">
        <v>2747</v>
      </c>
      <c r="J40" t="s">
        <v>2748</v>
      </c>
      <c r="K40" t="s">
        <v>2749</v>
      </c>
      <c r="L40" t="s">
        <v>2660</v>
      </c>
    </row>
    <row r="41" spans="2:13" hidden="1" x14ac:dyDescent="0.25">
      <c r="D41" s="9"/>
    </row>
    <row r="42" spans="2:13" hidden="1" x14ac:dyDescent="0.25">
      <c r="D42" s="9"/>
    </row>
    <row r="43" spans="2:13" hidden="1" x14ac:dyDescent="0.25">
      <c r="D43" s="9"/>
    </row>
    <row r="44" spans="2:13" hidden="1" x14ac:dyDescent="0.25">
      <c r="D44" s="9"/>
    </row>
    <row r="45" spans="2:13" hidden="1" x14ac:dyDescent="0.25">
      <c r="D45" s="9"/>
    </row>
    <row r="46" spans="2:13" hidden="1" x14ac:dyDescent="0.25">
      <c r="D46" s="9"/>
    </row>
    <row r="47" spans="2:13" hidden="1" x14ac:dyDescent="0.25">
      <c r="D47" s="9"/>
    </row>
    <row r="48" spans="2:13" hidden="1" x14ac:dyDescent="0.25">
      <c r="D48" s="9"/>
    </row>
    <row r="49" spans="4:4" hidden="1" x14ac:dyDescent="0.25">
      <c r="D49" s="9"/>
    </row>
    <row r="50" spans="4:4" hidden="1" x14ac:dyDescent="0.25">
      <c r="D50" s="9"/>
    </row>
    <row r="51" spans="4:4" hidden="1" x14ac:dyDescent="0.25">
      <c r="D51" s="9"/>
    </row>
    <row r="52" spans="4:4" hidden="1" x14ac:dyDescent="0.25">
      <c r="D52" s="9"/>
    </row>
    <row r="53" spans="4:4" hidden="1" x14ac:dyDescent="0.25">
      <c r="D53" s="9"/>
    </row>
    <row r="54" spans="4:4" hidden="1" x14ac:dyDescent="0.25">
      <c r="D54" s="9"/>
    </row>
    <row r="55" spans="4:4" hidden="1" x14ac:dyDescent="0.25">
      <c r="D55" s="9"/>
    </row>
  </sheetData>
  <hyperlinks>
    <hyperlink ref="I11" r:id="rId1" xr:uid="{027C7B7E-B060-8445-9B1B-04E31C05DDCD}"/>
    <hyperlink ref="I3" r:id="rId2" xr:uid="{96136A54-9870-BC47-A82C-2DF2D7F6E4F5}"/>
    <hyperlink ref="I5" r:id="rId3" xr:uid="{F48E8A57-7A14-5C4A-B1DC-23CBC0ABAD11}"/>
    <hyperlink ref="I8" r:id="rId4" xr:uid="{9AB6BC52-C611-8E49-9FC4-27E62E06635D}"/>
    <hyperlink ref="I14" r:id="rId5" xr:uid="{E07793B3-D9D1-2449-89D6-2C8FE168DEB7}"/>
    <hyperlink ref="I16" r:id="rId6" xr:uid="{071332A3-1574-F742-AA2E-F18DD200D804}"/>
    <hyperlink ref="I19" r:id="rId7" xr:uid="{1898442A-C567-B742-A367-99495D5DED47}"/>
    <hyperlink ref="I30" r:id="rId8" xr:uid="{B1A67B6E-4F4A-D149-B012-1F0DF63DD87A}"/>
    <hyperlink ref="I18" r:id="rId9" xr:uid="{578B2D0B-DABC-C840-A954-267DD6C9E207}"/>
    <hyperlink ref="I21" r:id="rId10" xr:uid="{EA9A4E6E-8D6C-1040-92EE-982E5E82AE41}"/>
    <hyperlink ref="I25" r:id="rId11" xr:uid="{962F561B-F135-D644-9EE2-8043F983476A}"/>
    <hyperlink ref="I23" r:id="rId12" xr:uid="{17F0B2AB-F4ED-D34F-993E-3B6A62DEBC1F}"/>
    <hyperlink ref="I24" r:id="rId13" xr:uid="{991A7DDF-4F66-D14A-9AE9-49D8F16ECCB5}"/>
    <hyperlink ref="I28" r:id="rId14" xr:uid="{012A9F05-D71E-0147-9830-FEC94E283126}"/>
    <hyperlink ref="I37" r:id="rId15" xr:uid="{AEC14E2F-C150-FD42-B229-428D55AF3D44}"/>
    <hyperlink ref="I39" r:id="rId16" xr:uid="{ADA39B8D-37BB-CD40-838E-96B130D32CC1}"/>
    <hyperlink ref="I34" r:id="rId17" xr:uid="{9AEA8F6A-F2F8-4E4F-A89E-73F5618953A3}"/>
    <hyperlink ref="I15" r:id="rId18" xr:uid="{BB6D2E5D-D029-5B4F-86DF-C6E0E2464112}"/>
    <hyperlink ref="I20" r:id="rId19" xr:uid="{4616DAFA-103C-7D44-95A6-2FA63847F16B}"/>
    <hyperlink ref="I31" r:id="rId20" xr:uid="{3678144D-5DE5-455C-A985-F36BA8B176FD}"/>
    <hyperlink ref="I35" r:id="rId21" xr:uid="{51BCDBF9-26CF-44B7-B527-5FB0A9595828}"/>
    <hyperlink ref="I33" r:id="rId22" xr:uid="{4D005113-7D52-417F-BC1E-CEE411687919}"/>
    <hyperlink ref="I4" r:id="rId23" xr:uid="{44D65933-EB23-4472-8DD1-A1099F929E25}"/>
    <hyperlink ref="I32" r:id="rId24" xr:uid="{CF80DA62-3089-4832-9B36-6AE04D0D51DB}"/>
    <hyperlink ref="I13" r:id="rId25" xr:uid="{74240BDE-AE79-411E-A563-7156EC6D3241}"/>
    <hyperlink ref="I29" r:id="rId26" xr:uid="{CC54BF7F-2DA7-4300-B775-65B87A3420C8}"/>
    <hyperlink ref="I36" r:id="rId27" xr:uid="{826DEA86-8BB5-4F20-8437-1D38BFDB2269}"/>
    <hyperlink ref="I10" r:id="rId28" xr:uid="{DB8EC242-7B68-40EB-9B81-071B87A18795}"/>
    <hyperlink ref="I38" r:id="rId29" xr:uid="{31AFC9CB-5A9C-DF48-A68B-364B05881988}"/>
    <hyperlink ref="I22" r:id="rId30" display="mailto:gerencia@lacava.com.co" xr:uid="{36235EE4-8927-4C7B-A42B-7E58C9533D60}"/>
    <hyperlink ref="I9" r:id="rId31" xr:uid="{96130025-CE08-4F24-8445-65FBF12A7700}"/>
    <hyperlink ref="I17" r:id="rId32" xr:uid="{4EAC8549-45FC-4C44-8BFD-C79E188B436D}"/>
    <hyperlink ref="I7" r:id="rId33" xr:uid="{88BB7BAE-AE76-4930-AA55-D88E20C145BA}"/>
    <hyperlink ref="M33" r:id="rId34" xr:uid="{299534FA-19FE-453B-9667-5F06CFA8BCC7}"/>
  </hyperlinks>
  <pageMargins left="0.7" right="0.7" top="0.75" bottom="0.75" header="0.3" footer="0.3"/>
  <pageSetup orientation="portrait" r:id="rId35"/>
  <drawing r:id="rId36"/>
  <tableParts count="1">
    <tablePart r:id="rId37"/>
  </tableParts>
  <extLst>
    <ext xmlns:x14="http://schemas.microsoft.com/office/spreadsheetml/2009/9/main" uri="{CCE6A557-97BC-4b89-ADB6-D9C93CAAB3DF}">
      <x14:dataValidations xmlns:xm="http://schemas.microsoft.com/office/excel/2006/main" count="1">
        <x14:dataValidation type="list" allowBlank="1" showInputMessage="1" showErrorMessage="1" xr:uid="{FDA3ECD1-BAE2-E440-A631-C3BE43ED91C8}">
          <x14:formula1>
            <xm:f>'validador '!$B$1:$B$10</xm:f>
          </x14:formula1>
          <xm:sqref>F3:F55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19622-DE69-8B4A-B87D-0B568BE0B3A1}">
  <sheetPr codeName="Hoja12">
    <pageSetUpPr fitToPage="1"/>
  </sheetPr>
  <dimension ref="B2:J48"/>
  <sheetViews>
    <sheetView showGridLines="0" zoomScale="110" zoomScaleNormal="110" workbookViewId="0">
      <selection activeCell="B9" sqref="B9"/>
    </sheetView>
  </sheetViews>
  <sheetFormatPr baseColWidth="10" defaultColWidth="8.875" defaultRowHeight="15.75" x14ac:dyDescent="0.25"/>
  <cols>
    <col min="1" max="1" width="10.125" customWidth="1"/>
    <col min="2" max="2" width="20.875" customWidth="1"/>
    <col min="3" max="3" width="48.375" customWidth="1"/>
    <col min="4" max="4" width="6.125" customWidth="1"/>
    <col min="5" max="5" width="2.625" customWidth="1"/>
    <col min="6" max="6" width="45" style="38" customWidth="1"/>
    <col min="7" max="7" width="2.5" style="38" customWidth="1"/>
    <col min="8" max="8" width="13.5" style="38" customWidth="1"/>
    <col min="9" max="9" width="44.375" style="38" customWidth="1"/>
    <col min="10" max="10" width="2.625" customWidth="1"/>
  </cols>
  <sheetData>
    <row r="2" spans="2:10" ht="21" x14ac:dyDescent="0.25">
      <c r="B2" s="301" t="s">
        <v>2432</v>
      </c>
      <c r="C2" s="302" t="s">
        <v>0</v>
      </c>
      <c r="D2" s="282"/>
    </row>
    <row r="3" spans="2:10" ht="18.75" x14ac:dyDescent="0.25">
      <c r="B3" s="303">
        <v>480</v>
      </c>
      <c r="C3" s="298" t="str">
        <f>VLOOKUP($B$3,Tabla1[#All],31,FALSE)</f>
        <v>Agencia Alquimia S.A.S.</v>
      </c>
      <c r="D3" s="277"/>
    </row>
    <row r="4" spans="2:10" ht="18.75" x14ac:dyDescent="0.3">
      <c r="B4" s="304" t="s">
        <v>2772</v>
      </c>
      <c r="C4" s="299" t="s">
        <v>2773</v>
      </c>
      <c r="D4" s="283"/>
    </row>
    <row r="5" spans="2:10" ht="19.5" thickBot="1" x14ac:dyDescent="0.35">
      <c r="B5" s="304" t="s">
        <v>2498</v>
      </c>
      <c r="C5" s="300">
        <v>45432</v>
      </c>
      <c r="D5" s="284"/>
    </row>
    <row r="6" spans="2:10" x14ac:dyDescent="0.25">
      <c r="E6" s="245"/>
      <c r="F6" s="285"/>
      <c r="G6" s="285"/>
      <c r="H6" s="285"/>
      <c r="I6" s="285"/>
      <c r="J6" s="246"/>
    </row>
    <row r="7" spans="2:10" x14ac:dyDescent="0.25">
      <c r="E7" s="247"/>
      <c r="F7" s="601" t="s">
        <v>2774</v>
      </c>
      <c r="G7" s="601"/>
      <c r="H7" s="601"/>
      <c r="I7" s="601"/>
      <c r="J7" s="248"/>
    </row>
    <row r="8" spans="2:10" x14ac:dyDescent="0.25">
      <c r="B8" s="38"/>
      <c r="C8" s="38"/>
      <c r="D8" s="38"/>
      <c r="E8" s="286"/>
      <c r="F8" s="601"/>
      <c r="G8" s="601"/>
      <c r="H8" s="601"/>
      <c r="I8" s="601"/>
      <c r="J8" s="248"/>
    </row>
    <row r="9" spans="2:10" ht="9.9499999999999993" customHeight="1" x14ac:dyDescent="0.25">
      <c r="B9" s="38"/>
      <c r="C9" s="38"/>
      <c r="D9" s="38"/>
      <c r="E9" s="286"/>
      <c r="F9" s="62"/>
      <c r="G9" s="62"/>
      <c r="H9" s="62"/>
      <c r="I9" s="62"/>
      <c r="J9" s="248"/>
    </row>
    <row r="10" spans="2:10" ht="21" x14ac:dyDescent="0.35">
      <c r="B10" s="38"/>
      <c r="C10" s="38"/>
      <c r="D10" s="38"/>
      <c r="E10" s="286"/>
      <c r="F10" s="305" t="s">
        <v>2477</v>
      </c>
      <c r="G10" s="281"/>
      <c r="H10" s="281"/>
      <c r="I10" s="281"/>
      <c r="J10" s="248"/>
    </row>
    <row r="11" spans="2:10" ht="9.9499999999999993" customHeight="1" x14ac:dyDescent="0.25">
      <c r="B11" s="38"/>
      <c r="C11" s="38"/>
      <c r="D11" s="38"/>
      <c r="E11" s="286"/>
      <c r="F11" s="281"/>
      <c r="G11" s="281"/>
      <c r="H11" s="281"/>
      <c r="I11" s="281"/>
      <c r="J11" s="248"/>
    </row>
    <row r="12" spans="2:10" x14ac:dyDescent="0.25">
      <c r="E12" s="286"/>
      <c r="F12" s="306" t="s">
        <v>2775</v>
      </c>
      <c r="G12" s="307"/>
      <c r="H12" s="607" t="str">
        <f>VLOOKUP($C$3,Tabla2[#All],1,FALSE)</f>
        <v>Agencia Alquimia S.A.S.</v>
      </c>
      <c r="I12" s="607"/>
      <c r="J12" s="248"/>
    </row>
    <row r="13" spans="2:10" ht="3" customHeight="1" x14ac:dyDescent="0.25">
      <c r="E13" s="286"/>
      <c r="F13" s="307"/>
      <c r="G13" s="307"/>
      <c r="H13" s="278"/>
      <c r="I13" s="278"/>
      <c r="J13" s="248"/>
    </row>
    <row r="14" spans="2:10" x14ac:dyDescent="0.25">
      <c r="E14" s="286"/>
      <c r="F14" s="306" t="s">
        <v>2776</v>
      </c>
      <c r="G14" s="307"/>
      <c r="H14" s="607" t="str">
        <f>CONCATENATE(VLOOKUP($C$3,Tabla2[#All],2,FALSE)," ","No. ",VLOOKUP($C$3,Tabla2[#All],3,FALSE))</f>
        <v>NIT. No. 901588861-7</v>
      </c>
      <c r="I14" s="607"/>
      <c r="J14" s="248"/>
    </row>
    <row r="15" spans="2:10" ht="3" customHeight="1" x14ac:dyDescent="0.25">
      <c r="E15" s="286"/>
      <c r="F15" s="307"/>
      <c r="G15" s="307"/>
      <c r="H15" s="278"/>
      <c r="I15" s="278"/>
      <c r="J15" s="248"/>
    </row>
    <row r="16" spans="2:10" x14ac:dyDescent="0.25">
      <c r="E16" s="286"/>
      <c r="F16" s="306" t="s">
        <v>2777</v>
      </c>
      <c r="G16" s="307"/>
      <c r="H16" s="607" t="str">
        <f>IF(ISBLANK(VLOOKUP($C$3,Tabla2[#All], 4, FALSE)), "No aplica", VLOOKUP($C$3,Tabla2[#All], 4, FALSE))</f>
        <v>Sandra Carolina Gutierrez B</v>
      </c>
      <c r="I16" s="607"/>
      <c r="J16" s="248"/>
    </row>
    <row r="17" spans="2:10" ht="3" customHeight="1" x14ac:dyDescent="0.25">
      <c r="E17" s="286"/>
      <c r="F17" s="307"/>
      <c r="G17" s="307"/>
      <c r="H17" s="278"/>
      <c r="I17" s="278"/>
      <c r="J17" s="248"/>
    </row>
    <row r="18" spans="2:10" x14ac:dyDescent="0.25">
      <c r="E18" s="286"/>
      <c r="F18" s="306" t="s">
        <v>2778</v>
      </c>
      <c r="G18" s="307"/>
      <c r="H18" s="607" t="str">
        <f>IF(ISBLANK(VLOOKUP($C$3,Tabla2[#All], 6, FALSE)), "No aplica",CONCATENATE(VLOOKUP($C$3,Tabla2[#All],5,FALSE)," ","No. ",VLOOKUP($C$3,Tabla2[#All],6,FALSE)))</f>
        <v>Cédula de ciudadanía No. 30232305</v>
      </c>
      <c r="I18" s="607"/>
      <c r="J18" s="248"/>
    </row>
    <row r="19" spans="2:10" ht="9.9499999999999993" customHeight="1" x14ac:dyDescent="0.25">
      <c r="B19" s="38"/>
      <c r="C19" s="38"/>
      <c r="D19" s="38"/>
      <c r="E19" s="286"/>
      <c r="F19" s="278"/>
      <c r="G19" s="278"/>
      <c r="H19" s="278"/>
      <c r="I19" s="278"/>
      <c r="J19" s="248"/>
    </row>
    <row r="20" spans="2:10" ht="21" x14ac:dyDescent="0.35">
      <c r="B20" s="38"/>
      <c r="C20" s="38"/>
      <c r="D20" s="38"/>
      <c r="E20" s="286"/>
      <c r="F20" s="608" t="s">
        <v>2482</v>
      </c>
      <c r="G20" s="608"/>
      <c r="H20" s="608"/>
      <c r="I20" s="608"/>
      <c r="J20" s="248"/>
    </row>
    <row r="21" spans="2:10" ht="9.9499999999999993" customHeight="1" x14ac:dyDescent="0.25">
      <c r="B21" s="38"/>
      <c r="C21" s="38"/>
      <c r="D21" s="38"/>
      <c r="E21" s="286"/>
      <c r="F21" s="278"/>
      <c r="G21" s="278"/>
      <c r="H21" s="278"/>
      <c r="I21" s="278"/>
      <c r="J21" s="248"/>
    </row>
    <row r="22" spans="2:10" x14ac:dyDescent="0.25">
      <c r="E22" s="247"/>
      <c r="F22" s="306" t="s">
        <v>2779</v>
      </c>
      <c r="G22" s="307"/>
      <c r="H22" s="603" t="str">
        <f>CONCATENATE(VLOOKUP($B$3,Tabla1[#All],2,FALSE)," ",VLOOKUP($B$3,Tabla1[#All],3,FALSE))</f>
        <v>Diego Ernesto  Guerrero Estupiñan</v>
      </c>
      <c r="I22" s="603"/>
      <c r="J22" s="248"/>
    </row>
    <row r="23" spans="2:10" ht="3" customHeight="1" x14ac:dyDescent="0.25">
      <c r="E23" s="286"/>
      <c r="F23" s="307"/>
      <c r="G23" s="307"/>
      <c r="H23" s="278"/>
      <c r="I23" s="278"/>
      <c r="J23" s="248"/>
    </row>
    <row r="24" spans="2:10" x14ac:dyDescent="0.25">
      <c r="E24" s="247"/>
      <c r="F24" s="306" t="s">
        <v>2780</v>
      </c>
      <c r="G24" s="307"/>
      <c r="H24" s="603" t="str">
        <f>CONCATENATE(VLOOKUP($B$3,Tabla1[#All],4,FALSE)," ","No. ",VLOOKUP($B$3,Tabla1[#All],5,FALSE))</f>
        <v>Cédula de ciudadanía No. 1049606533</v>
      </c>
      <c r="I24" s="603"/>
      <c r="J24" s="248"/>
    </row>
    <row r="25" spans="2:10" ht="9.9499999999999993" customHeight="1" x14ac:dyDescent="0.25">
      <c r="E25" s="247"/>
      <c r="H25" s="288"/>
      <c r="I25" s="288"/>
      <c r="J25" s="248"/>
    </row>
    <row r="26" spans="2:10" ht="21" x14ac:dyDescent="0.35">
      <c r="E26" s="247"/>
      <c r="F26" s="308" t="s">
        <v>2495</v>
      </c>
      <c r="G26" s="288"/>
      <c r="H26" s="288"/>
      <c r="I26" s="288"/>
      <c r="J26" s="248"/>
    </row>
    <row r="27" spans="2:10" ht="9.9499999999999993" customHeight="1" x14ac:dyDescent="0.25">
      <c r="E27" s="247"/>
      <c r="F27" s="288"/>
      <c r="G27" s="288"/>
      <c r="H27" s="288"/>
      <c r="I27" s="288"/>
      <c r="J27" s="248"/>
    </row>
    <row r="28" spans="2:10" x14ac:dyDescent="0.25">
      <c r="E28" s="247"/>
      <c r="F28" s="306" t="s">
        <v>2781</v>
      </c>
      <c r="G28" s="307"/>
      <c r="H28" s="603" t="str">
        <f>C4</f>
        <v>Auxilio de alimentación, movilización y vivienda</v>
      </c>
      <c r="I28" s="603"/>
      <c r="J28" s="248"/>
    </row>
    <row r="29" spans="2:10" ht="3" customHeight="1" x14ac:dyDescent="0.25">
      <c r="E29" s="286"/>
      <c r="F29" s="307"/>
      <c r="G29" s="307"/>
      <c r="H29" s="278"/>
      <c r="I29" s="278"/>
      <c r="J29" s="248"/>
    </row>
    <row r="30" spans="2:10" x14ac:dyDescent="0.25">
      <c r="E30" s="247"/>
      <c r="F30" s="306" t="s">
        <v>126</v>
      </c>
      <c r="G30" s="307"/>
      <c r="H30" s="605">
        <f>VLOOKUP(B3,Tabla1[#All],35,FALSE)</f>
        <v>998000</v>
      </c>
      <c r="I30" s="605"/>
      <c r="J30" s="248"/>
    </row>
    <row r="31" spans="2:10" ht="3" customHeight="1" x14ac:dyDescent="0.25">
      <c r="E31" s="286"/>
      <c r="F31" s="307"/>
      <c r="G31" s="307"/>
      <c r="H31" s="278"/>
      <c r="I31" s="278"/>
      <c r="J31" s="248"/>
    </row>
    <row r="32" spans="2:10" x14ac:dyDescent="0.25">
      <c r="E32" s="247"/>
      <c r="F32" s="306" t="s">
        <v>2782</v>
      </c>
      <c r="G32" s="307"/>
      <c r="H32" s="602">
        <f>C5</f>
        <v>45432</v>
      </c>
      <c r="I32" s="602"/>
      <c r="J32" s="248"/>
    </row>
    <row r="33" spans="5:10" ht="3" customHeight="1" x14ac:dyDescent="0.25">
      <c r="E33" s="286"/>
      <c r="F33" s="307"/>
      <c r="G33" s="307"/>
      <c r="H33" s="278"/>
      <c r="I33" s="278"/>
      <c r="J33" s="248"/>
    </row>
    <row r="34" spans="5:10" x14ac:dyDescent="0.25">
      <c r="E34" s="247"/>
      <c r="F34" s="306" t="s">
        <v>2783</v>
      </c>
      <c r="G34" s="307"/>
      <c r="H34" s="603" t="s">
        <v>2784</v>
      </c>
      <c r="I34" s="603"/>
      <c r="J34" s="248"/>
    </row>
    <row r="35" spans="5:10" ht="9.9499999999999993" customHeight="1" x14ac:dyDescent="0.25">
      <c r="E35" s="247"/>
      <c r="F35" s="279"/>
      <c r="G35" s="279"/>
      <c r="H35" s="279"/>
      <c r="I35" s="279"/>
      <c r="J35" s="248"/>
    </row>
    <row r="36" spans="5:10" ht="363.75" customHeight="1" x14ac:dyDescent="0.25">
      <c r="E36" s="247"/>
      <c r="F36" s="606" t="s">
        <v>2785</v>
      </c>
      <c r="G36" s="606"/>
      <c r="H36" s="606"/>
      <c r="I36" s="606"/>
      <c r="J36" s="248"/>
    </row>
    <row r="37" spans="5:10" ht="9.9499999999999993" customHeight="1" x14ac:dyDescent="0.25">
      <c r="E37" s="247"/>
      <c r="F37" s="79"/>
      <c r="G37" s="79"/>
      <c r="H37" s="79"/>
      <c r="I37" s="79"/>
      <c r="J37" s="248"/>
    </row>
    <row r="38" spans="5:10" ht="31.5" customHeight="1" x14ac:dyDescent="0.25">
      <c r="E38" s="247"/>
      <c r="F38" s="604" t="str">
        <f>CONCATENATE("Para constancia , se firma el presente Otrosí el ",TEXT(H32, "dd mmmm aaaa")," en dos (2) ejemplares del mismo tenor y valor, uno con destino a cada Parte.")</f>
        <v>Para constancia , se firma el presente Otrosí el 20 mayo lunes en dos (2) ejemplares del mismo tenor y valor, uno con destino a cada Parte.</v>
      </c>
      <c r="G38" s="604"/>
      <c r="H38" s="604"/>
      <c r="I38" s="604"/>
      <c r="J38" s="248"/>
    </row>
    <row r="39" spans="5:10" ht="9.9499999999999993" customHeight="1" x14ac:dyDescent="0.25">
      <c r="E39" s="247"/>
      <c r="F39" s="280"/>
      <c r="G39" s="280"/>
      <c r="H39" s="280"/>
      <c r="I39" s="280"/>
      <c r="J39" s="248"/>
    </row>
    <row r="40" spans="5:10" x14ac:dyDescent="0.25">
      <c r="E40" s="247"/>
      <c r="F40" s="289" t="s">
        <v>2510</v>
      </c>
      <c r="G40" s="288"/>
      <c r="H40" s="280"/>
      <c r="I40" s="292" t="s">
        <v>2511</v>
      </c>
      <c r="J40" s="248"/>
    </row>
    <row r="41" spans="5:10" x14ac:dyDescent="0.25">
      <c r="E41" s="247"/>
      <c r="F41" s="290"/>
      <c r="G41" s="280"/>
      <c r="H41" s="280"/>
      <c r="I41" s="293"/>
      <c r="J41" s="248"/>
    </row>
    <row r="42" spans="5:10" x14ac:dyDescent="0.25">
      <c r="E42" s="247"/>
      <c r="F42" s="296" t="s">
        <v>2475</v>
      </c>
      <c r="G42" s="280"/>
      <c r="H42" s="280"/>
      <c r="I42" s="297" t="s">
        <v>2786</v>
      </c>
      <c r="J42" s="248"/>
    </row>
    <row r="43" spans="5:10" x14ac:dyDescent="0.25">
      <c r="E43" s="247"/>
      <c r="F43" s="290" t="str">
        <f>H12</f>
        <v>Agencia Alquimia S.A.S.</v>
      </c>
      <c r="G43" s="280"/>
      <c r="H43" s="280"/>
      <c r="I43" s="294" t="str">
        <f>H22</f>
        <v>Diego Ernesto  Guerrero Estupiñan</v>
      </c>
      <c r="J43" s="248"/>
    </row>
    <row r="44" spans="5:10" x14ac:dyDescent="0.25">
      <c r="E44" s="247"/>
      <c r="F44" s="291" t="str">
        <f>H14</f>
        <v>NIT. No. 901588861-7</v>
      </c>
      <c r="G44" s="280"/>
      <c r="H44" s="280"/>
      <c r="I44" s="295" t="str">
        <f>H24</f>
        <v>Cédula de ciudadanía No. 1049606533</v>
      </c>
      <c r="J44" s="248"/>
    </row>
    <row r="45" spans="5:10" ht="9.9499999999999993" customHeight="1" thickBot="1" x14ac:dyDescent="0.3">
      <c r="E45" s="249"/>
      <c r="F45" s="287"/>
      <c r="G45" s="287"/>
      <c r="H45" s="287"/>
      <c r="I45" s="287"/>
      <c r="J45" s="252"/>
    </row>
    <row r="48" spans="5:10" ht="24" customHeight="1" x14ac:dyDescent="0.25"/>
  </sheetData>
  <mergeCells count="14">
    <mergeCell ref="F7:I8"/>
    <mergeCell ref="H32:I32"/>
    <mergeCell ref="H34:I34"/>
    <mergeCell ref="F38:I38"/>
    <mergeCell ref="H28:I28"/>
    <mergeCell ref="H30:I30"/>
    <mergeCell ref="F36:I36"/>
    <mergeCell ref="H22:I22"/>
    <mergeCell ref="H24:I24"/>
    <mergeCell ref="H12:I12"/>
    <mergeCell ref="H14:I14"/>
    <mergeCell ref="H16:I16"/>
    <mergeCell ref="H18:I18"/>
    <mergeCell ref="F20:I20"/>
  </mergeCells>
  <pageMargins left="0.25" right="0.25" top="0.75" bottom="0.75" header="0.3" footer="0.3"/>
  <pageSetup paperSize="5" scale="86" fitToHeight="0"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9F070C-BA93-164D-B51D-69EA9B41CF1F}">
          <x14:formula1>
            <xm:f>'validador '!$G$13:$G$20</xm:f>
          </x14:formula1>
          <xm:sqref>C4:D4</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DC75F5-2B27-4A4C-BB04-5CDBD4683935}">
  <sheetPr codeName="Hoja20">
    <pageSetUpPr fitToPage="1"/>
  </sheetPr>
  <dimension ref="B1:S106"/>
  <sheetViews>
    <sheetView showGridLines="0" view="pageBreakPreview" zoomScaleNormal="85" zoomScaleSheetLayoutView="100" workbookViewId="0"/>
  </sheetViews>
  <sheetFormatPr baseColWidth="10" defaultColWidth="11" defaultRowHeight="15.75" x14ac:dyDescent="0.25"/>
  <cols>
    <col min="1" max="1" width="12.375" customWidth="1"/>
    <col min="2" max="2" width="16.375" customWidth="1"/>
    <col min="3" max="3" width="24.75" customWidth="1"/>
    <col min="4" max="4" width="5.125" customWidth="1"/>
    <col min="5" max="5" width="1.375" customWidth="1"/>
    <col min="6" max="6" width="24.75" customWidth="1"/>
    <col min="7" max="7" width="1.125" customWidth="1"/>
    <col min="8" max="8" width="25.625" customWidth="1"/>
    <col min="9" max="9" width="1.125" customWidth="1"/>
    <col min="10" max="10" width="23.375" customWidth="1"/>
    <col min="11" max="11" width="1.125" customWidth="1"/>
    <col min="12" max="12" width="23.75" customWidth="1"/>
    <col min="13" max="13" width="2.375" customWidth="1"/>
    <col min="14" max="14" width="28.125" customWidth="1"/>
    <col min="15" max="19" width="16.5" customWidth="1"/>
  </cols>
  <sheetData>
    <row r="1" spans="2:19" ht="16.5" thickBot="1" x14ac:dyDescent="0.3"/>
    <row r="2" spans="2:19" x14ac:dyDescent="0.25">
      <c r="B2" s="255" t="s">
        <v>2432</v>
      </c>
      <c r="C2" s="256" t="s">
        <v>0</v>
      </c>
      <c r="E2" s="569"/>
      <c r="F2" s="569"/>
      <c r="G2" s="381"/>
      <c r="H2" s="381"/>
      <c r="I2" s="381"/>
      <c r="J2" s="381"/>
      <c r="K2" s="381"/>
      <c r="L2" s="381"/>
      <c r="M2" s="382"/>
    </row>
    <row r="3" spans="2:19" ht="24" thickBot="1" x14ac:dyDescent="0.3">
      <c r="B3" s="254">
        <v>420</v>
      </c>
      <c r="C3" s="366" t="str">
        <f>VLOOKUP($B$3,Tabla1[#All],31,FALSE)</f>
        <v>Edificio Clínica Central del Quindío</v>
      </c>
      <c r="D3" s="218"/>
      <c r="E3" s="377"/>
      <c r="F3" s="571" t="s">
        <v>2774</v>
      </c>
      <c r="G3" s="571"/>
      <c r="H3" s="571"/>
      <c r="I3" s="571"/>
      <c r="J3" s="571"/>
      <c r="K3" s="571"/>
      <c r="L3" s="571"/>
      <c r="M3" s="378"/>
    </row>
    <row r="4" spans="2:19" ht="9.9499999999999993" customHeight="1" x14ac:dyDescent="0.25">
      <c r="D4" s="219"/>
      <c r="E4" s="377"/>
      <c r="F4" s="383"/>
      <c r="G4" s="330"/>
      <c r="H4" s="330"/>
      <c r="I4" s="330"/>
      <c r="J4" s="330"/>
      <c r="K4" s="330"/>
      <c r="L4" s="330"/>
      <c r="M4" s="378"/>
    </row>
    <row r="5" spans="2:19" ht="20.25" customHeight="1" x14ac:dyDescent="0.25">
      <c r="E5" s="377"/>
      <c r="F5" s="331" t="s">
        <v>2477</v>
      </c>
      <c r="G5" s="330"/>
      <c r="H5" s="330"/>
      <c r="I5" s="330"/>
      <c r="J5" s="330"/>
      <c r="K5" s="330"/>
      <c r="L5" s="330"/>
      <c r="M5" s="378"/>
    </row>
    <row r="6" spans="2:19" ht="9.9499999999999993" customHeight="1" x14ac:dyDescent="0.25">
      <c r="E6" s="377"/>
      <c r="F6" s="330"/>
      <c r="G6" s="330"/>
      <c r="H6" s="330"/>
      <c r="I6" s="330"/>
      <c r="J6" s="330"/>
      <c r="K6" s="330"/>
      <c r="L6" s="330"/>
      <c r="M6" s="378"/>
    </row>
    <row r="7" spans="2:19" ht="18" customHeight="1" x14ac:dyDescent="0.25">
      <c r="E7" s="318"/>
      <c r="F7" s="224" t="s">
        <v>2478</v>
      </c>
      <c r="G7" s="332"/>
      <c r="H7" s="563" t="str">
        <f>VLOOKUP($C$3,Tabla2[#All],1,FALSE)</f>
        <v>Edificio Clínica Central del Quindío</v>
      </c>
      <c r="I7" s="563"/>
      <c r="J7" s="563"/>
      <c r="K7" s="563"/>
      <c r="L7" s="593"/>
      <c r="M7" s="378"/>
      <c r="R7" s="10"/>
      <c r="S7" s="10"/>
    </row>
    <row r="8" spans="2:19" ht="2.85" customHeight="1" x14ac:dyDescent="0.25">
      <c r="E8" s="318"/>
      <c r="F8" s="222"/>
      <c r="G8" s="332"/>
      <c r="H8" s="221"/>
      <c r="I8" s="221"/>
      <c r="J8" s="221"/>
      <c r="K8" s="221"/>
      <c r="L8" s="221"/>
      <c r="M8" s="378"/>
      <c r="R8" s="10"/>
      <c r="S8" s="10"/>
    </row>
    <row r="9" spans="2:19" ht="15" customHeight="1" x14ac:dyDescent="0.25">
      <c r="E9" s="379"/>
      <c r="F9" s="224" t="s">
        <v>2457</v>
      </c>
      <c r="G9" s="332"/>
      <c r="H9" s="236" t="str">
        <f>VLOOKUP($C$3,Tabla2[#All],2,FALSE)</f>
        <v>NIT.</v>
      </c>
      <c r="I9" s="223"/>
      <c r="J9" s="235" t="s">
        <v>2458</v>
      </c>
      <c r="K9" s="223"/>
      <c r="L9" s="237" t="str">
        <f>VLOOKUP($C$3,Tabla2[#All],3,FALSE)</f>
        <v>800249483-6</v>
      </c>
      <c r="M9" s="378"/>
      <c r="R9" s="10"/>
      <c r="S9" s="10"/>
    </row>
    <row r="10" spans="2:19" ht="2.85" customHeight="1" x14ac:dyDescent="0.25">
      <c r="E10" s="379"/>
      <c r="F10" s="222"/>
      <c r="G10" s="332"/>
      <c r="H10" s="221"/>
      <c r="I10" s="221"/>
      <c r="J10" s="221"/>
      <c r="K10" s="221"/>
      <c r="L10" s="221"/>
      <c r="M10" s="378"/>
      <c r="R10" s="10"/>
      <c r="S10" s="10"/>
    </row>
    <row r="11" spans="2:19" x14ac:dyDescent="0.25">
      <c r="E11" s="377"/>
      <c r="F11" s="224" t="s">
        <v>2479</v>
      </c>
      <c r="G11" s="332"/>
      <c r="H11" s="563" t="str">
        <f>IF(ISBLANK(VLOOKUP($C$3, Tabla2[#All], 4, FALSE)), "No aplica", VLOOKUP($C$3, Tabla2[#All], 4, FALSE))</f>
        <v>Paola Obando Rua</v>
      </c>
      <c r="I11" s="563"/>
      <c r="J11" s="563"/>
      <c r="K11" s="563"/>
      <c r="L11" s="593"/>
      <c r="M11" s="378"/>
      <c r="R11" s="10"/>
      <c r="S11" s="10"/>
    </row>
    <row r="12" spans="2:19" ht="2.85" customHeight="1" x14ac:dyDescent="0.25">
      <c r="E12" s="377"/>
      <c r="F12" s="222"/>
      <c r="G12" s="332"/>
      <c r="H12" s="221"/>
      <c r="I12" s="221"/>
      <c r="J12" s="221"/>
      <c r="K12" s="221"/>
      <c r="L12" s="221"/>
      <c r="M12" s="378"/>
      <c r="R12" s="10"/>
      <c r="S12" s="10"/>
    </row>
    <row r="13" spans="2:19" ht="15" customHeight="1" x14ac:dyDescent="0.25">
      <c r="E13" s="377"/>
      <c r="F13" s="224" t="s">
        <v>2480</v>
      </c>
      <c r="G13" s="332"/>
      <c r="H13" s="236" t="str">
        <f>IF(ISBLANK(VLOOKUP($C$3, Tabla2[#All], 6, FALSE)), "No aplica",CONCATENATE(VLOOKUP($C$3,Tabla2[#All],5,FALSE)))</f>
        <v>Cédula de ciudadanía</v>
      </c>
      <c r="I13" s="223"/>
      <c r="J13" s="235" t="s">
        <v>2458</v>
      </c>
      <c r="K13" s="223"/>
      <c r="L13" s="237" t="str">
        <f>TEXT(VLOOKUP($C$3,Tabla2[#All],6,FALSE),"###.##")</f>
        <v>41941088.</v>
      </c>
      <c r="M13" s="378"/>
      <c r="R13" s="10"/>
      <c r="S13" s="10"/>
    </row>
    <row r="14" spans="2:19" ht="2.85" customHeight="1" x14ac:dyDescent="0.25">
      <c r="E14" s="377"/>
      <c r="F14" s="222"/>
      <c r="G14" s="332"/>
      <c r="H14" s="221"/>
      <c r="I14" s="221"/>
      <c r="J14" s="221"/>
      <c r="K14" s="221"/>
      <c r="L14" s="221"/>
      <c r="M14" s="378"/>
      <c r="R14" s="10"/>
      <c r="S14" s="10"/>
    </row>
    <row r="15" spans="2:19" x14ac:dyDescent="0.25">
      <c r="B15" s="20"/>
      <c r="E15" s="377"/>
      <c r="F15" s="224" t="s">
        <v>2481</v>
      </c>
      <c r="G15" s="332"/>
      <c r="H15" s="566">
        <f>VLOOKUP($C$3,Tabla2[#All],7,FALSE)</f>
        <v>3116286373</v>
      </c>
      <c r="I15" s="566"/>
      <c r="J15" s="566"/>
      <c r="K15" s="566"/>
      <c r="L15" s="594"/>
      <c r="M15" s="378"/>
      <c r="R15" s="10"/>
      <c r="S15" s="10"/>
    </row>
    <row r="16" spans="2:19" ht="2.85" customHeight="1" x14ac:dyDescent="0.25">
      <c r="B16" s="20"/>
      <c r="E16" s="377"/>
      <c r="F16" s="222"/>
      <c r="G16" s="332"/>
      <c r="H16" s="333"/>
      <c r="I16" s="333"/>
      <c r="J16" s="333"/>
      <c r="K16" s="333"/>
      <c r="L16" s="333"/>
      <c r="M16" s="378"/>
      <c r="R16" s="10"/>
      <c r="S16" s="10"/>
    </row>
    <row r="17" spans="5:19" x14ac:dyDescent="0.25">
      <c r="E17" s="377"/>
      <c r="F17" s="224" t="s">
        <v>107</v>
      </c>
      <c r="G17" s="332"/>
      <c r="H17" s="563" t="str">
        <f>VLOOKUP($C$3,Tabla2[#All],8,FALSE)</f>
        <v>edificioclinicacentralq@gmail.com</v>
      </c>
      <c r="I17" s="563"/>
      <c r="J17" s="563"/>
      <c r="K17" s="563"/>
      <c r="L17" s="593"/>
      <c r="M17" s="378"/>
      <c r="R17" s="10"/>
      <c r="S17" s="10"/>
    </row>
    <row r="18" spans="5:19" ht="2.85" customHeight="1" x14ac:dyDescent="0.25">
      <c r="E18" s="377"/>
      <c r="F18" s="222"/>
      <c r="G18" s="332"/>
      <c r="H18" s="221"/>
      <c r="I18" s="221"/>
      <c r="J18" s="221"/>
      <c r="K18" s="221"/>
      <c r="L18" s="221"/>
      <c r="M18" s="378"/>
      <c r="R18" s="10"/>
      <c r="S18" s="10"/>
    </row>
    <row r="19" spans="5:19" x14ac:dyDescent="0.25">
      <c r="E19" s="377"/>
      <c r="F19" s="224" t="s">
        <v>114</v>
      </c>
      <c r="G19" s="332"/>
      <c r="H19" s="563" t="str">
        <f>VLOOKUP($C$3,Tabla2[#All],9,FALSE)</f>
        <v>Cr. 13 1 Norte 35</v>
      </c>
      <c r="I19" s="563"/>
      <c r="J19" s="563"/>
      <c r="K19" s="563"/>
      <c r="L19" s="593"/>
      <c r="M19" s="378"/>
      <c r="R19" s="10"/>
      <c r="S19" s="10"/>
    </row>
    <row r="20" spans="5:19" ht="2.85" customHeight="1" x14ac:dyDescent="0.25">
      <c r="E20" s="377"/>
      <c r="F20" s="221"/>
      <c r="G20" s="221"/>
      <c r="H20" s="221"/>
      <c r="I20" s="221"/>
      <c r="J20" s="221"/>
      <c r="K20" s="221"/>
      <c r="L20" s="221"/>
      <c r="M20" s="378"/>
      <c r="R20" s="10"/>
      <c r="S20" s="10"/>
    </row>
    <row r="21" spans="5:19" ht="15" customHeight="1" x14ac:dyDescent="0.25">
      <c r="E21" s="377"/>
      <c r="F21" s="334" t="s">
        <v>2482</v>
      </c>
      <c r="G21" s="335"/>
      <c r="H21" s="335"/>
      <c r="I21" s="335"/>
      <c r="J21" s="335"/>
      <c r="K21" s="335"/>
      <c r="L21" s="335"/>
      <c r="M21" s="378"/>
      <c r="R21" s="10"/>
      <c r="S21" s="10"/>
    </row>
    <row r="22" spans="5:19" ht="2.85" customHeight="1" x14ac:dyDescent="0.25">
      <c r="E22" s="377"/>
      <c r="F22" s="221"/>
      <c r="G22" s="221"/>
      <c r="H22" s="221"/>
      <c r="I22" s="221"/>
      <c r="J22" s="221"/>
      <c r="K22" s="221"/>
      <c r="L22" s="221"/>
      <c r="M22" s="378"/>
      <c r="R22" s="10"/>
      <c r="S22" s="10"/>
    </row>
    <row r="23" spans="5:19" x14ac:dyDescent="0.25">
      <c r="E23" s="377"/>
      <c r="F23" s="224" t="s">
        <v>2483</v>
      </c>
      <c r="G23" s="332"/>
      <c r="H23" s="543" t="str">
        <f>CONCATENATE(VLOOKUP($B$3,Tabla1[#All],2,FALSE)," ",VLOOKUP($B$3,Tabla1[#All],3,FALSE))</f>
        <v>Albeiro  Cardona Herrera</v>
      </c>
      <c r="I23" s="543"/>
      <c r="J23" s="543"/>
      <c r="K23" s="543"/>
      <c r="L23" s="609"/>
      <c r="M23" s="378"/>
      <c r="R23" s="10"/>
      <c r="S23" s="10"/>
    </row>
    <row r="24" spans="5:19" ht="2.85" customHeight="1" x14ac:dyDescent="0.25">
      <c r="E24" s="377"/>
      <c r="F24" s="222"/>
      <c r="G24" s="332"/>
      <c r="H24" s="220"/>
      <c r="I24" s="220"/>
      <c r="J24" s="220"/>
      <c r="K24" s="220"/>
      <c r="L24" s="220"/>
      <c r="M24" s="378"/>
      <c r="R24" s="10"/>
      <c r="S24" s="10"/>
    </row>
    <row r="25" spans="5:19" ht="15.75" customHeight="1" x14ac:dyDescent="0.25">
      <c r="E25" s="377"/>
      <c r="F25" s="224" t="s">
        <v>2484</v>
      </c>
      <c r="G25" s="332"/>
      <c r="H25" s="229" t="str">
        <f>VLOOKUP($B$3,Tabla1[#All],4,FALSE)</f>
        <v>Cédula de ciudadanía</v>
      </c>
      <c r="I25" s="222"/>
      <c r="J25" s="235" t="s">
        <v>2458</v>
      </c>
      <c r="K25" s="222"/>
      <c r="L25" s="229" t="str">
        <f>TEXT(VLOOKUP($B$3,Tabla1[#All],5,FALSE),"###.##")</f>
        <v>9857134.</v>
      </c>
      <c r="M25" s="378"/>
      <c r="R25" s="10"/>
      <c r="S25" s="10"/>
    </row>
    <row r="26" spans="5:19" ht="2.85" customHeight="1" x14ac:dyDescent="0.25">
      <c r="E26" s="377"/>
      <c r="F26" s="222"/>
      <c r="G26" s="332"/>
      <c r="H26" s="220"/>
      <c r="I26" s="220"/>
      <c r="J26" s="220"/>
      <c r="K26" s="220"/>
      <c r="L26" s="220"/>
      <c r="M26" s="378"/>
      <c r="R26" s="10"/>
      <c r="S26" s="10"/>
    </row>
    <row r="27" spans="5:19" x14ac:dyDescent="0.25">
      <c r="E27" s="377"/>
      <c r="F27" s="224" t="s">
        <v>2485</v>
      </c>
      <c r="G27" s="332"/>
      <c r="H27" s="543" t="str">
        <f>VLOOKUP($B$3,Tabla1[#All],22,FALSE)</f>
        <v>Barrio Palmares del Recreo, Mz C casa 29</v>
      </c>
      <c r="I27" s="543"/>
      <c r="J27" s="543"/>
      <c r="K27" s="543"/>
      <c r="L27" s="609"/>
      <c r="M27" s="378"/>
      <c r="N27" t="s">
        <v>2435</v>
      </c>
      <c r="R27" s="10"/>
      <c r="S27" s="10"/>
    </row>
    <row r="28" spans="5:19" ht="2.85" customHeight="1" x14ac:dyDescent="0.25">
      <c r="E28" s="377"/>
      <c r="F28" s="222"/>
      <c r="G28" s="332"/>
      <c r="H28" s="220"/>
      <c r="I28" s="220"/>
      <c r="J28" s="220"/>
      <c r="K28" s="220"/>
      <c r="L28" s="220"/>
      <c r="M28" s="378"/>
      <c r="R28" s="10"/>
      <c r="S28" s="10"/>
    </row>
    <row r="29" spans="5:19" x14ac:dyDescent="0.25">
      <c r="E29" s="377"/>
      <c r="F29" s="224" t="s">
        <v>2486</v>
      </c>
      <c r="G29" s="332"/>
      <c r="H29" s="429">
        <f>VLOOKUP($B$3,Tabla1[#All],23,FALSE)</f>
        <v>3116267145</v>
      </c>
      <c r="I29" s="431"/>
      <c r="J29" s="224" t="s">
        <v>2992</v>
      </c>
      <c r="K29" s="431"/>
      <c r="L29" s="430">
        <v>6067384838</v>
      </c>
      <c r="M29" s="378"/>
      <c r="R29" s="10"/>
      <c r="S29" s="10"/>
    </row>
    <row r="30" spans="5:19" ht="2.85" customHeight="1" x14ac:dyDescent="0.25">
      <c r="E30" s="377"/>
      <c r="F30" s="222"/>
      <c r="G30" s="332"/>
      <c r="H30" s="336"/>
      <c r="I30" s="336"/>
      <c r="J30" s="336"/>
      <c r="K30" s="336"/>
      <c r="L30" s="336"/>
      <c r="M30" s="378"/>
      <c r="R30" s="10"/>
      <c r="S30" s="10"/>
    </row>
    <row r="31" spans="5:19" x14ac:dyDescent="0.25">
      <c r="E31" s="377"/>
      <c r="F31" s="224" t="s">
        <v>107</v>
      </c>
      <c r="G31" s="332"/>
      <c r="H31" s="543">
        <f>VLOOKUP($B$3,Tabla1[#All],15,FALSE)</f>
        <v>0</v>
      </c>
      <c r="I31" s="543"/>
      <c r="J31" s="543"/>
      <c r="K31" s="543"/>
      <c r="L31" s="609"/>
      <c r="M31" s="378"/>
      <c r="R31" s="10"/>
      <c r="S31" s="10"/>
    </row>
    <row r="32" spans="5:19" ht="2.85" customHeight="1" x14ac:dyDescent="0.25">
      <c r="E32" s="377"/>
      <c r="F32" s="222"/>
      <c r="G32" s="332"/>
      <c r="H32" s="220"/>
      <c r="I32" s="220"/>
      <c r="J32" s="220"/>
      <c r="K32" s="220"/>
      <c r="L32" s="220"/>
      <c r="M32" s="378"/>
      <c r="R32" s="10"/>
      <c r="S32" s="10"/>
    </row>
    <row r="33" spans="5:19" x14ac:dyDescent="0.25">
      <c r="E33" s="377"/>
      <c r="F33" s="224" t="s">
        <v>2487</v>
      </c>
      <c r="G33" s="332"/>
      <c r="H33" s="551">
        <f>VLOOKUP($B$3,Tabla1[#All],21,FALSE)</f>
        <v>0</v>
      </c>
      <c r="I33" s="551"/>
      <c r="J33" s="551"/>
      <c r="K33" s="551"/>
      <c r="L33" s="610"/>
      <c r="M33" s="378"/>
      <c r="R33" s="10"/>
      <c r="S33" s="10"/>
    </row>
    <row r="34" spans="5:19" ht="2.85" customHeight="1" x14ac:dyDescent="0.25">
      <c r="E34" s="377"/>
      <c r="F34" s="222"/>
      <c r="G34" s="332"/>
      <c r="H34" s="337"/>
      <c r="I34" s="337"/>
      <c r="J34" s="337"/>
      <c r="K34" s="337"/>
      <c r="L34" s="337"/>
      <c r="M34" s="378"/>
      <c r="R34" s="10"/>
      <c r="S34" s="10"/>
    </row>
    <row r="35" spans="5:19" x14ac:dyDescent="0.25">
      <c r="E35" s="377"/>
      <c r="F35" s="549" t="s">
        <v>2488</v>
      </c>
      <c r="G35" s="335"/>
      <c r="H35" s="226" t="s">
        <v>2489</v>
      </c>
      <c r="I35" s="338"/>
      <c r="J35" s="226" t="s">
        <v>2490</v>
      </c>
      <c r="K35" s="338"/>
      <c r="L35" s="226" t="s">
        <v>2491</v>
      </c>
      <c r="M35" s="378"/>
      <c r="R35" s="10"/>
      <c r="S35" s="10"/>
    </row>
    <row r="36" spans="5:19" ht="15.75" customHeight="1" x14ac:dyDescent="0.25">
      <c r="E36" s="377"/>
      <c r="F36" s="549"/>
      <c r="G36" s="335"/>
      <c r="H36" s="227">
        <f>VLOOKUP($B$3,Tabla1[#All],28,FALSE)</f>
        <v>0</v>
      </c>
      <c r="I36" s="338"/>
      <c r="J36" s="227">
        <f>VLOOKUP($B$3,Tabla1[#All],29,FALSE)</f>
        <v>0</v>
      </c>
      <c r="K36" s="338"/>
      <c r="L36" s="227" t="str">
        <f>IF(ISBLANK(VLOOKUP($B$3,Tabla1[#All],30,FALSE)), "No aplica", VLOOKUP($B$3,Tabla1[#All],30,FALSE))</f>
        <v>No aplica</v>
      </c>
      <c r="M36" s="378"/>
      <c r="R36" s="10"/>
      <c r="S36" s="10"/>
    </row>
    <row r="37" spans="5:19" ht="2.85" customHeight="1" x14ac:dyDescent="0.25">
      <c r="E37" s="377"/>
      <c r="F37" s="220"/>
      <c r="G37" s="335"/>
      <c r="H37" s="338"/>
      <c r="I37" s="338"/>
      <c r="J37" s="338"/>
      <c r="K37" s="338"/>
      <c r="L37" s="338"/>
      <c r="M37" s="378"/>
      <c r="R37" s="10"/>
      <c r="S37" s="10"/>
    </row>
    <row r="38" spans="5:19" x14ac:dyDescent="0.25">
      <c r="E38" s="377"/>
      <c r="F38" s="549" t="s">
        <v>2492</v>
      </c>
      <c r="G38" s="335"/>
      <c r="H38" s="226" t="s">
        <v>110</v>
      </c>
      <c r="I38" s="338"/>
      <c r="J38" s="226" t="s">
        <v>2493</v>
      </c>
      <c r="K38" s="338"/>
      <c r="L38" s="226" t="s">
        <v>2494</v>
      </c>
      <c r="M38" s="378"/>
      <c r="R38" s="10"/>
      <c r="S38" s="10"/>
    </row>
    <row r="39" spans="5:19" x14ac:dyDescent="0.25">
      <c r="E39" s="377"/>
      <c r="F39" s="549"/>
      <c r="G39" s="335"/>
      <c r="H39" s="227" t="str">
        <f>IF(L59="Transferencia Bancaria",VLOOKUP($B$3, Tabla1[#All], 18, FALSE),"No aplica")</f>
        <v>No aplica</v>
      </c>
      <c r="I39" s="338"/>
      <c r="J39" s="227" t="str">
        <f>IF(L59="Transferencia Bancaria",VLOOKUP($B$3, Tabla1[#All], 19, FALSE),"No aplica")</f>
        <v>No aplica</v>
      </c>
      <c r="K39" s="338"/>
      <c r="L39" s="228" t="str">
        <f>IF(L59="Transferencia Bancaria",VLOOKUP($B$3, Tabla1[#All], 20, FALSE),"No aplica")</f>
        <v>No aplica</v>
      </c>
      <c r="M39" s="378"/>
      <c r="R39" s="10"/>
      <c r="S39" s="10"/>
    </row>
    <row r="40" spans="5:19" ht="2.85" customHeight="1" x14ac:dyDescent="0.25">
      <c r="E40" s="377"/>
      <c r="F40" s="335"/>
      <c r="G40" s="335"/>
      <c r="H40" s="338"/>
      <c r="I40" s="338"/>
      <c r="J40" s="338"/>
      <c r="K40" s="338"/>
      <c r="L40" s="339"/>
      <c r="M40" s="378"/>
      <c r="R40" s="10"/>
      <c r="S40" s="10"/>
    </row>
    <row r="41" spans="5:19" ht="15" customHeight="1" x14ac:dyDescent="0.25">
      <c r="E41" s="377"/>
      <c r="F41" s="331" t="s">
        <v>2495</v>
      </c>
      <c r="G41" s="330"/>
      <c r="H41" s="330"/>
      <c r="I41" s="330"/>
      <c r="J41" s="330"/>
      <c r="K41" s="330"/>
      <c r="L41" s="330"/>
      <c r="M41" s="378"/>
      <c r="R41" s="10"/>
      <c r="S41" s="10"/>
    </row>
    <row r="42" spans="5:19" ht="2.85" customHeight="1" x14ac:dyDescent="0.25">
      <c r="E42" s="377"/>
      <c r="F42" s="340"/>
      <c r="G42" s="340"/>
      <c r="H42" s="340"/>
      <c r="I42" s="340"/>
      <c r="J42" s="340"/>
      <c r="K42" s="340"/>
      <c r="L42" s="340"/>
      <c r="M42" s="378"/>
      <c r="R42" s="10"/>
      <c r="S42" s="10"/>
    </row>
    <row r="43" spans="5:19" ht="15.75" customHeight="1" x14ac:dyDescent="0.25">
      <c r="E43" s="377"/>
      <c r="F43" s="224" t="s">
        <v>2496</v>
      </c>
      <c r="G43" s="332"/>
      <c r="H43" s="229" t="str">
        <f>VLOOKUP($B$3,Tabla1[#All],7,FALSE)</f>
        <v>Término indefinido</v>
      </c>
      <c r="I43" s="222"/>
      <c r="J43" s="224" t="s">
        <v>2497</v>
      </c>
      <c r="K43" s="222"/>
      <c r="L43" s="229" t="str">
        <f>_xlfn.CONCAT("Personal ",VLOOKUP($B$3,Tabla1[#All],33,FALSE))</f>
        <v>Personal ordinario</v>
      </c>
      <c r="M43" s="378"/>
      <c r="R43" s="10"/>
      <c r="S43" s="10"/>
    </row>
    <row r="44" spans="5:19" ht="2.25" customHeight="1" x14ac:dyDescent="0.25">
      <c r="E44" s="377"/>
      <c r="F44" s="222"/>
      <c r="G44" s="332"/>
      <c r="H44" s="220"/>
      <c r="I44" s="220"/>
      <c r="J44" s="220"/>
      <c r="K44" s="220"/>
      <c r="L44" s="220"/>
      <c r="M44" s="378"/>
      <c r="R44" s="10"/>
      <c r="S44" s="10"/>
    </row>
    <row r="45" spans="5:19" ht="15.75" hidden="1" customHeight="1" x14ac:dyDescent="0.25">
      <c r="E45" s="377"/>
      <c r="F45" s="224" t="s">
        <v>2949</v>
      </c>
      <c r="G45" s="332"/>
      <c r="H45" s="230">
        <f ca="1">TODAY()</f>
        <v>45460</v>
      </c>
      <c r="I45" s="341"/>
      <c r="J45" s="341"/>
      <c r="K45" s="342"/>
      <c r="L45" s="375"/>
      <c r="M45" s="378"/>
      <c r="R45" s="10"/>
      <c r="S45" s="10"/>
    </row>
    <row r="46" spans="5:19" ht="2.25" hidden="1" customHeight="1" x14ac:dyDescent="0.25">
      <c r="E46" s="377"/>
      <c r="F46" s="222"/>
      <c r="G46" s="332"/>
      <c r="H46" s="341"/>
      <c r="I46" s="341"/>
      <c r="J46" s="341"/>
      <c r="K46" s="342"/>
      <c r="L46" s="375"/>
      <c r="M46" s="378"/>
      <c r="R46" s="10"/>
      <c r="S46" s="10"/>
    </row>
    <row r="47" spans="5:19" ht="28.5" hidden="1" customHeight="1" x14ac:dyDescent="0.25">
      <c r="E47" s="377"/>
      <c r="F47" s="611" t="s">
        <v>2986</v>
      </c>
      <c r="G47" s="332"/>
      <c r="H47" s="230" t="str">
        <f>TEXT(VLOOKUP($B$3,Tabla1[#All],8,FALSE),"dddd, dd mmmm yyyy")</f>
        <v>domingo, 05 marzo 2006</v>
      </c>
      <c r="I47" s="341"/>
      <c r="J47" s="224" t="s">
        <v>2787</v>
      </c>
      <c r="K47" s="342"/>
      <c r="L47" s="224" t="s">
        <v>2788</v>
      </c>
      <c r="M47" s="378"/>
      <c r="R47" s="10"/>
      <c r="S47" s="10"/>
    </row>
    <row r="48" spans="5:19" ht="15.75" hidden="1" customHeight="1" x14ac:dyDescent="0.25">
      <c r="E48" s="377"/>
      <c r="F48" s="612"/>
      <c r="G48" s="332"/>
      <c r="H48" s="341"/>
      <c r="I48" s="341"/>
      <c r="J48" s="376">
        <v>45107</v>
      </c>
      <c r="K48" s="342"/>
      <c r="L48" s="376" t="str">
        <f>IF(ISBLANK(VLOOKUP($B$3, Tabla1[#All], 9, FALSE)), "No aplica", VLOOKUP($B$3, Tabla1[#All], 9, FALSE))</f>
        <v>No aplica</v>
      </c>
      <c r="M48" s="378"/>
      <c r="R48" s="10"/>
      <c r="S48" s="10"/>
    </row>
    <row r="49" spans="5:19" ht="15.75" hidden="1" customHeight="1" x14ac:dyDescent="0.25">
      <c r="E49" s="377"/>
      <c r="F49" s="341"/>
      <c r="G49" s="332"/>
      <c r="H49" s="341"/>
      <c r="I49" s="341"/>
      <c r="J49" s="426"/>
      <c r="K49" s="342"/>
      <c r="L49" s="426"/>
      <c r="M49" s="378"/>
      <c r="R49" s="10"/>
      <c r="S49" s="10"/>
    </row>
    <row r="50" spans="5:19" ht="19.5" hidden="1" customHeight="1" x14ac:dyDescent="0.25">
      <c r="E50" s="377"/>
      <c r="F50" s="222"/>
      <c r="G50" s="332"/>
      <c r="H50" s="220"/>
      <c r="I50" s="220"/>
      <c r="J50" s="220"/>
      <c r="K50" s="220"/>
      <c r="L50" s="220"/>
      <c r="M50" s="378"/>
      <c r="R50" s="10"/>
      <c r="S50" s="10"/>
    </row>
    <row r="51" spans="5:19" ht="29.25" customHeight="1" x14ac:dyDescent="0.25">
      <c r="E51" s="377"/>
      <c r="F51" s="224" t="s">
        <v>2967</v>
      </c>
      <c r="G51" s="332"/>
      <c r="H51" s="230" t="str">
        <f>TEXT(VLOOKUP($B$3,Tabla1[#All],8,FALSE),"dddd, dd mmmm yyyy")</f>
        <v>domingo, 05 marzo 2006</v>
      </c>
      <c r="I51" s="341"/>
      <c r="J51" s="224" t="s">
        <v>2948</v>
      </c>
      <c r="K51" s="222"/>
      <c r="L51" s="229" t="s">
        <v>214</v>
      </c>
      <c r="M51" s="378"/>
      <c r="R51" s="10"/>
      <c r="S51" s="10"/>
    </row>
    <row r="52" spans="5:19" ht="2.25" customHeight="1" x14ac:dyDescent="0.25">
      <c r="E52" s="424"/>
      <c r="F52" s="222"/>
      <c r="G52" s="332"/>
      <c r="H52" s="341"/>
      <c r="I52" s="341"/>
      <c r="J52" s="341"/>
      <c r="K52" s="342"/>
      <c r="L52" s="375"/>
      <c r="M52" s="425"/>
      <c r="R52" s="10"/>
      <c r="S52" s="10"/>
    </row>
    <row r="53" spans="5:19" x14ac:dyDescent="0.25">
      <c r="E53" s="377"/>
      <c r="F53" s="224" t="s">
        <v>2500</v>
      </c>
      <c r="G53" s="332"/>
      <c r="H53" s="543" t="str">
        <f>VLOOKUP($B$3,Tabla1[#All],24,FALSE)</f>
        <v>Armenia</v>
      </c>
      <c r="I53" s="544"/>
      <c r="J53" s="544"/>
      <c r="K53" s="544"/>
      <c r="L53" s="545"/>
      <c r="M53" s="378"/>
      <c r="R53" s="10"/>
      <c r="S53" s="10"/>
    </row>
    <row r="54" spans="5:19" ht="2.85" customHeight="1" x14ac:dyDescent="0.25">
      <c r="E54" s="377"/>
      <c r="F54" s="222"/>
      <c r="G54" s="332"/>
      <c r="H54" s="220"/>
      <c r="I54" s="220"/>
      <c r="J54" s="220"/>
      <c r="K54" s="220"/>
      <c r="L54" s="220"/>
      <c r="M54" s="378"/>
      <c r="R54" s="10"/>
      <c r="S54" s="10"/>
    </row>
    <row r="55" spans="5:19" x14ac:dyDescent="0.25">
      <c r="E55" s="377"/>
      <c r="F55" s="224" t="s">
        <v>2501</v>
      </c>
      <c r="G55" s="332"/>
      <c r="H55" s="543" t="str">
        <f>VLOOKUP($B$3,Tabla1[#All],26,FALSE)</f>
        <v xml:space="preserve">Auxiliar de información </v>
      </c>
      <c r="I55" s="544"/>
      <c r="J55" s="544"/>
      <c r="K55" s="544"/>
      <c r="L55" s="545"/>
      <c r="M55" s="378"/>
      <c r="R55" s="10"/>
      <c r="S55" s="10"/>
    </row>
    <row r="56" spans="5:19" ht="2.85" customHeight="1" x14ac:dyDescent="0.25">
      <c r="E56" s="377"/>
      <c r="F56" s="222"/>
      <c r="G56" s="332"/>
      <c r="H56" s="220"/>
      <c r="I56" s="220"/>
      <c r="J56" s="220"/>
      <c r="K56" s="220"/>
      <c r="L56" s="220"/>
      <c r="M56" s="378"/>
      <c r="R56" s="10"/>
      <c r="S56" s="10"/>
    </row>
    <row r="57" spans="5:19" ht="15.75" customHeight="1" x14ac:dyDescent="0.25">
      <c r="E57" s="377"/>
      <c r="F57" s="224" t="s">
        <v>2502</v>
      </c>
      <c r="G57" s="332"/>
      <c r="H57" s="232" t="str" cm="1">
        <f t="array" ref="H57">CONCATENATE("Salario ",_xlfn.IFS(VLOOKUP($B$3,Tabla1[#All],10,FALSE)="Mensual","ordinario",VLOOKUP($B$3,Tabla1[#All],10,FALSE)="Integral mensual","integral",VLOOKUP($B$3,Tabla1[#All],10,FALSE)="Mensual- medio tiempo","ordinario medio tiempo"))</f>
        <v>Salario ordinario</v>
      </c>
      <c r="I57" s="220"/>
      <c r="J57" s="317" t="s">
        <v>2503</v>
      </c>
      <c r="K57" s="343"/>
      <c r="L57" s="233">
        <f>VLOOKUP($B$3,Tabla1[#All],11,FALSE)</f>
        <v>1300000</v>
      </c>
      <c r="M57" s="378"/>
      <c r="R57" s="10"/>
      <c r="S57" s="10"/>
    </row>
    <row r="58" spans="5:19" ht="2.85" customHeight="1" x14ac:dyDescent="0.25">
      <c r="E58" s="377"/>
      <c r="F58" s="222"/>
      <c r="G58" s="332"/>
      <c r="H58" s="220"/>
      <c r="I58" s="220"/>
      <c r="J58" s="344"/>
      <c r="K58" s="344"/>
      <c r="L58" s="344"/>
      <c r="M58" s="378"/>
      <c r="R58" s="10"/>
      <c r="S58" s="10"/>
    </row>
    <row r="59" spans="5:19" ht="15" customHeight="1" x14ac:dyDescent="0.25">
      <c r="E59" s="377"/>
      <c r="F59" s="224" t="s">
        <v>2504</v>
      </c>
      <c r="G59" s="332"/>
      <c r="H59" s="232" t="str">
        <f>VLOOKUP($C$3,Tabla2[#All],11,FALSE)</f>
        <v>Mensual</v>
      </c>
      <c r="I59" s="220"/>
      <c r="J59" s="317" t="s">
        <v>2505</v>
      </c>
      <c r="K59" s="222"/>
      <c r="L59" s="234">
        <f>VLOOKUP($B$3,Tabla1[#All],17,FALSE)</f>
        <v>0</v>
      </c>
      <c r="M59" s="378"/>
      <c r="R59" s="10"/>
      <c r="S59" s="10"/>
    </row>
    <row r="60" spans="5:19" ht="2.85" customHeight="1" x14ac:dyDescent="0.25">
      <c r="E60" s="377"/>
      <c r="F60" s="222"/>
      <c r="G60" s="332"/>
      <c r="H60" s="220"/>
      <c r="I60" s="220"/>
      <c r="J60" s="220"/>
      <c r="K60" s="220"/>
      <c r="L60" s="220"/>
      <c r="M60" s="378"/>
      <c r="R60" s="10"/>
      <c r="S60" s="10"/>
    </row>
    <row r="61" spans="5:19" x14ac:dyDescent="0.25">
      <c r="E61" s="377"/>
      <c r="F61" s="224" t="s">
        <v>2506</v>
      </c>
      <c r="G61" s="332"/>
      <c r="H61" s="543" t="s">
        <v>2507</v>
      </c>
      <c r="I61" s="544"/>
      <c r="J61" s="544"/>
      <c r="K61" s="544"/>
      <c r="L61" s="545"/>
      <c r="M61" s="378"/>
      <c r="N61" s="10"/>
      <c r="O61" s="10"/>
      <c r="P61" s="10"/>
      <c r="Q61" s="10"/>
      <c r="R61" s="10"/>
      <c r="S61" s="10"/>
    </row>
    <row r="62" spans="5:19" ht="2.85" customHeight="1" x14ac:dyDescent="0.25">
      <c r="E62" s="377"/>
      <c r="F62" s="345"/>
      <c r="G62" s="345"/>
      <c r="H62" s="345"/>
      <c r="I62" s="345"/>
      <c r="J62" s="345"/>
      <c r="K62" s="345"/>
      <c r="L62" s="345"/>
      <c r="M62" s="378"/>
      <c r="N62" s="10"/>
      <c r="O62" s="10"/>
      <c r="P62" s="10"/>
      <c r="Q62" s="10"/>
      <c r="R62" s="10"/>
      <c r="S62" s="10"/>
    </row>
    <row r="63" spans="5:19" ht="88.5" customHeight="1" x14ac:dyDescent="0.25">
      <c r="E63" s="377"/>
      <c r="F63" s="560" t="s">
        <v>2789</v>
      </c>
      <c r="G63" s="561"/>
      <c r="H63" s="561"/>
      <c r="I63" s="561"/>
      <c r="J63" s="561"/>
      <c r="K63" s="561"/>
      <c r="L63" s="562"/>
      <c r="M63" s="378"/>
      <c r="N63" s="10"/>
      <c r="O63" s="10"/>
      <c r="P63" s="10"/>
      <c r="Q63" s="10"/>
      <c r="R63" s="10"/>
      <c r="S63" s="10"/>
    </row>
    <row r="64" spans="5:19" ht="2.85" customHeight="1" x14ac:dyDescent="0.25">
      <c r="E64" s="377"/>
      <c r="F64" s="217"/>
      <c r="G64" s="217"/>
      <c r="H64" s="217"/>
      <c r="I64" s="217"/>
      <c r="J64" s="217"/>
      <c r="K64" s="217"/>
      <c r="L64" s="217"/>
      <c r="M64" s="378"/>
      <c r="N64" s="10"/>
      <c r="O64" s="10"/>
      <c r="P64" s="10"/>
      <c r="Q64" s="10"/>
      <c r="R64" s="10"/>
      <c r="S64" s="10"/>
    </row>
    <row r="65" spans="5:19" ht="81.75" customHeight="1" x14ac:dyDescent="0.25">
      <c r="E65" s="377"/>
      <c r="F65" s="560" t="s">
        <v>2509</v>
      </c>
      <c r="G65" s="561"/>
      <c r="H65" s="561"/>
      <c r="I65" s="561"/>
      <c r="J65" s="561"/>
      <c r="K65" s="561"/>
      <c r="L65" s="562"/>
      <c r="M65" s="378"/>
      <c r="N65" s="10"/>
      <c r="O65" s="10"/>
      <c r="P65" s="10"/>
      <c r="Q65" s="10"/>
      <c r="R65" s="10"/>
      <c r="S65" s="10"/>
    </row>
    <row r="66" spans="5:19" ht="2.85" customHeight="1" x14ac:dyDescent="0.25">
      <c r="E66" s="377"/>
      <c r="F66" s="346"/>
      <c r="G66" s="346"/>
      <c r="H66" s="346"/>
      <c r="I66" s="346"/>
      <c r="J66" s="346"/>
      <c r="K66" s="346"/>
      <c r="L66" s="346"/>
      <c r="M66" s="378"/>
      <c r="N66" s="10"/>
      <c r="O66" s="10"/>
      <c r="P66" s="10"/>
      <c r="Q66" s="10"/>
      <c r="R66" s="10"/>
      <c r="S66" s="10"/>
    </row>
    <row r="67" spans="5:19" ht="29.25" customHeight="1" x14ac:dyDescent="0.25">
      <c r="E67" s="377"/>
      <c r="F67" s="560" t="str">
        <f ca="1">CONCATENATE("Para constancia, se firma en la ciudad de ",VLOOKUP($C$3,Tabla2[#All],10,FALSE),", el ",TEXT(H45, "dd mmmm yyyy")," en dos (2) ejemplares del mismo tenor y valor.")</f>
        <v>Para constancia, se firma en la ciudad de Armenia, Quindío, el 17 junio 2024 en dos (2) ejemplares del mismo tenor y valor.</v>
      </c>
      <c r="G67" s="561"/>
      <c r="H67" s="561"/>
      <c r="I67" s="561"/>
      <c r="J67" s="561"/>
      <c r="K67" s="561"/>
      <c r="L67" s="562"/>
      <c r="M67" s="378"/>
      <c r="N67" s="10"/>
      <c r="O67" s="10"/>
      <c r="P67" s="10"/>
      <c r="Q67" s="10"/>
      <c r="R67" s="10"/>
      <c r="S67" s="10"/>
    </row>
    <row r="68" spans="5:19" ht="15" customHeight="1" x14ac:dyDescent="0.25">
      <c r="E68" s="377"/>
      <c r="F68" s="223"/>
      <c r="G68" s="223"/>
      <c r="H68" s="223"/>
      <c r="I68" s="223"/>
      <c r="J68" s="223"/>
      <c r="K68" s="223"/>
      <c r="L68" s="223"/>
      <c r="M68" s="378"/>
    </row>
    <row r="69" spans="5:19" ht="23.25" customHeight="1" x14ac:dyDescent="0.25">
      <c r="E69" s="377"/>
      <c r="F69" s="238" t="s">
        <v>2510</v>
      </c>
      <c r="G69" s="347"/>
      <c r="H69" s="223"/>
      <c r="I69" s="223"/>
      <c r="J69" s="384"/>
      <c r="K69" s="241" t="s">
        <v>2511</v>
      </c>
      <c r="L69" s="242"/>
      <c r="M69" s="378"/>
    </row>
    <row r="70" spans="5:19" ht="15" customHeight="1" x14ac:dyDescent="0.25">
      <c r="E70" s="377"/>
      <c r="F70" s="239"/>
      <c r="G70" s="223"/>
      <c r="H70" s="223"/>
      <c r="I70" s="223"/>
      <c r="J70" s="384"/>
      <c r="K70" s="243"/>
      <c r="L70" s="244"/>
      <c r="M70" s="378"/>
    </row>
    <row r="71" spans="5:19" ht="7.5" hidden="1" customHeight="1" x14ac:dyDescent="0.25">
      <c r="E71" s="377"/>
      <c r="F71" s="253" t="s">
        <v>2512</v>
      </c>
      <c r="G71" s="223"/>
      <c r="H71" s="223"/>
      <c r="I71" s="223"/>
      <c r="J71" s="384"/>
      <c r="K71" s="558" t="s">
        <v>2513</v>
      </c>
      <c r="L71" s="559"/>
      <c r="M71" s="378"/>
    </row>
    <row r="72" spans="5:19" ht="28.5" customHeight="1" x14ac:dyDescent="0.25">
      <c r="E72" s="377"/>
      <c r="F72" s="310" t="str">
        <f>H7</f>
        <v>Edificio Clínica Central del Quindío</v>
      </c>
      <c r="G72" s="223"/>
      <c r="H72" s="223"/>
      <c r="I72" s="223"/>
      <c r="J72" s="384"/>
      <c r="K72" s="556" t="str">
        <f>H23</f>
        <v>Albeiro  Cardona Herrera</v>
      </c>
      <c r="L72" s="557"/>
      <c r="M72" s="378"/>
    </row>
    <row r="73" spans="5:19" ht="15" customHeight="1" x14ac:dyDescent="0.25">
      <c r="E73" s="377"/>
      <c r="F73" s="240" t="str">
        <f>_xlfn.CONCAT(H9," No. ",L9)</f>
        <v>NIT. No. 800249483-6</v>
      </c>
      <c r="G73" s="223"/>
      <c r="H73" s="223"/>
      <c r="I73" s="223"/>
      <c r="J73" s="384"/>
      <c r="K73" s="554" t="str">
        <f>_xlfn.CONCAT(H25," No. ",L25)</f>
        <v>Cédula de ciudadanía No. 9857134.</v>
      </c>
      <c r="L73" s="555"/>
      <c r="M73" s="378"/>
    </row>
    <row r="74" spans="5:19" ht="12.75" customHeight="1" thickBot="1" x14ac:dyDescent="0.3">
      <c r="E74" s="385"/>
      <c r="F74" s="250"/>
      <c r="G74" s="250"/>
      <c r="H74" s="250"/>
      <c r="I74" s="250"/>
      <c r="J74" s="251"/>
      <c r="K74" s="251"/>
      <c r="L74" s="251"/>
      <c r="M74" s="386"/>
    </row>
    <row r="75" spans="5:19" ht="21" customHeight="1" x14ac:dyDescent="0.25">
      <c r="E75" s="384"/>
      <c r="F75" s="223"/>
      <c r="G75" s="223"/>
      <c r="H75" s="223"/>
      <c r="I75" s="223"/>
      <c r="J75" s="221"/>
      <c r="K75" s="221"/>
      <c r="L75" s="221"/>
      <c r="M75" s="384"/>
    </row>
    <row r="76" spans="5:19" ht="16.5" thickBot="1" x14ac:dyDescent="0.3">
      <c r="E76" s="384"/>
      <c r="F76" s="223"/>
      <c r="G76" s="223"/>
      <c r="H76" s="223"/>
      <c r="I76" s="223"/>
      <c r="J76" s="221"/>
      <c r="K76" s="221"/>
      <c r="L76" s="221"/>
      <c r="M76" s="384"/>
    </row>
    <row r="77" spans="5:19" x14ac:dyDescent="0.25">
      <c r="E77" s="387"/>
      <c r="F77" s="388"/>
      <c r="G77" s="388"/>
      <c r="H77" s="388"/>
      <c r="I77" s="388"/>
      <c r="J77" s="388"/>
      <c r="K77" s="388"/>
      <c r="L77" s="388"/>
      <c r="M77" s="382"/>
    </row>
    <row r="78" spans="5:19" ht="10.5" customHeight="1" x14ac:dyDescent="0.25">
      <c r="E78" s="377"/>
      <c r="F78" s="541">
        <f ca="1">H45</f>
        <v>45460</v>
      </c>
      <c r="G78" s="541"/>
      <c r="H78" s="541"/>
      <c r="I78" s="541"/>
      <c r="J78" s="541"/>
      <c r="K78" s="541"/>
      <c r="L78" s="541"/>
      <c r="M78" s="378"/>
    </row>
    <row r="79" spans="5:19" x14ac:dyDescent="0.25">
      <c r="E79" s="377"/>
      <c r="F79" s="222"/>
      <c r="G79" s="222"/>
      <c r="H79" s="222"/>
      <c r="I79" s="222"/>
      <c r="J79" s="222"/>
      <c r="K79" s="222"/>
      <c r="L79" s="222"/>
      <c r="M79" s="378"/>
    </row>
    <row r="80" spans="5:19" x14ac:dyDescent="0.25">
      <c r="E80" s="377"/>
      <c r="F80" s="222" t="s">
        <v>2514</v>
      </c>
      <c r="G80" s="222"/>
      <c r="H80" s="222"/>
      <c r="I80" s="222"/>
      <c r="J80" s="222"/>
      <c r="K80" s="222"/>
      <c r="L80" s="222"/>
      <c r="M80" s="378"/>
    </row>
    <row r="81" spans="5:13" ht="34.5" customHeight="1" x14ac:dyDescent="0.25">
      <c r="E81" s="377"/>
      <c r="F81" s="222" t="str">
        <f>C3</f>
        <v>Edificio Clínica Central del Quindío</v>
      </c>
      <c r="G81" s="222"/>
      <c r="H81" s="222"/>
      <c r="I81" s="222"/>
      <c r="J81" s="222"/>
      <c r="K81" s="222"/>
      <c r="L81" s="222"/>
      <c r="M81" s="378"/>
    </row>
    <row r="82" spans="5:13" ht="21" customHeight="1" x14ac:dyDescent="0.25">
      <c r="E82" s="377"/>
      <c r="F82" s="222" t="s">
        <v>2515</v>
      </c>
      <c r="G82" s="222"/>
      <c r="H82" s="222"/>
      <c r="I82" s="222"/>
      <c r="J82" s="222"/>
      <c r="K82" s="222"/>
      <c r="L82" s="222"/>
      <c r="M82" s="378"/>
    </row>
    <row r="83" spans="5:13" x14ac:dyDescent="0.25">
      <c r="E83" s="377"/>
      <c r="F83" s="222"/>
      <c r="G83" s="222"/>
      <c r="H83" s="222"/>
      <c r="I83" s="222"/>
      <c r="J83" s="222"/>
      <c r="K83" s="222"/>
      <c r="L83" s="222"/>
      <c r="M83" s="378"/>
    </row>
    <row r="84" spans="5:13" x14ac:dyDescent="0.25">
      <c r="E84" s="377"/>
      <c r="F84" s="542" t="s">
        <v>2516</v>
      </c>
      <c r="G84" s="542"/>
      <c r="H84" s="542"/>
      <c r="I84" s="542"/>
      <c r="J84" s="542"/>
      <c r="K84" s="542"/>
      <c r="L84" s="542"/>
      <c r="M84" s="378"/>
    </row>
    <row r="85" spans="5:13" x14ac:dyDescent="0.25">
      <c r="E85" s="377"/>
      <c r="F85" s="542"/>
      <c r="G85" s="542"/>
      <c r="H85" s="542"/>
      <c r="I85" s="542"/>
      <c r="J85" s="542"/>
      <c r="K85" s="542"/>
      <c r="L85" s="542"/>
      <c r="M85" s="378"/>
    </row>
    <row r="86" spans="5:13" ht="9" customHeight="1" x14ac:dyDescent="0.25">
      <c r="E86" s="377"/>
      <c r="F86" s="542"/>
      <c r="G86" s="542"/>
      <c r="H86" s="542"/>
      <c r="I86" s="542"/>
      <c r="J86" s="542"/>
      <c r="K86" s="542"/>
      <c r="L86" s="542"/>
      <c r="M86" s="378"/>
    </row>
    <row r="87" spans="5:13" x14ac:dyDescent="0.25">
      <c r="E87" s="377"/>
      <c r="F87" s="217"/>
      <c r="G87" s="217"/>
      <c r="H87" s="217"/>
      <c r="I87" s="217"/>
      <c r="J87" s="217"/>
      <c r="K87" s="217"/>
      <c r="L87" s="217"/>
      <c r="M87" s="378"/>
    </row>
    <row r="88" spans="5:13" x14ac:dyDescent="0.25">
      <c r="E88" s="377"/>
      <c r="F88" s="542" t="s">
        <v>2517</v>
      </c>
      <c r="G88" s="542"/>
      <c r="H88" s="542"/>
      <c r="I88" s="542"/>
      <c r="J88" s="542"/>
      <c r="K88" s="542"/>
      <c r="L88" s="542"/>
      <c r="M88" s="378"/>
    </row>
    <row r="89" spans="5:13" x14ac:dyDescent="0.25">
      <c r="E89" s="377"/>
      <c r="F89" s="542"/>
      <c r="G89" s="542"/>
      <c r="H89" s="542"/>
      <c r="I89" s="542"/>
      <c r="J89" s="542"/>
      <c r="K89" s="542"/>
      <c r="L89" s="542"/>
      <c r="M89" s="378"/>
    </row>
    <row r="90" spans="5:13" ht="41.1" customHeight="1" x14ac:dyDescent="0.25">
      <c r="E90" s="377"/>
      <c r="F90" s="542"/>
      <c r="G90" s="542"/>
      <c r="H90" s="542"/>
      <c r="I90" s="542"/>
      <c r="J90" s="542"/>
      <c r="K90" s="542"/>
      <c r="L90" s="542"/>
      <c r="M90" s="378"/>
    </row>
    <row r="91" spans="5:13" ht="15" customHeight="1" x14ac:dyDescent="0.25">
      <c r="E91" s="377"/>
      <c r="F91" s="542"/>
      <c r="G91" s="542"/>
      <c r="H91" s="542"/>
      <c r="I91" s="542"/>
      <c r="J91" s="542"/>
      <c r="K91" s="542"/>
      <c r="L91" s="542"/>
      <c r="M91" s="378"/>
    </row>
    <row r="92" spans="5:13" ht="9.75" customHeight="1" x14ac:dyDescent="0.25">
      <c r="E92" s="377"/>
      <c r="F92" s="217"/>
      <c r="G92" s="217"/>
      <c r="H92" s="217"/>
      <c r="I92" s="217"/>
      <c r="J92" s="217"/>
      <c r="K92" s="217"/>
      <c r="L92" s="217"/>
      <c r="M92" s="378"/>
    </row>
    <row r="93" spans="5:13" ht="12.95" customHeight="1" x14ac:dyDescent="0.25">
      <c r="E93" s="377"/>
      <c r="F93" s="542" t="s">
        <v>2518</v>
      </c>
      <c r="G93" s="542"/>
      <c r="H93" s="542"/>
      <c r="I93" s="542"/>
      <c r="J93" s="542"/>
      <c r="K93" s="542"/>
      <c r="L93" s="542"/>
      <c r="M93" s="378"/>
    </row>
    <row r="94" spans="5:13" ht="12.95" customHeight="1" x14ac:dyDescent="0.25">
      <c r="E94" s="377"/>
      <c r="F94" s="542"/>
      <c r="G94" s="542"/>
      <c r="H94" s="542"/>
      <c r="I94" s="542"/>
      <c r="J94" s="542"/>
      <c r="K94" s="542"/>
      <c r="L94" s="542"/>
      <c r="M94" s="378"/>
    </row>
    <row r="95" spans="5:13" ht="12.95" customHeight="1" x14ac:dyDescent="0.25">
      <c r="E95" s="377"/>
      <c r="F95" s="542"/>
      <c r="G95" s="542"/>
      <c r="H95" s="542"/>
      <c r="I95" s="542"/>
      <c r="J95" s="542"/>
      <c r="K95" s="542"/>
      <c r="L95" s="542"/>
      <c r="M95" s="378"/>
    </row>
    <row r="96" spans="5:13" ht="12.95" customHeight="1" x14ac:dyDescent="0.25">
      <c r="E96" s="377"/>
      <c r="F96" s="542"/>
      <c r="G96" s="542"/>
      <c r="H96" s="542"/>
      <c r="I96" s="542"/>
      <c r="J96" s="542"/>
      <c r="K96" s="542"/>
      <c r="L96" s="542"/>
      <c r="M96" s="378"/>
    </row>
    <row r="97" spans="5:13" ht="21" customHeight="1" x14ac:dyDescent="0.25">
      <c r="E97" s="377"/>
      <c r="F97" s="542"/>
      <c r="G97" s="542"/>
      <c r="H97" s="542"/>
      <c r="I97" s="542"/>
      <c r="J97" s="542"/>
      <c r="K97" s="542"/>
      <c r="L97" s="542"/>
      <c r="M97" s="378"/>
    </row>
    <row r="98" spans="5:13" x14ac:dyDescent="0.25">
      <c r="E98" s="377"/>
      <c r="F98" s="222"/>
      <c r="G98" s="222"/>
      <c r="H98" s="222"/>
      <c r="I98" s="222"/>
      <c r="J98" s="222"/>
      <c r="K98" s="222"/>
      <c r="L98" s="222"/>
      <c r="M98" s="378"/>
    </row>
    <row r="99" spans="5:13" x14ac:dyDescent="0.25">
      <c r="E99" s="377"/>
      <c r="F99" s="222" t="s">
        <v>2474</v>
      </c>
      <c r="G99" s="222"/>
      <c r="H99" s="222"/>
      <c r="I99" s="222"/>
      <c r="J99" s="222"/>
      <c r="K99" s="222"/>
      <c r="L99" s="222"/>
      <c r="M99" s="378"/>
    </row>
    <row r="100" spans="5:13" x14ac:dyDescent="0.25">
      <c r="E100" s="377"/>
      <c r="F100" s="222"/>
      <c r="G100" s="222"/>
      <c r="H100" s="222"/>
      <c r="I100" s="222"/>
      <c r="J100" s="222"/>
      <c r="K100" s="222"/>
      <c r="L100" s="222"/>
      <c r="M100" s="378"/>
    </row>
    <row r="101" spans="5:13" x14ac:dyDescent="0.25">
      <c r="E101" s="377"/>
      <c r="F101" s="309"/>
      <c r="G101" s="222"/>
      <c r="H101" s="222"/>
      <c r="I101" s="222"/>
      <c r="J101" s="222"/>
      <c r="K101" s="222"/>
      <c r="L101" s="222"/>
      <c r="M101" s="378"/>
    </row>
    <row r="102" spans="5:13" x14ac:dyDescent="0.25">
      <c r="E102" s="377"/>
      <c r="F102" s="310"/>
      <c r="G102" s="222"/>
      <c r="H102" s="222"/>
      <c r="I102" s="222"/>
      <c r="J102" s="222"/>
      <c r="K102" s="222"/>
      <c r="L102" s="222"/>
      <c r="M102" s="378"/>
    </row>
    <row r="103" spans="5:13" x14ac:dyDescent="0.25">
      <c r="E103" s="377"/>
      <c r="F103" s="311" t="s">
        <v>2519</v>
      </c>
      <c r="G103" s="222"/>
      <c r="H103" s="222"/>
      <c r="I103" s="222"/>
      <c r="J103" s="222"/>
      <c r="K103" s="222"/>
      <c r="L103" s="222"/>
      <c r="M103" s="378"/>
    </row>
    <row r="104" spans="5:13" ht="15.75" customHeight="1" x14ac:dyDescent="0.25">
      <c r="E104" s="377"/>
      <c r="F104" s="310" t="str">
        <f>H23</f>
        <v>Albeiro  Cardona Herrera</v>
      </c>
      <c r="G104" s="222"/>
      <c r="H104" s="222"/>
      <c r="I104" s="220"/>
      <c r="J104" s="222"/>
      <c r="K104" s="222"/>
      <c r="L104" s="222"/>
      <c r="M104" s="378"/>
    </row>
    <row r="105" spans="5:13" ht="30.75" customHeight="1" x14ac:dyDescent="0.25">
      <c r="E105" s="377"/>
      <c r="F105" s="312" t="str">
        <f>K73</f>
        <v>Cédula de ciudadanía No. 9857134.</v>
      </c>
      <c r="G105" s="222"/>
      <c r="H105" s="222"/>
      <c r="I105" s="220"/>
      <c r="J105" s="222"/>
      <c r="K105" s="222"/>
      <c r="L105" s="222"/>
      <c r="M105" s="378"/>
    </row>
    <row r="106" spans="5:13" ht="16.5" thickBot="1" x14ac:dyDescent="0.3">
      <c r="E106" s="385"/>
      <c r="F106" s="389"/>
      <c r="G106" s="389"/>
      <c r="H106" s="389"/>
      <c r="I106" s="389"/>
      <c r="J106" s="389"/>
      <c r="K106" s="389"/>
      <c r="L106" s="390"/>
      <c r="M106" s="252"/>
    </row>
  </sheetData>
  <mergeCells count="27">
    <mergeCell ref="H17:L17"/>
    <mergeCell ref="F47:F48"/>
    <mergeCell ref="E2:F2"/>
    <mergeCell ref="F3:L3"/>
    <mergeCell ref="H7:L7"/>
    <mergeCell ref="H11:L11"/>
    <mergeCell ref="H15:L15"/>
    <mergeCell ref="F63:L63"/>
    <mergeCell ref="H19:L19"/>
    <mergeCell ref="H23:L23"/>
    <mergeCell ref="H27:L27"/>
    <mergeCell ref="H31:L31"/>
    <mergeCell ref="H33:L33"/>
    <mergeCell ref="F35:F36"/>
    <mergeCell ref="F38:F39"/>
    <mergeCell ref="H53:L53"/>
    <mergeCell ref="H55:L55"/>
    <mergeCell ref="H61:L61"/>
    <mergeCell ref="F84:L86"/>
    <mergeCell ref="F88:L91"/>
    <mergeCell ref="F93:L97"/>
    <mergeCell ref="F65:L65"/>
    <mergeCell ref="F67:L67"/>
    <mergeCell ref="K71:L71"/>
    <mergeCell ref="K72:L72"/>
    <mergeCell ref="K73:L73"/>
    <mergeCell ref="F78:L78"/>
  </mergeCells>
  <printOptions verticalCentered="1"/>
  <pageMargins left="0.25" right="0.25" top="0.75" bottom="0.75" header="0.3" footer="0.3"/>
  <pageSetup paperSize="5" scale="91" fitToHeight="0" orientation="portrait" r:id="rId1"/>
  <rowBreaks count="1" manualBreakCount="1">
    <brk id="74" min="4" max="12" man="1"/>
  </rowBreaks>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441DA5-B9FB-48D3-A218-2B45A7B3D030}">
  <sheetPr codeName="Hoja13"/>
  <dimension ref="B2:C6"/>
  <sheetViews>
    <sheetView workbookViewId="0">
      <selection activeCell="E8" sqref="E8"/>
    </sheetView>
  </sheetViews>
  <sheetFormatPr baseColWidth="10" defaultColWidth="11" defaultRowHeight="15.75" x14ac:dyDescent="0.25"/>
  <cols>
    <col min="1" max="1" width="12.875" customWidth="1"/>
  </cols>
  <sheetData>
    <row r="2" spans="2:3" x14ac:dyDescent="0.25">
      <c r="B2" t="s">
        <v>2790</v>
      </c>
      <c r="C2" t="s">
        <v>2791</v>
      </c>
    </row>
    <row r="3" spans="2:3" x14ac:dyDescent="0.25">
      <c r="B3" s="155" t="s">
        <v>44</v>
      </c>
      <c r="C3" s="157">
        <v>5682943</v>
      </c>
    </row>
    <row r="4" spans="2:3" x14ac:dyDescent="0.25">
      <c r="B4" s="155" t="s">
        <v>46</v>
      </c>
      <c r="C4" s="157">
        <v>713200</v>
      </c>
    </row>
    <row r="5" spans="2:3" x14ac:dyDescent="0.25">
      <c r="B5" s="155" t="s">
        <v>47</v>
      </c>
      <c r="C5" s="157">
        <v>963162</v>
      </c>
    </row>
    <row r="6" spans="2:3" x14ac:dyDescent="0.25">
      <c r="B6" s="155" t="s">
        <v>49</v>
      </c>
      <c r="C6" s="157">
        <v>0</v>
      </c>
    </row>
  </sheetData>
  <pageMargins left="0.7" right="0.7" top="0.75" bottom="0.75" header="0.3" footer="0.3"/>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5B537E-7982-4B06-A25E-A9EBD981C2F2}">
  <sheetPr codeName="Hoja15"/>
  <dimension ref="A1:F14"/>
  <sheetViews>
    <sheetView workbookViewId="0"/>
  </sheetViews>
  <sheetFormatPr baseColWidth="10" defaultColWidth="11" defaultRowHeight="15.75" x14ac:dyDescent="0.25"/>
  <cols>
    <col min="1" max="1" width="12.875" customWidth="1"/>
    <col min="5" max="5" width="7.5" customWidth="1"/>
  </cols>
  <sheetData>
    <row r="1" spans="1:6" x14ac:dyDescent="0.25">
      <c r="A1" s="153"/>
      <c r="B1" s="164"/>
      <c r="C1" s="164"/>
      <c r="D1" s="153"/>
    </row>
    <row r="2" spans="1:6" x14ac:dyDescent="0.25">
      <c r="B2" s="153" t="s">
        <v>2792</v>
      </c>
      <c r="C2" s="153" t="s">
        <v>2</v>
      </c>
      <c r="D2" s="153" t="s">
        <v>6</v>
      </c>
      <c r="E2" s="153" t="s">
        <v>2793</v>
      </c>
      <c r="F2" s="153" t="s">
        <v>2794</v>
      </c>
    </row>
    <row r="3" spans="1:6" x14ac:dyDescent="0.25">
      <c r="B3" s="153" t="s">
        <v>58</v>
      </c>
      <c r="C3" s="164">
        <v>45292</v>
      </c>
      <c r="D3" s="164">
        <v>45322</v>
      </c>
      <c r="E3" s="153" t="s">
        <v>59</v>
      </c>
      <c r="F3">
        <f t="shared" ref="F3:F14" si="0">MONTH(C3)</f>
        <v>1</v>
      </c>
    </row>
    <row r="4" spans="1:6" x14ac:dyDescent="0.25">
      <c r="B4" s="438" t="s">
        <v>63</v>
      </c>
      <c r="C4" s="439">
        <v>45323</v>
      </c>
      <c r="D4" s="439">
        <v>45351</v>
      </c>
      <c r="E4" s="438" t="s">
        <v>64</v>
      </c>
      <c r="F4" s="440">
        <f t="shared" si="0"/>
        <v>2</v>
      </c>
    </row>
    <row r="5" spans="1:6" x14ac:dyDescent="0.25">
      <c r="B5" s="153" t="s">
        <v>3</v>
      </c>
      <c r="C5" s="164">
        <v>45352</v>
      </c>
      <c r="D5" s="164">
        <v>45382</v>
      </c>
      <c r="E5" s="153" t="s">
        <v>67</v>
      </c>
      <c r="F5">
        <f t="shared" si="0"/>
        <v>3</v>
      </c>
    </row>
    <row r="6" spans="1:6" x14ac:dyDescent="0.25">
      <c r="B6" s="153" t="s">
        <v>70</v>
      </c>
      <c r="C6" s="164">
        <v>45383</v>
      </c>
      <c r="D6" s="164">
        <v>45412</v>
      </c>
      <c r="E6" s="153"/>
      <c r="F6">
        <f t="shared" si="0"/>
        <v>4</v>
      </c>
    </row>
    <row r="7" spans="1:6" x14ac:dyDescent="0.25">
      <c r="B7" s="153" t="s">
        <v>71</v>
      </c>
      <c r="C7" s="164">
        <v>45413</v>
      </c>
      <c r="D7" s="164">
        <v>45443</v>
      </c>
      <c r="E7" s="153" t="s">
        <v>72</v>
      </c>
      <c r="F7">
        <f t="shared" si="0"/>
        <v>5</v>
      </c>
    </row>
    <row r="8" spans="1:6" x14ac:dyDescent="0.25">
      <c r="B8" s="153" t="s">
        <v>73</v>
      </c>
      <c r="C8" s="164">
        <v>45444</v>
      </c>
      <c r="D8" s="164">
        <v>45473</v>
      </c>
      <c r="E8" s="153" t="s">
        <v>74</v>
      </c>
      <c r="F8">
        <f t="shared" si="0"/>
        <v>6</v>
      </c>
    </row>
    <row r="9" spans="1:6" x14ac:dyDescent="0.25">
      <c r="B9" s="153" t="s">
        <v>75</v>
      </c>
      <c r="C9" s="164">
        <v>45474</v>
      </c>
      <c r="D9" s="164">
        <v>45504</v>
      </c>
      <c r="E9" s="153" t="s">
        <v>76</v>
      </c>
      <c r="F9">
        <f t="shared" si="0"/>
        <v>7</v>
      </c>
    </row>
    <row r="10" spans="1:6" x14ac:dyDescent="0.25">
      <c r="B10" s="153" t="s">
        <v>77</v>
      </c>
      <c r="C10" s="164">
        <v>45505</v>
      </c>
      <c r="D10" s="164">
        <v>45535</v>
      </c>
      <c r="E10" s="153"/>
      <c r="F10">
        <f t="shared" si="0"/>
        <v>8</v>
      </c>
    </row>
    <row r="11" spans="1:6" x14ac:dyDescent="0.25">
      <c r="B11" s="153" t="s">
        <v>78</v>
      </c>
      <c r="C11" s="164">
        <v>45536</v>
      </c>
      <c r="D11" s="164">
        <v>45565</v>
      </c>
      <c r="E11" s="153"/>
      <c r="F11">
        <f t="shared" si="0"/>
        <v>9</v>
      </c>
    </row>
    <row r="12" spans="1:6" x14ac:dyDescent="0.25">
      <c r="B12" s="153" t="s">
        <v>79</v>
      </c>
      <c r="C12" s="164">
        <v>45566</v>
      </c>
      <c r="D12" s="164">
        <v>45596</v>
      </c>
      <c r="E12" s="153"/>
      <c r="F12">
        <f t="shared" si="0"/>
        <v>10</v>
      </c>
    </row>
    <row r="13" spans="1:6" x14ac:dyDescent="0.25">
      <c r="B13" s="153" t="s">
        <v>80</v>
      </c>
      <c r="C13" s="164">
        <v>45597</v>
      </c>
      <c r="D13" s="164">
        <v>45626</v>
      </c>
      <c r="E13" s="153" t="s">
        <v>81</v>
      </c>
      <c r="F13">
        <f t="shared" si="0"/>
        <v>11</v>
      </c>
    </row>
    <row r="14" spans="1:6" x14ac:dyDescent="0.25">
      <c r="B14" s="153" t="s">
        <v>82</v>
      </c>
      <c r="C14" s="164">
        <v>45627</v>
      </c>
      <c r="D14" s="164">
        <v>45657</v>
      </c>
      <c r="E14" s="153" t="s">
        <v>83</v>
      </c>
      <c r="F14">
        <f t="shared" si="0"/>
        <v>12</v>
      </c>
    </row>
  </sheetData>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B3D763-357A-554A-AF1D-6123D76DEB46}">
  <sheetPr codeName="Hoja14"/>
  <dimension ref="A1:Z60"/>
  <sheetViews>
    <sheetView zoomScale="55" zoomScaleNormal="55" workbookViewId="0">
      <selection activeCell="F28" sqref="F28:F29"/>
    </sheetView>
  </sheetViews>
  <sheetFormatPr baseColWidth="10" defaultColWidth="11.5" defaultRowHeight="15" x14ac:dyDescent="0.25"/>
  <cols>
    <col min="1" max="1" width="42.625" style="1" bestFit="1" customWidth="1"/>
    <col min="2" max="2" width="43" style="1" bestFit="1" customWidth="1"/>
    <col min="3" max="3" width="21" style="1" bestFit="1" customWidth="1"/>
    <col min="4" max="4" width="39.125" style="1" bestFit="1" customWidth="1"/>
    <col min="5" max="5" width="63.375" style="1" bestFit="1" customWidth="1"/>
    <col min="6" max="6" width="36.125" style="1" bestFit="1" customWidth="1"/>
    <col min="7" max="7" width="53.125" style="1" customWidth="1"/>
    <col min="8" max="8" width="11.5" style="1"/>
    <col min="9" max="9" width="46.375" style="1" bestFit="1" customWidth="1"/>
    <col min="10" max="16384" width="11.5" style="1"/>
  </cols>
  <sheetData>
    <row r="1" spans="1:26" ht="14.1" customHeight="1" x14ac:dyDescent="0.25">
      <c r="A1" s="442" t="s">
        <v>142</v>
      </c>
      <c r="B1" s="1" t="s">
        <v>141</v>
      </c>
      <c r="C1" s="1" t="s">
        <v>262</v>
      </c>
      <c r="D1" s="1" t="s">
        <v>2795</v>
      </c>
      <c r="E1" s="1" t="s">
        <v>2796</v>
      </c>
      <c r="F1"/>
    </row>
    <row r="2" spans="1:26" ht="14.1" customHeight="1" x14ac:dyDescent="0.25">
      <c r="A2" s="1" t="s">
        <v>320</v>
      </c>
      <c r="B2" s="1" t="s">
        <v>1843</v>
      </c>
      <c r="C2" s="1" t="s">
        <v>203</v>
      </c>
      <c r="D2" s="1" t="s">
        <v>2797</v>
      </c>
      <c r="E2" s="1" t="s">
        <v>911</v>
      </c>
      <c r="F2" t="s">
        <v>494</v>
      </c>
      <c r="G2" s="8" t="s">
        <v>2798</v>
      </c>
      <c r="H2" s="6"/>
      <c r="I2" s="29" t="s">
        <v>2799</v>
      </c>
      <c r="J2" s="7"/>
      <c r="K2" s="7"/>
      <c r="L2" s="7"/>
      <c r="M2" s="7"/>
      <c r="N2" s="7"/>
      <c r="O2" s="6"/>
      <c r="P2" s="6"/>
      <c r="Q2" s="7"/>
      <c r="R2" s="7"/>
      <c r="S2" s="7"/>
      <c r="T2" s="7"/>
      <c r="U2" s="7"/>
      <c r="V2" s="6"/>
      <c r="W2" s="6"/>
      <c r="X2" s="7"/>
      <c r="Y2" s="7"/>
      <c r="Z2" s="7"/>
    </row>
    <row r="3" spans="1:26" ht="14.1" customHeight="1" x14ac:dyDescent="0.25">
      <c r="A3" s="1" t="s">
        <v>2800</v>
      </c>
      <c r="B3" s="1" t="s">
        <v>2801</v>
      </c>
      <c r="C3" s="1" t="s">
        <v>355</v>
      </c>
      <c r="D3" s="1" t="s">
        <v>377</v>
      </c>
      <c r="E3" s="1" t="s">
        <v>2802</v>
      </c>
      <c r="F3" t="s">
        <v>2803</v>
      </c>
      <c r="G3" s="8" t="s">
        <v>2804</v>
      </c>
      <c r="I3" s="391" t="s">
        <v>2805</v>
      </c>
    </row>
    <row r="4" spans="1:26" ht="14.1" customHeight="1" x14ac:dyDescent="0.25">
      <c r="A4" s="1" t="s">
        <v>2002</v>
      </c>
      <c r="B4" s="1" t="s">
        <v>2806</v>
      </c>
      <c r="C4" s="1" t="s">
        <v>146</v>
      </c>
      <c r="D4" s="1" t="s">
        <v>942</v>
      </c>
      <c r="E4" s="1" t="s">
        <v>2807</v>
      </c>
      <c r="F4" t="s">
        <v>1923</v>
      </c>
      <c r="G4" s="8" t="s">
        <v>2808</v>
      </c>
      <c r="I4" s="391" t="s">
        <v>2809</v>
      </c>
    </row>
    <row r="5" spans="1:26" ht="14.1" customHeight="1" x14ac:dyDescent="0.25">
      <c r="A5" s="1" t="s">
        <v>2401</v>
      </c>
      <c r="B5" s="1" t="s">
        <v>2810</v>
      </c>
      <c r="C5" s="1" t="s">
        <v>1669</v>
      </c>
      <c r="D5" s="1" t="s">
        <v>2420</v>
      </c>
      <c r="E5" s="1" t="s">
        <v>2811</v>
      </c>
      <c r="F5" t="s">
        <v>1039</v>
      </c>
      <c r="G5" s="8" t="s">
        <v>2812</v>
      </c>
      <c r="I5" s="391" t="s">
        <v>2813</v>
      </c>
    </row>
    <row r="6" spans="1:26" ht="14.1" customHeight="1" x14ac:dyDescent="0.25">
      <c r="A6" s="1" t="s">
        <v>2814</v>
      </c>
      <c r="B6" s="1" t="s">
        <v>2815</v>
      </c>
      <c r="D6" s="1" t="s">
        <v>2816</v>
      </c>
      <c r="E6" s="1" t="s">
        <v>2817</v>
      </c>
      <c r="F6" t="s">
        <v>980</v>
      </c>
      <c r="G6" s="8" t="s">
        <v>2818</v>
      </c>
      <c r="I6" s="392" t="s">
        <v>2819</v>
      </c>
    </row>
    <row r="7" spans="1:26" ht="14.1" customHeight="1" x14ac:dyDescent="0.25">
      <c r="A7" s="1" t="s">
        <v>2820</v>
      </c>
      <c r="B7" s="393" t="s">
        <v>363</v>
      </c>
      <c r="D7" s="1" t="s">
        <v>2821</v>
      </c>
      <c r="E7" s="1" t="s">
        <v>599</v>
      </c>
      <c r="F7" t="s">
        <v>1048</v>
      </c>
      <c r="G7" s="8" t="s">
        <v>2822</v>
      </c>
      <c r="I7" s="391" t="s">
        <v>2823</v>
      </c>
    </row>
    <row r="8" spans="1:26" ht="14.1" customHeight="1" x14ac:dyDescent="0.25">
      <c r="A8" s="1" t="s">
        <v>2824</v>
      </c>
      <c r="B8" s="393" t="s">
        <v>2825</v>
      </c>
      <c r="D8" s="1" t="s">
        <v>168</v>
      </c>
      <c r="E8" s="1" t="s">
        <v>1279</v>
      </c>
      <c r="F8" t="s">
        <v>431</v>
      </c>
      <c r="G8" s="8" t="s">
        <v>2826</v>
      </c>
      <c r="I8" s="391" t="s">
        <v>2827</v>
      </c>
    </row>
    <row r="9" spans="1:26" ht="14.1" customHeight="1" x14ac:dyDescent="0.25">
      <c r="A9" s="1" t="s">
        <v>1421</v>
      </c>
      <c r="B9" s="1" t="s">
        <v>2828</v>
      </c>
      <c r="D9" s="1" t="s">
        <v>1287</v>
      </c>
      <c r="E9" s="1" t="s">
        <v>2829</v>
      </c>
      <c r="F9" t="s">
        <v>616</v>
      </c>
      <c r="G9" s="8" t="s">
        <v>2798</v>
      </c>
      <c r="I9" s="391" t="s">
        <v>2830</v>
      </c>
    </row>
    <row r="10" spans="1:26" ht="15.75" x14ac:dyDescent="0.25">
      <c r="B10" s="1" t="s">
        <v>2831</v>
      </c>
      <c r="D10" s="1" t="s">
        <v>2832</v>
      </c>
      <c r="E10" s="1" t="s">
        <v>2833</v>
      </c>
      <c r="F10" t="s">
        <v>2834</v>
      </c>
      <c r="I10" s="391"/>
    </row>
    <row r="11" spans="1:26" ht="15.75" x14ac:dyDescent="0.25">
      <c r="D11" s="1" t="s">
        <v>2835</v>
      </c>
      <c r="E11" s="1" t="s">
        <v>2836</v>
      </c>
      <c r="F11" t="s">
        <v>2837</v>
      </c>
    </row>
    <row r="12" spans="1:26" ht="15.75" x14ac:dyDescent="0.25">
      <c r="D12" s="1" t="s">
        <v>2838</v>
      </c>
      <c r="E12" s="1" t="s">
        <v>2839</v>
      </c>
      <c r="F12" t="s">
        <v>485</v>
      </c>
    </row>
    <row r="13" spans="1:26" ht="15.75" x14ac:dyDescent="0.25">
      <c r="A13" s="1" t="s">
        <v>959</v>
      </c>
      <c r="D13" s="1" t="s">
        <v>2840</v>
      </c>
      <c r="E13" s="1" t="s">
        <v>2841</v>
      </c>
      <c r="F13" t="s">
        <v>1027</v>
      </c>
      <c r="G13" t="s">
        <v>2842</v>
      </c>
      <c r="I13" s="30"/>
    </row>
    <row r="14" spans="1:26" ht="15.75" x14ac:dyDescent="0.25">
      <c r="A14" s="1" t="s">
        <v>143</v>
      </c>
      <c r="D14" s="1" t="s">
        <v>149</v>
      </c>
      <c r="E14" s="1" t="s">
        <v>2843</v>
      </c>
      <c r="F14" t="s">
        <v>1880</v>
      </c>
      <c r="G14" s="1" t="s">
        <v>2844</v>
      </c>
    </row>
    <row r="15" spans="1:26" ht="15.75" x14ac:dyDescent="0.25">
      <c r="A15" s="1" t="s">
        <v>2845</v>
      </c>
      <c r="D15" s="1" t="s">
        <v>2846</v>
      </c>
      <c r="E15" s="1" t="s">
        <v>2847</v>
      </c>
      <c r="F15" t="s">
        <v>213</v>
      </c>
      <c r="G15" s="1" t="s">
        <v>2848</v>
      </c>
    </row>
    <row r="16" spans="1:26" ht="15.75" x14ac:dyDescent="0.25">
      <c r="D16" s="1" t="s">
        <v>2849</v>
      </c>
      <c r="E16" s="1" t="s">
        <v>2850</v>
      </c>
      <c r="F16" t="s">
        <v>1905</v>
      </c>
      <c r="G16" t="s">
        <v>2851</v>
      </c>
      <c r="I16" s="391"/>
    </row>
    <row r="17" spans="1:9" ht="15.75" x14ac:dyDescent="0.25">
      <c r="D17" s="1" t="s">
        <v>2852</v>
      </c>
      <c r="E17" s="1" t="s">
        <v>2853</v>
      </c>
      <c r="F17" t="s">
        <v>224</v>
      </c>
      <c r="G17" t="s">
        <v>2773</v>
      </c>
      <c r="I17" s="391"/>
    </row>
    <row r="18" spans="1:9" ht="15.75" x14ac:dyDescent="0.25">
      <c r="D18" s="2" t="s">
        <v>2854</v>
      </c>
      <c r="E18" s="2" t="s">
        <v>2855</v>
      </c>
      <c r="F18" t="s">
        <v>2856</v>
      </c>
      <c r="G18" s="1" t="s">
        <v>2857</v>
      </c>
      <c r="I18" s="394"/>
    </row>
    <row r="19" spans="1:9" ht="15.75" x14ac:dyDescent="0.25">
      <c r="A19" s="1" t="s">
        <v>144</v>
      </c>
      <c r="D19" s="1" t="s">
        <v>1024</v>
      </c>
      <c r="E19" s="1" t="s">
        <v>2858</v>
      </c>
      <c r="F19" t="s">
        <v>2859</v>
      </c>
      <c r="G19" s="1" t="s">
        <v>2860</v>
      </c>
      <c r="I19" s="391"/>
    </row>
    <row r="20" spans="1:9" ht="15.75" x14ac:dyDescent="0.25">
      <c r="A20" s="1" t="s">
        <v>296</v>
      </c>
      <c r="D20" s="1" t="s">
        <v>2861</v>
      </c>
      <c r="E20" s="1" t="s">
        <v>2862</v>
      </c>
      <c r="F20" t="s">
        <v>272</v>
      </c>
      <c r="G20" s="393" t="s">
        <v>2863</v>
      </c>
      <c r="I20" s="392"/>
    </row>
    <row r="21" spans="1:9" ht="15.75" x14ac:dyDescent="0.25">
      <c r="A21" s="1" t="s">
        <v>1525</v>
      </c>
      <c r="D21" s="1" t="s">
        <v>2864</v>
      </c>
      <c r="E21" s="1" t="s">
        <v>2865</v>
      </c>
      <c r="F21" t="s">
        <v>1184</v>
      </c>
      <c r="I21" s="392"/>
    </row>
    <row r="22" spans="1:9" x14ac:dyDescent="0.25">
      <c r="D22" s="1" t="s">
        <v>2866</v>
      </c>
      <c r="E22" s="1" t="s">
        <v>2867</v>
      </c>
    </row>
    <row r="23" spans="1:9" ht="15.75" x14ac:dyDescent="0.25">
      <c r="A23" s="1" t="s">
        <v>145</v>
      </c>
      <c r="D23" s="1" t="s">
        <v>2868</v>
      </c>
      <c r="E23" s="1" t="s">
        <v>2869</v>
      </c>
      <c r="F23"/>
    </row>
    <row r="24" spans="1:9" ht="15.75" x14ac:dyDescent="0.25">
      <c r="A24" s="1" t="s">
        <v>164</v>
      </c>
      <c r="D24" s="1" t="s">
        <v>371</v>
      </c>
      <c r="E24" s="1" t="s">
        <v>2870</v>
      </c>
      <c r="F24"/>
    </row>
    <row r="25" spans="1:9" ht="15.75" x14ac:dyDescent="0.25">
      <c r="D25" s="1" t="s">
        <v>2871</v>
      </c>
      <c r="E25" s="1" t="s">
        <v>1947</v>
      </c>
      <c r="F25"/>
    </row>
    <row r="26" spans="1:9" ht="15.75" x14ac:dyDescent="0.25">
      <c r="A26" s="1" t="s">
        <v>177</v>
      </c>
      <c r="D26" s="1" t="s">
        <v>2872</v>
      </c>
      <c r="E26" s="1" t="s">
        <v>2873</v>
      </c>
      <c r="F26"/>
    </row>
    <row r="27" spans="1:9" ht="15.75" x14ac:dyDescent="0.25">
      <c r="A27" s="1" t="s">
        <v>163</v>
      </c>
      <c r="D27" s="1" t="s">
        <v>2874</v>
      </c>
      <c r="E27" s="1" t="s">
        <v>2875</v>
      </c>
      <c r="F27"/>
    </row>
    <row r="28" spans="1:9" ht="15.75" customHeight="1" x14ac:dyDescent="0.25">
      <c r="D28" s="1" t="s">
        <v>2876</v>
      </c>
      <c r="E28" s="1" t="s">
        <v>2877</v>
      </c>
      <c r="F28" s="613" t="s">
        <v>3033</v>
      </c>
    </row>
    <row r="29" spans="1:9" ht="15.75" customHeight="1" x14ac:dyDescent="0.25">
      <c r="D29" s="1" t="s">
        <v>2878</v>
      </c>
      <c r="E29" s="1" t="s">
        <v>2879</v>
      </c>
      <c r="F29" s="613"/>
    </row>
    <row r="30" spans="1:9" ht="15.75" x14ac:dyDescent="0.25">
      <c r="A30" s="1" t="s">
        <v>52</v>
      </c>
      <c r="D30" s="1" t="s">
        <v>426</v>
      </c>
      <c r="E30" s="1" t="s">
        <v>416</v>
      </c>
      <c r="F30"/>
    </row>
    <row r="31" spans="1:9" ht="15.75" x14ac:dyDescent="0.25">
      <c r="A31" s="1" t="s">
        <v>55</v>
      </c>
      <c r="D31" s="1" t="s">
        <v>2880</v>
      </c>
      <c r="E31" s="1" t="s">
        <v>2881</v>
      </c>
      <c r="F31"/>
    </row>
    <row r="32" spans="1:9" x14ac:dyDescent="0.25">
      <c r="A32" s="1" t="s">
        <v>60</v>
      </c>
      <c r="E32" s="1" t="s">
        <v>2882</v>
      </c>
    </row>
    <row r="33" spans="1:5" x14ac:dyDescent="0.25">
      <c r="A33" s="1" t="s">
        <v>65</v>
      </c>
      <c r="E33" s="1" t="s">
        <v>2883</v>
      </c>
    </row>
    <row r="34" spans="1:5" x14ac:dyDescent="0.25">
      <c r="A34" s="393" t="s">
        <v>68</v>
      </c>
      <c r="E34" s="1" t="s">
        <v>2884</v>
      </c>
    </row>
    <row r="35" spans="1:5" x14ac:dyDescent="0.25">
      <c r="A35" s="393" t="s">
        <v>1190</v>
      </c>
      <c r="E35" s="1" t="s">
        <v>2885</v>
      </c>
    </row>
    <row r="36" spans="1:5" x14ac:dyDescent="0.25">
      <c r="E36" s="1" t="s">
        <v>233</v>
      </c>
    </row>
    <row r="37" spans="1:5" x14ac:dyDescent="0.25">
      <c r="E37" s="1" t="s">
        <v>2886</v>
      </c>
    </row>
    <row r="38" spans="1:5" x14ac:dyDescent="0.25">
      <c r="A38" s="393" t="s">
        <v>160</v>
      </c>
      <c r="E38" s="1" t="s">
        <v>158</v>
      </c>
    </row>
    <row r="39" spans="1:5" x14ac:dyDescent="0.25">
      <c r="A39" s="393" t="s">
        <v>271</v>
      </c>
      <c r="E39" s="1" t="s">
        <v>493</v>
      </c>
    </row>
    <row r="40" spans="1:5" x14ac:dyDescent="0.25">
      <c r="A40" s="393" t="s">
        <v>1183</v>
      </c>
      <c r="E40" s="1" t="s">
        <v>2887</v>
      </c>
    </row>
    <row r="41" spans="1:5" x14ac:dyDescent="0.25">
      <c r="A41" s="393" t="s">
        <v>2157</v>
      </c>
      <c r="E41" s="1" t="s">
        <v>2888</v>
      </c>
    </row>
    <row r="42" spans="1:5" x14ac:dyDescent="0.25">
      <c r="A42" s="393" t="s">
        <v>338</v>
      </c>
      <c r="E42" s="1" t="s">
        <v>2889</v>
      </c>
    </row>
    <row r="43" spans="1:5" x14ac:dyDescent="0.25">
      <c r="A43" s="393" t="s">
        <v>2890</v>
      </c>
      <c r="E43" s="1" t="s">
        <v>2891</v>
      </c>
    </row>
    <row r="44" spans="1:5" x14ac:dyDescent="0.25">
      <c r="E44" s="1" t="s">
        <v>2892</v>
      </c>
    </row>
    <row r="45" spans="1:5" x14ac:dyDescent="0.25">
      <c r="E45" s="1" t="s">
        <v>2893</v>
      </c>
    </row>
    <row r="46" spans="1:5" x14ac:dyDescent="0.25">
      <c r="E46" s="1" t="s">
        <v>1242</v>
      </c>
    </row>
    <row r="47" spans="1:5" x14ac:dyDescent="0.25">
      <c r="E47" s="1" t="s">
        <v>2894</v>
      </c>
    </row>
    <row r="48" spans="1:5" x14ac:dyDescent="0.25">
      <c r="E48" s="1" t="s">
        <v>2895</v>
      </c>
    </row>
    <row r="49" spans="5:5" x14ac:dyDescent="0.25">
      <c r="E49" s="1" t="s">
        <v>1579</v>
      </c>
    </row>
    <row r="50" spans="5:5" x14ac:dyDescent="0.25">
      <c r="E50" s="1" t="s">
        <v>175</v>
      </c>
    </row>
    <row r="51" spans="5:5" x14ac:dyDescent="0.25">
      <c r="E51" s="1" t="s">
        <v>725</v>
      </c>
    </row>
    <row r="52" spans="5:5" x14ac:dyDescent="0.25">
      <c r="E52" s="1" t="s">
        <v>2896</v>
      </c>
    </row>
    <row r="53" spans="5:5" x14ac:dyDescent="0.25">
      <c r="E53" s="1" t="s">
        <v>2897</v>
      </c>
    </row>
    <row r="54" spans="5:5" x14ac:dyDescent="0.25">
      <c r="E54" s="1" t="s">
        <v>186</v>
      </c>
    </row>
    <row r="55" spans="5:5" x14ac:dyDescent="0.25">
      <c r="E55" s="1" t="s">
        <v>2898</v>
      </c>
    </row>
    <row r="56" spans="5:5" x14ac:dyDescent="0.25">
      <c r="E56" s="1" t="s">
        <v>259</v>
      </c>
    </row>
    <row r="57" spans="5:5" x14ac:dyDescent="0.25">
      <c r="E57" s="1" t="s">
        <v>2899</v>
      </c>
    </row>
    <row r="58" spans="5:5" x14ac:dyDescent="0.25">
      <c r="E58" s="1" t="s">
        <v>212</v>
      </c>
    </row>
    <row r="59" spans="5:5" x14ac:dyDescent="0.25">
      <c r="E59" s="1" t="s">
        <v>2900</v>
      </c>
    </row>
    <row r="60" spans="5:5" x14ac:dyDescent="0.25">
      <c r="E60" s="1" t="s">
        <v>2901</v>
      </c>
    </row>
  </sheetData>
  <sortState xmlns:xlrd2="http://schemas.microsoft.com/office/spreadsheetml/2017/richdata2" ref="F2:F22">
    <sortCondition ref="F2:F22"/>
  </sortState>
  <mergeCells count="1">
    <mergeCell ref="F28:F29"/>
  </mergeCells>
  <hyperlinks>
    <hyperlink ref="F28" location="Inicio!A1" display="Atrás" xr:uid="{F581C9A8-0F0B-477B-9FDF-67BE4E8D5F29}"/>
  </hyperlink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7e1e4e80-97d0-47e9-841d-8482ad40d1a2" xsi:nil="true"/>
    <lcf76f155ced4ddcb4097134ff3c332f xmlns="949889b9-97e8-4da9-96ea-f2f5dfc637b0">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DA07B3332F2D04E9E06112ECB09306A" ma:contentTypeVersion="18" ma:contentTypeDescription="Create a new document." ma:contentTypeScope="" ma:versionID="8494af3146d08675051f7e96587399b1">
  <xsd:schema xmlns:xsd="http://www.w3.org/2001/XMLSchema" xmlns:xs="http://www.w3.org/2001/XMLSchema" xmlns:p="http://schemas.microsoft.com/office/2006/metadata/properties" xmlns:ns2="949889b9-97e8-4da9-96ea-f2f5dfc637b0" xmlns:ns3="7e1e4e80-97d0-47e9-841d-8482ad40d1a2" targetNamespace="http://schemas.microsoft.com/office/2006/metadata/properties" ma:root="true" ma:fieldsID="7451ba8a3ff2b8698a52326c6295d05b" ns2:_="" ns3:_="">
    <xsd:import namespace="949889b9-97e8-4da9-96ea-f2f5dfc637b0"/>
    <xsd:import namespace="7e1e4e80-97d0-47e9-841d-8482ad40d1a2"/>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3:SharedWithUsers" minOccurs="0"/>
                <xsd:element ref="ns3:SharedWithDetails" minOccurs="0"/>
                <xsd:element ref="ns2:lcf76f155ced4ddcb4097134ff3c332f" minOccurs="0"/>
                <xsd:element ref="ns3:TaxCatchAll" minOccurs="0"/>
                <xsd:element ref="ns2:MediaLengthInSeconds" minOccurs="0"/>
                <xsd:element ref="ns2:MediaServiceObjectDetectorVersions" minOccurs="0"/>
                <xsd:element ref="ns2:MediaServiceLocation"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49889b9-97e8-4da9-96ea-f2f5dfc637b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030429a8-c0c9-4f5a-87ae-93a3024b99d6" ma:termSetId="09814cd3-568e-fe90-9814-8d621ff8fb84" ma:anchorId="fba54fb3-c3e1-fe81-a776-ca4b69148c4d" ma:open="true" ma:isKeyword="false">
      <xsd:complexType>
        <xsd:sequence>
          <xsd:element ref="pc:Terms" minOccurs="0" maxOccurs="1"/>
        </xsd:sequence>
      </xsd:complexType>
    </xsd:element>
    <xsd:element name="MediaLengthInSeconds" ma:index="22" nillable="true" ma:displayName="MediaLengthInSeconds" ma:hidden="true" ma:internalName="MediaLengthInSeconds" ma:readOnly="true">
      <xsd:simpleType>
        <xsd:restriction base="dms:Unknown"/>
      </xsd:simple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Location" ma:index="24" nillable="true" ma:displayName="Location" ma:description="" ma:indexed="true" ma:internalName="MediaServiceLocation"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7e1e4e80-97d0-47e9-841d-8482ad40d1a2"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element name="TaxCatchAll" ma:index="21" nillable="true" ma:displayName="Taxonomy Catch All Column" ma:hidden="true" ma:list="{d5fa3172-5d6f-4e77-acb0-14c16e30aa7f}" ma:internalName="TaxCatchAll" ma:showField="CatchAllData" ma:web="7e1e4e80-97d0-47e9-841d-8482ad40d1a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FF7C3DE-323D-42A3-98A8-3D139488EDEE}">
  <ds:schemaRefs>
    <ds:schemaRef ds:uri="949889b9-97e8-4da9-96ea-f2f5dfc637b0"/>
    <ds:schemaRef ds:uri="http://purl.org/dc/elements/1.1/"/>
    <ds:schemaRef ds:uri="http://purl.org/dc/dcmitype/"/>
    <ds:schemaRef ds:uri="http://purl.org/dc/terms/"/>
    <ds:schemaRef ds:uri="http://schemas.microsoft.com/office/2006/documentManagement/types"/>
    <ds:schemaRef ds:uri="7e1e4e80-97d0-47e9-841d-8482ad40d1a2"/>
    <ds:schemaRef ds:uri="http://schemas.microsoft.com/office/2006/metadata/properties"/>
    <ds:schemaRef ds:uri="http://schemas.microsoft.com/office/infopath/2007/PartnerControls"/>
    <ds:schemaRef ds:uri="http://schemas.openxmlformats.org/package/2006/metadata/core-properties"/>
    <ds:schemaRef ds:uri="http://www.w3.org/XML/1998/namespace"/>
  </ds:schemaRefs>
</ds:datastoreItem>
</file>

<file path=customXml/itemProps2.xml><?xml version="1.0" encoding="utf-8"?>
<ds:datastoreItem xmlns:ds="http://schemas.openxmlformats.org/officeDocument/2006/customXml" ds:itemID="{E70610C9-BA78-4A69-A3DE-DB781097D59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49889b9-97e8-4da9-96ea-f2f5dfc637b0"/>
    <ds:schemaRef ds:uri="7e1e4e80-97d0-47e9-841d-8482ad40d1a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7048C7D-F9D3-4B45-B5B1-8D9AD95D78E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18</vt:i4>
      </vt:variant>
      <vt:variant>
        <vt:lpstr>Rangos con nombre</vt:lpstr>
      </vt:variant>
      <vt:variant>
        <vt:i4>14</vt:i4>
      </vt:variant>
    </vt:vector>
  </HeadingPairs>
  <TitlesOfParts>
    <vt:vector size="32" baseType="lpstr">
      <vt:lpstr>Inicio</vt:lpstr>
      <vt:lpstr>Reporte</vt:lpstr>
      <vt:lpstr>Aleluya</vt:lpstr>
      <vt:lpstr>Confirmación datos</vt:lpstr>
      <vt:lpstr>Correctivos y discip</vt:lpstr>
      <vt:lpstr>Llamado de atención</vt:lpstr>
      <vt:lpstr>Recor. de funciones</vt:lpstr>
      <vt:lpstr>Cert. lab.</vt:lpstr>
      <vt:lpstr>Cto. individual</vt:lpstr>
      <vt:lpstr>Cto. general</vt:lpstr>
      <vt:lpstr>Documentos de retiro</vt:lpstr>
      <vt:lpstr>Cto. Aprendiz</vt:lpstr>
      <vt:lpstr>Empleadores</vt:lpstr>
      <vt:lpstr>Otrosí pagos no salariales</vt:lpstr>
      <vt:lpstr>Otrosí. individual</vt:lpstr>
      <vt:lpstr>DATOSDENOMINA</vt:lpstr>
      <vt:lpstr>FECHASIMPORTANTES</vt:lpstr>
      <vt:lpstr>validador </vt:lpstr>
      <vt:lpstr>'Cto. general'!_Hlk51852459</vt:lpstr>
      <vt:lpstr>Reporte!Área_de_extracción</vt:lpstr>
      <vt:lpstr>Aleluya!Área_de_impresión</vt:lpstr>
      <vt:lpstr>'Cert. lab.'!Área_de_impresión</vt:lpstr>
      <vt:lpstr>'Cto. Aprendiz'!Área_de_impresión</vt:lpstr>
      <vt:lpstr>'Cto. general'!Área_de_impresión</vt:lpstr>
      <vt:lpstr>'Cto. individual'!Área_de_impresión</vt:lpstr>
      <vt:lpstr>'Documentos de retiro'!Área_de_impresión</vt:lpstr>
      <vt:lpstr>'Llamado de atención'!Área_de_impresión</vt:lpstr>
      <vt:lpstr>'Otrosí pagos no salariales'!Área_de_impresión</vt:lpstr>
      <vt:lpstr>'Otrosí. individual'!Área_de_impresión</vt:lpstr>
      <vt:lpstr>'Recor. de funciones'!Área_de_impresión</vt:lpstr>
      <vt:lpstr>Reporte!Área_de_impresión</vt:lpstr>
      <vt:lpstr>Reporte!Criterios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Juan Daniel Valencia E</dc:creator>
  <cp:keywords/>
  <dc:description/>
  <cp:lastModifiedBy>Yenifer Castrillón Gutiérrez</cp:lastModifiedBy>
  <cp:revision/>
  <cp:lastPrinted>2024-06-05T14:08:11Z</cp:lastPrinted>
  <dcterms:created xsi:type="dcterms:W3CDTF">2023-06-28T14:56:07Z</dcterms:created>
  <dcterms:modified xsi:type="dcterms:W3CDTF">2024-06-17T21:54:49Z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0x010100FDA07B3332F2D04E9E06112ECB09306A</vt:lpwstr>
  </property>
  <property fmtid="{D5CDD505-2E9C-101B-9397-08002B2CF9AE}" pid="3" name="MediaServiceImageTags">
    <vt:lpwstr/>
  </property>
</Properties>
</file>